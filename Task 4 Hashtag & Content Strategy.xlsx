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igi\Desktop\Tesla Social Media Analytics for Strategic Branding  Project\"/>
    </mc:Choice>
  </mc:AlternateContent>
  <xr:revisionPtr revIDLastSave="0" documentId="13_ncr:1_{5125A516-3711-4788-9A30-0BF587211D53}" xr6:coauthVersionLast="47" xr6:coauthVersionMax="47" xr10:uidLastSave="{00000000-0000-0000-0000-000000000000}"/>
  <bookViews>
    <workbookView xWindow="-120" yWindow="-120" windowWidth="20730" windowHeight="11040" firstSheet="1" activeTab="2" xr2:uid="{5BEE4497-6EBA-4A6A-9941-EA45D6C1BFF2}"/>
  </bookViews>
  <sheets>
    <sheet name="posts Dataset " sheetId="1" r:id="rId1"/>
    <sheet name="TASK 4 sheet " sheetId="11" r:id="rId2"/>
    <sheet name="TASK 4(  Q 1, 2)" sheetId="10" r:id="rId3"/>
    <sheet name="TASK 4 (`Q3,4)" sheetId="14" r:id="rId4"/>
  </sheets>
  <definedNames>
    <definedName name="_xlcn.WorksheetConnection_postsDatasetPP1" hidden="1">'posts Dataset '!$P:$P</definedName>
    <definedName name="_xlcn.WorksheetConnection_Task2EngagementAnalysis.xlsxPosts_Cleaned1" hidden="1">Posts_Cleaned[]</definedName>
    <definedName name="ExternalData_1" localSheetId="0" hidden="1">'posts Dataset '!$A$1:$O$302</definedName>
    <definedName name="Slicer_Content_Type">#N/A</definedName>
    <definedName name="Slicer_Platform">#N/A</definedName>
  </definedNames>
  <calcPr calcId="191029"/>
  <pivotCaches>
    <pivotCache cacheId="7" r:id="rId5"/>
    <pivotCache cacheId="8" r:id="rId6"/>
    <pivotCache cacheId="9" r:id="rId7"/>
  </pivotCaches>
  <extLst>
    <ext xmlns:x14="http://schemas.microsoft.com/office/spreadsheetml/2009/9/main" uri="{876F7934-8845-4945-9796-88D515C7AA90}">
      <x14:pivotCaches>
        <pivotCache cacheId="10"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sts_Cleaned  3_93b175da-a5c8-4eea-af6f-7f37cfcdda8f" name="Posts_Cleaned  3" connection="Query - Posts_Cleaned (3)"/>
          <x15:modelTable id="Campaign Metadata  3_7dee433d-ae51-4ba2-91e0-f8cea7aad537" name="Campaign Metadata  3" connection="Query - Campaign Metadata (3)"/>
          <x15:modelTable id="Posts_Cleaned" name="Posts_Cleaned" connection="WorksheetConnection_Task 2 Engagement Analysis.xlsx!Posts_Cleaned"/>
          <x15:modelTable id="Range" name="Range" connection="WorksheetConnection_posts Dataset !$P:$P"/>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B78731-17A0-4F25-8F38-8DFBB350F24B}" keepAlive="1" name="Query - Campaign Metadata" description="Connection to the 'Campaign Metadata' query in the workbook." type="5" refreshedVersion="7" background="1" saveData="1">
    <dbPr connection="Provider=Microsoft.Mashup.OleDb.1;Data Source=$Workbook$;Location=&quot;Campaign Metadata&quot;;Extended Properties=&quot;&quot;" command="SELECT * FROM [Campaign Metadata]"/>
  </connection>
  <connection id="2" xr16:uid="{BE8B7AC8-E5A7-4DED-8F11-E092EA581192}" keepAlive="1" name="Query - Campaign Metadata (2)" description="Connection to the 'Campaign Metadata (2)' query in the workbook." type="5" refreshedVersion="7" background="1" saveData="1">
    <dbPr connection="Provider=Microsoft.Mashup.OleDb.1;Data Source=$Workbook$;Location=&quot;Campaign Metadata (2)&quot;;Extended Properties=&quot;&quot;" command="SELECT * FROM [Campaign Metadata (2)]"/>
  </connection>
  <connection id="3" xr16:uid="{141B7FF5-0B69-4B5D-B296-9D9CAA19F667}" name="Query - Campaign Metadata (3)" description="Connection to the 'Campaign Metadata (3)' query in the workbook." type="100" refreshedVersion="7" minRefreshableVersion="5">
    <extLst>
      <ext xmlns:x15="http://schemas.microsoft.com/office/spreadsheetml/2010/11/main" uri="{DE250136-89BD-433C-8126-D09CA5730AF9}">
        <x15:connection id="6446c5ea-723c-447f-97d8-381b0a586702"/>
      </ext>
    </extLst>
  </connection>
  <connection id="4" xr16:uid="{5ED2AD37-1DA9-4D75-8AC0-8DEC35D1B384}" keepAlive="1" name="Query - Engagement Summary" description="Connection to the 'Engagement Summary' query in the workbook." type="5" refreshedVersion="7" background="1" saveData="1">
    <dbPr connection="Provider=Microsoft.Mashup.OleDb.1;Data Source=$Workbook$;Location=&quot;Engagement Summary&quot;;Extended Properties=&quot;&quot;" command="SELECT * FROM [Engagement Summary]"/>
  </connection>
  <connection id="5" xr16:uid="{F83EE677-863E-46BC-BF80-7B9974D44656}" keepAlive="1" name="Query - Posts_Cleaned" description="Connection to the 'Posts_Cleaned' query in the workbook." type="5" refreshedVersion="7" background="1" saveData="1">
    <dbPr connection="Provider=Microsoft.Mashup.OleDb.1;Data Source=$Workbook$;Location=Posts_Cleaned;Extended Properties=&quot;&quot;" command="SELECT * FROM [Posts_Cleaned]"/>
  </connection>
  <connection id="6" xr16:uid="{DB02032E-7991-4600-AE07-0E589E2AA0FC}" keepAlive="1" name="Query - Posts_Cleaned (2)" description="Connection to the 'Posts_Cleaned (2)' query in the workbook." type="5" refreshedVersion="7" background="1" saveData="1">
    <dbPr connection="Provider=Microsoft.Mashup.OleDb.1;Data Source=$Workbook$;Location=&quot;Posts_Cleaned (2)&quot;;Extended Properties=&quot;&quot;" command="SELECT * FROM [Posts_Cleaned (2)]"/>
  </connection>
  <connection id="7" xr16:uid="{8C27FB47-4ED9-4F2F-9583-19C177F2AF57}" name="Query - Posts_Cleaned (3)" description="Connection to the 'Posts_Cleaned (3)' query in the workbook." type="100" refreshedVersion="7" minRefreshableVersion="5">
    <extLst>
      <ext xmlns:x15="http://schemas.microsoft.com/office/spreadsheetml/2010/11/main" uri="{DE250136-89BD-433C-8126-D09CA5730AF9}">
        <x15:connection id="22afe7ab-818b-4346-b074-b70e6f2a4ba0"/>
      </ext>
    </extLst>
  </connection>
  <connection id="8" xr16:uid="{6425C040-397E-40DB-9644-9A4F0D6B8B6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828D05EF-AD25-456F-B07F-5F4A21BF24C6}" name="WorksheetConnection_posts Dataset !$P:$P" type="102" refreshedVersion="7" minRefreshableVersion="5">
    <extLst>
      <ext xmlns:x15="http://schemas.microsoft.com/office/spreadsheetml/2010/11/main" uri="{DE250136-89BD-433C-8126-D09CA5730AF9}">
        <x15:connection id="Range" autoDelete="1">
          <x15:rangePr sourceName="_xlcn.WorksheetConnection_postsDatasetPP1"/>
        </x15:connection>
      </ext>
    </extLst>
  </connection>
  <connection id="10" xr16:uid="{63B039D3-2C27-4C76-BE4A-6A0504EBE851}" name="WorksheetConnection_Task 2 Engagement Analysis.xlsx!Posts_Cleaned" type="102" refreshedVersion="7" minRefreshableVersion="5">
    <extLst>
      <ext xmlns:x15="http://schemas.microsoft.com/office/spreadsheetml/2010/11/main" uri="{DE250136-89BD-433C-8126-D09CA5730AF9}">
        <x15:connection id="Posts_Cleaned">
          <x15:rangePr sourceName="_xlcn.WorksheetConnection_Task2EngagementAnalysis.xlsxPosts_Cleaned1"/>
        </x15:connection>
      </ext>
    </extLst>
  </connection>
</connections>
</file>

<file path=xl/sharedStrings.xml><?xml version="1.0" encoding="utf-8"?>
<sst xmlns="http://schemas.openxmlformats.org/spreadsheetml/2006/main" count="2865" uniqueCount="376">
  <si>
    <t>Post ID</t>
  </si>
  <si>
    <t>Platform</t>
  </si>
  <si>
    <t>Date</t>
  </si>
  <si>
    <t>Content Type</t>
  </si>
  <si>
    <t>Post Text</t>
  </si>
  <si>
    <t>Likes</t>
  </si>
  <si>
    <t>Shares</t>
  </si>
  <si>
    <t>Comments</t>
  </si>
  <si>
    <t>Impressions</t>
  </si>
  <si>
    <t>Reach</t>
  </si>
  <si>
    <t>Clicks</t>
  </si>
  <si>
    <t>Hashtags Used.1</t>
  </si>
  <si>
    <t>Hashtags Used.2</t>
  </si>
  <si>
    <t>Hashtags Used.3</t>
  </si>
  <si>
    <t>Campaign_Name</t>
  </si>
  <si>
    <t>P001</t>
  </si>
  <si>
    <t>X</t>
  </si>
  <si>
    <t>Reel</t>
  </si>
  <si>
    <t>Check out our latest reel on twitter!</t>
  </si>
  <si>
    <t>#FutureOfDriving</t>
  </si>
  <si>
    <t>#AnytimeIsTeslaTime</t>
  </si>
  <si>
    <t>CybertruckLaunch</t>
  </si>
  <si>
    <t>P002</t>
  </si>
  <si>
    <t>Text</t>
  </si>
  <si>
    <t>Check out our latest text on twitter!</t>
  </si>
  <si>
    <t>#TeslaCoInnovation</t>
  </si>
  <si>
    <t>#BetterWithTesla</t>
  </si>
  <si>
    <t>ModelYCampaign</t>
  </si>
  <si>
    <t>P003</t>
  </si>
  <si>
    <t>YouTube</t>
  </si>
  <si>
    <t>Check out our latest reel on youtube!</t>
  </si>
  <si>
    <t>FSDUpdate</t>
  </si>
  <si>
    <t>P004</t>
  </si>
  <si>
    <t>Instagram</t>
  </si>
  <si>
    <t>Story</t>
  </si>
  <si>
    <t>Check out our latest story on instagram!</t>
  </si>
  <si>
    <t>#EVRevolution</t>
  </si>
  <si>
    <t>SustainabilityDrive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</si>
  <si>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</si>
  <si>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</si>
  <si>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</si>
  <si>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</si>
  <si>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</si>
  <si>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</si>
  <si>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</si>
  <si>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</si>
  <si>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</si>
  <si>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</si>
  <si>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</si>
  <si>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</si>
  <si>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</si>
  <si>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</si>
  <si>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</si>
  <si>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</si>
  <si>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</si>
  <si>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</si>
  <si>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</si>
  <si>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</si>
  <si>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</si>
  <si>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</si>
  <si>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</si>
  <si>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</si>
  <si>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</si>
  <si>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</si>
  <si>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</si>
  <si>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</si>
  <si>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</si>
  <si>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</si>
  <si>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</si>
  <si>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</si>
  <si>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</si>
  <si>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</si>
  <si>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</si>
  <si>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</si>
  <si>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</si>
  <si>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</si>
  <si>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</si>
  <si>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</si>
  <si>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</si>
  <si>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</si>
  <si>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</si>
  <si>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</si>
  <si>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</si>
  <si>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</si>
  <si>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</si>
  <si>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</si>
  <si>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</si>
  <si>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</si>
  <si>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</si>
  <si>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</si>
  <si>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</si>
  <si>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</si>
  <si>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</si>
  <si>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</si>
  <si>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</si>
  <si>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</si>
  <si>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</si>
  <si>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</si>
  <si>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</si>
  <si>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</si>
  <si>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</si>
  <si>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</si>
  <si>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</si>
  <si>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</si>
  <si>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</si>
  <si>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</si>
  <si>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</si>
  <si>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</si>
  <si>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</si>
  <si>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</si>
  <si>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</si>
  <si>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</si>
  <si>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</si>
  <si>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</si>
  <si>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</si>
  <si>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</si>
  <si>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</si>
  <si>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</si>
  <si>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</si>
  <si>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</si>
  <si>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</si>
  <si>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</si>
  <si>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</si>
  <si>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</si>
  <si>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</si>
  <si>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</si>
  <si>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</si>
  <si>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</si>
  <si>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</si>
  <si>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</si>
  <si>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</si>
  <si>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</si>
  <si>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</si>
  <si>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</si>
  <si>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</si>
  <si>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</si>
  <si>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</si>
  <si>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</si>
  <si>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</si>
  <si>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</si>
  <si>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</si>
  <si>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</si>
  <si>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</si>
  <si>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</si>
  <si>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</si>
  <si>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</si>
  <si>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</si>
  <si>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</si>
  <si>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</si>
  <si>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</si>
  <si>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</si>
  <si>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</si>
  <si>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</si>
  <si>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</si>
  <si>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</si>
  <si>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</si>
  <si>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</si>
  <si>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</si>
  <si>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</si>
  <si>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</si>
  <si>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</si>
  <si>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</si>
  <si>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</si>
  <si>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</si>
  <si>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</si>
  <si>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</si>
  <si>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</si>
  <si>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</si>
  <si>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</si>
  <si>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</si>
  <si>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</si>
  <si>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</si>
  <si>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</si>
  <si>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</si>
  <si>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</si>
  <si>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</si>
  <si>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</si>
  <si>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</si>
  <si>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</si>
  <si>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</si>
  <si>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</si>
  <si>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</si>
  <si>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</si>
  <si>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</si>
  <si>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</si>
  <si>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</si>
  <si>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</si>
  <si>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</si>
  <si>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</si>
  <si>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</si>
  <si>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</si>
  <si>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</si>
  <si>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</si>
  <si>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</si>
  <si>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</si>
  <si>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</si>
  <si>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</si>
  <si>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</si>
  <si>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#SmoothLikeNitroTesla</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</si>
  <si>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</si>
  <si>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</si>
  <si>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</si>
  <si>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</si>
  <si>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</si>
  <si>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</si>
  <si>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</si>
  <si>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</si>
  <si>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</si>
  <si>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</si>
  <si>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</si>
  <si>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</si>
  <si>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</si>
  <si>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</si>
  <si>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</si>
  <si>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</si>
  <si>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</si>
  <si>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</si>
  <si>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</si>
  <si>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</si>
  <si>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</si>
  <si>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</si>
  <si>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</si>
  <si>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</si>
  <si>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</si>
  <si>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</si>
  <si>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</si>
  <si>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</si>
  <si>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</si>
  <si>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</si>
  <si>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</si>
  <si>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</si>
  <si>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</si>
  <si>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</si>
  <si>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</si>
  <si>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</si>
  <si>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</si>
  <si>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</si>
  <si>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</si>
  <si>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</si>
  <si>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</si>
  <si>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</si>
  <si>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</si>
  <si>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</si>
  <si>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</si>
  <si>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</si>
  <si>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</si>
  <si>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</si>
  <si>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</si>
  <si>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</si>
  <si>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</si>
  <si>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</si>
  <si>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</si>
  <si>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</si>
  <si>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</si>
  <si>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</si>
  <si>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</si>
  <si>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</si>
  <si>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</si>
  <si>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</si>
  <si>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</si>
  <si>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</si>
  <si>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</si>
  <si>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</si>
  <si>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</si>
  <si>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</si>
  <si>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</si>
  <si>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</si>
  <si>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</si>
  <si>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</si>
  <si>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</si>
  <si>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</si>
  <si>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</si>
  <si>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</si>
  <si>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</si>
  <si>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</si>
  <si>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</si>
  <si>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</si>
  <si>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</si>
  <si>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</si>
  <si>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</si>
  <si>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</si>
  <si>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</si>
  <si>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</si>
  <si>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</si>
  <si>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</si>
  <si>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</si>
  <si>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</si>
  <si>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</si>
  <si>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</si>
  <si>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</si>
  <si>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</si>
  <si>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</si>
  <si>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</si>
  <si>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</si>
  <si>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</si>
  <si>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</si>
  <si>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</si>
  <si>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</si>
  <si>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</si>
  <si>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</si>
  <si>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</si>
  <si>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</si>
  <si>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</si>
  <si>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</si>
  <si>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</si>
  <si>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</si>
  <si>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</si>
  <si>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</si>
  <si>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</si>
  <si>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</si>
  <si>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</si>
  <si>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</si>
  <si>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</si>
  <si>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</si>
  <si>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</si>
  <si>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</si>
  <si>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</si>
  <si>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</si>
  <si>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</si>
  <si>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</si>
  <si>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</si>
  <si>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</si>
  <si>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</si>
  <si>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</si>
  <si>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</si>
  <si>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</si>
  <si>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</si>
  <si>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</si>
  <si>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</si>
  <si>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</si>
  <si>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</si>
  <si>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</si>
  <si>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</si>
  <si>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</si>
  <si>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</si>
  <si>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</si>
  <si>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</si>
  <si>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</si>
  <si>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</si>
  <si>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</si>
  <si>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</si>
  <si>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</si>
  <si>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</si>
  <si>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</si>
  <si>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</si>
  <si>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</si>
  <si>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</si>
  <si>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</si>
  <si>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</si>
  <si>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</si>
  <si>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</si>
  <si>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</si>
  <si>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</si>
  <si>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</si>
  <si>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</si>
  <si>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</si>
  <si>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</si>
  <si>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</si>
  <si>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</si>
  <si>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 xml:space="preserve">Engagement Rate </t>
  </si>
  <si>
    <t>Row Labels</t>
  </si>
  <si>
    <t>Grand Total</t>
  </si>
  <si>
    <t xml:space="preserve">Hashtags </t>
  </si>
  <si>
    <t xml:space="preserve">Count of hashtags </t>
  </si>
  <si>
    <t>Attribute</t>
  </si>
  <si>
    <t>Value</t>
  </si>
  <si>
    <t xml:space="preserve">POST ID </t>
  </si>
  <si>
    <t xml:space="preserve">Average of Engagement Rate </t>
  </si>
  <si>
    <t xml:space="preserve">Count of POST ID </t>
  </si>
  <si>
    <t>Count of Post ID</t>
  </si>
  <si>
    <t>Average of Engagement Rate</t>
  </si>
  <si>
    <t xml:space="preserve">    </t>
  </si>
  <si>
    <t>2.Average Performance of Posts Containing Each Hashtag</t>
  </si>
  <si>
    <r>
      <rPr>
        <b/>
        <u/>
        <sz val="16"/>
        <color theme="1"/>
        <rFont val="Calibri"/>
        <family val="2"/>
        <scheme val="minor"/>
      </rPr>
      <t>1</t>
    </r>
    <r>
      <rPr>
        <b/>
        <u/>
        <sz val="11"/>
        <color theme="1"/>
        <rFont val="Calibri"/>
        <family val="2"/>
        <scheme val="minor"/>
      </rPr>
      <t xml:space="preserve">. </t>
    </r>
    <r>
      <rPr>
        <b/>
        <u/>
        <sz val="16"/>
        <color theme="1"/>
        <rFont val="Calibri"/>
        <family val="2"/>
        <scheme val="minor"/>
      </rPr>
      <t>Us</t>
    </r>
    <r>
      <rPr>
        <b/>
        <u/>
        <sz val="16"/>
        <color theme="1"/>
        <rFont val="Calibri Light"/>
        <family val="2"/>
        <scheme val="major"/>
      </rPr>
      <t>ed Tesla Hashtags</t>
    </r>
  </si>
  <si>
    <r>
      <t xml:space="preserve"> 3.</t>
    </r>
    <r>
      <rPr>
        <b/>
        <u/>
        <sz val="20"/>
        <color theme="1"/>
        <rFont val="Calibri"/>
        <family val="2"/>
      </rPr>
      <t>Content Performance</t>
    </r>
  </si>
  <si>
    <r>
      <t>4.</t>
    </r>
    <r>
      <rPr>
        <b/>
        <u/>
        <sz val="18"/>
        <color theme="1"/>
        <rFont val="Calibri"/>
        <family val="2"/>
      </rPr>
      <t>Recommend</t>
    </r>
    <r>
      <rPr>
        <b/>
        <sz val="20"/>
        <color theme="1"/>
        <rFont val="Calibri"/>
        <family val="2"/>
      </rPr>
      <t xml:space="preserve"> content type priorities per platform (e.g., videos on YouTube, car images on 
Instagram).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</si>
</sst>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u/>
      <sz val="16"/>
      <color theme="1"/>
      <name val="Calibri"/>
      <family val="2"/>
    </font>
    <font>
      <b/>
      <u/>
      <sz val="11"/>
      <color theme="1"/>
      <name val="Calibri"/>
      <family val="2"/>
      <scheme val="minor"/>
    </font>
    <font>
      <b/>
      <u/>
      <sz val="16"/>
      <color theme="1"/>
      <name val="Calibri"/>
      <family val="2"/>
      <scheme val="minor"/>
    </font>
    <font>
      <b/>
      <u/>
      <sz val="16"/>
      <color theme="1"/>
      <name val="Calibri Light"/>
      <family val="2"/>
      <scheme val="major"/>
    </font>
    <font>
      <sz val="20"/>
      <color theme="1"/>
      <name val="Calibri"/>
      <family val="2"/>
    </font>
    <font>
      <b/>
      <sz val="20"/>
      <color theme="1"/>
      <name val="Calibri"/>
      <family val="2"/>
    </font>
    <font>
      <b/>
      <u/>
      <sz val="20"/>
      <color theme="1"/>
      <name val="Calibri"/>
      <family val="2"/>
    </font>
    <font>
      <b/>
      <u/>
      <sz val="18"/>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Fill="1"/>
    <xf numFmtId="49" fontId="0" fillId="0" borderId="0" xfId="0" applyNumberFormat="1" applyAlignment="1">
      <alignment horizontal="center"/>
    </xf>
    <xf numFmtId="10" fontId="0" fillId="0" borderId="0" xfId="0" applyNumberFormat="1"/>
    <xf numFmtId="0" fontId="2" fillId="0" borderId="0" xfId="0" applyFont="1" applyAlignment="1">
      <alignment horizontal="center"/>
    </xf>
    <xf numFmtId="0" fontId="1"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6" fillId="0" borderId="0" xfId="0" applyFont="1" applyAlignment="1">
      <alignment horizontal="center" wrapText="1"/>
    </xf>
    <xf numFmtId="0" fontId="0" fillId="0" borderId="0" xfId="0" applyFont="1" applyAlignment="1">
      <alignment horizontal="center"/>
    </xf>
  </cellXfs>
  <cellStyles count="1">
    <cellStyle name="Normal" xfId="0" builtinId="0"/>
  </cellStyles>
  <dxfs count="1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30" formatCode="@"/>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409575</xdr:colOff>
      <xdr:row>3</xdr:row>
      <xdr:rowOff>0</xdr:rowOff>
    </xdr:from>
    <xdr:to>
      <xdr:col>9</xdr:col>
      <xdr:colOff>257175</xdr:colOff>
      <xdr:row>8</xdr:row>
      <xdr:rowOff>66675</xdr:rowOff>
    </xdr:to>
    <xdr:sp macro="" textlink="">
      <xdr:nvSpPr>
        <xdr:cNvPr id="2" name="TextBox 1">
          <a:extLst>
            <a:ext uri="{FF2B5EF4-FFF2-40B4-BE49-F238E27FC236}">
              <a16:creationId xmlns:a16="http://schemas.microsoft.com/office/drawing/2014/main" id="{CB47742D-DBCC-406E-AF31-635462429747}"/>
            </a:ext>
          </a:extLst>
        </xdr:cNvPr>
        <xdr:cNvSpPr txBox="1"/>
      </xdr:nvSpPr>
      <xdr:spPr>
        <a:xfrm>
          <a:off x="3038475" y="571500"/>
          <a:ext cx="4114800"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Insights:</a:t>
          </a:r>
        </a:p>
        <a:p>
          <a:r>
            <a:rPr lang="en-US" b="1"/>
            <a:t>Most used hashtag:</a:t>
          </a:r>
          <a:r>
            <a:rPr lang="en-US"/>
            <a:t> #TeslaCoInnovation (107 times)</a:t>
          </a:r>
        </a:p>
        <a:p>
          <a:r>
            <a:rPr lang="en-US" b="1"/>
            <a:t>Second most used:</a:t>
          </a:r>
          <a:r>
            <a:rPr lang="en-US"/>
            <a:t> #FutureOfDriving (103 times)</a:t>
          </a:r>
        </a:p>
        <a:p>
          <a:r>
            <a:rPr lang="en-US" b="1"/>
            <a:t>Least used:</a:t>
          </a:r>
          <a:r>
            <a:rPr lang="en-US"/>
            <a:t> #SmoothLikeNitroTesla (5 times)</a:t>
          </a:r>
        </a:p>
        <a:p>
          <a:endParaRPr lang="en-US" sz="1100"/>
        </a:p>
      </xdr:txBody>
    </xdr:sp>
    <xdr:clientData/>
  </xdr:twoCellAnchor>
  <xdr:twoCellAnchor>
    <xdr:from>
      <xdr:col>3</xdr:col>
      <xdr:colOff>428625</xdr:colOff>
      <xdr:row>21</xdr:row>
      <xdr:rowOff>95250</xdr:rowOff>
    </xdr:from>
    <xdr:to>
      <xdr:col>9</xdr:col>
      <xdr:colOff>438150</xdr:colOff>
      <xdr:row>27</xdr:row>
      <xdr:rowOff>180975</xdr:rowOff>
    </xdr:to>
    <xdr:sp macro="" textlink="">
      <xdr:nvSpPr>
        <xdr:cNvPr id="3" name="TextBox 2">
          <a:extLst>
            <a:ext uri="{FF2B5EF4-FFF2-40B4-BE49-F238E27FC236}">
              <a16:creationId xmlns:a16="http://schemas.microsoft.com/office/drawing/2014/main" id="{2401A7DF-3A52-4D09-828E-0DC52272558E}"/>
            </a:ext>
          </a:extLst>
        </xdr:cNvPr>
        <xdr:cNvSpPr txBox="1"/>
      </xdr:nvSpPr>
      <xdr:spPr>
        <a:xfrm>
          <a:off x="4819650" y="4095750"/>
          <a:ext cx="3771900" cy="122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hashtag "#EVRevolution" had the highest average engagement rate at 15.39% and was used in 102 posts. The overall average engagement rate across all 339 posts was 14.45%.</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1079502</xdr:colOff>
      <xdr:row>6</xdr:row>
      <xdr:rowOff>3931</xdr:rowOff>
    </xdr:from>
    <xdr:to>
      <xdr:col>8</xdr:col>
      <xdr:colOff>498781</xdr:colOff>
      <xdr:row>19</xdr:row>
      <xdr:rowOff>52957</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92E1DAB9-73D3-4820-9E3D-7F6E25F0617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5619752" y="1146931"/>
              <a:ext cx="2350862" cy="2525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607484</xdr:colOff>
      <xdr:row>6</xdr:row>
      <xdr:rowOff>11642</xdr:rowOff>
    </xdr:from>
    <xdr:to>
      <xdr:col>11</xdr:col>
      <xdr:colOff>594784</xdr:colOff>
      <xdr:row>19</xdr:row>
      <xdr:rowOff>59267</xdr:rowOff>
    </xdr:to>
    <mc:AlternateContent xmlns:mc="http://schemas.openxmlformats.org/markup-compatibility/2006" xmlns:a14="http://schemas.microsoft.com/office/drawing/2010/main">
      <mc:Choice Requires="a14">
        <xdr:graphicFrame macro="">
          <xdr:nvGraphicFramePr>
            <xdr:cNvPr id="3" name="Content Type">
              <a:extLst>
                <a:ext uri="{FF2B5EF4-FFF2-40B4-BE49-F238E27FC236}">
                  <a16:creationId xmlns:a16="http://schemas.microsoft.com/office/drawing/2014/main" id="{C3A0FBE1-B465-4BAD-8208-0BD9DD0E3102}"/>
                </a:ext>
              </a:extLst>
            </xdr:cNvPr>
            <xdr:cNvGraphicFramePr/>
          </xdr:nvGraphicFramePr>
          <xdr:xfrm>
            <a:off x="0" y="0"/>
            <a:ext cx="0" cy="0"/>
          </xdr:xfrm>
          <a:graphic>
            <a:graphicData uri="http://schemas.microsoft.com/office/drawing/2010/slicer">
              <sle:slicer xmlns:sle="http://schemas.microsoft.com/office/drawing/2010/slicer" name="Content Type"/>
            </a:graphicData>
          </a:graphic>
        </xdr:graphicFrame>
      </mc:Choice>
      <mc:Fallback xmlns="">
        <xdr:sp macro="" textlink="">
          <xdr:nvSpPr>
            <xdr:cNvPr id="0" name=""/>
            <xdr:cNvSpPr>
              <a:spLocks noTextEdit="1"/>
            </xdr:cNvSpPr>
          </xdr:nvSpPr>
          <xdr:spPr>
            <a:xfrm>
              <a:off x="8079317" y="115464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507999</xdr:colOff>
      <xdr:row>20</xdr:row>
      <xdr:rowOff>63500</xdr:rowOff>
    </xdr:from>
    <xdr:to>
      <xdr:col>14</xdr:col>
      <xdr:colOff>529167</xdr:colOff>
      <xdr:row>28</xdr:row>
      <xdr:rowOff>10583</xdr:rowOff>
    </xdr:to>
    <xdr:sp macro="" textlink="">
      <xdr:nvSpPr>
        <xdr:cNvPr id="4" name="TextBox 3">
          <a:extLst>
            <a:ext uri="{FF2B5EF4-FFF2-40B4-BE49-F238E27FC236}">
              <a16:creationId xmlns:a16="http://schemas.microsoft.com/office/drawing/2014/main" id="{F369FA50-A08C-447F-A872-D5ECC1BB1671}"/>
            </a:ext>
          </a:extLst>
        </xdr:cNvPr>
        <xdr:cNvSpPr txBox="1"/>
      </xdr:nvSpPr>
      <xdr:spPr>
        <a:xfrm>
          <a:off x="4825999" y="3873500"/>
          <a:ext cx="6635751" cy="1471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a:solidFill>
                <a:schemeClr val="dk1"/>
              </a:solidFill>
              <a:effectLst/>
              <a:latin typeface="+mn-lt"/>
              <a:ea typeface="+mn-ea"/>
              <a:cs typeface="+mn-cs"/>
            </a:rPr>
            <a:t>The table illustrates the number of posts and average engagement rate  across content types (Carousel, Image, and Video) for each platform. Instagram video content has the highest AER of 20.62%, and the overall average engagement rate across all content and platforms is 14.38%.</a:t>
          </a:r>
          <a:endParaRPr lang="en-US" sz="1600"/>
        </a:p>
      </xdr:txBody>
    </xdr:sp>
    <xdr:clientData/>
  </xdr:twoCellAnchor>
  <xdr:twoCellAnchor>
    <xdr:from>
      <xdr:col>0</xdr:col>
      <xdr:colOff>105832</xdr:colOff>
      <xdr:row>36</xdr:row>
      <xdr:rowOff>169333</xdr:rowOff>
    </xdr:from>
    <xdr:to>
      <xdr:col>9</xdr:col>
      <xdr:colOff>264582</xdr:colOff>
      <xdr:row>49</xdr:row>
      <xdr:rowOff>42333</xdr:rowOff>
    </xdr:to>
    <xdr:sp macro="" textlink="">
      <xdr:nvSpPr>
        <xdr:cNvPr id="5" name="TextBox 4">
          <a:extLst>
            <a:ext uri="{FF2B5EF4-FFF2-40B4-BE49-F238E27FC236}">
              <a16:creationId xmlns:a16="http://schemas.microsoft.com/office/drawing/2014/main" id="{A565D5AA-4129-47F9-9360-1EE0871E65DC}"/>
            </a:ext>
          </a:extLst>
        </xdr:cNvPr>
        <xdr:cNvSpPr txBox="1"/>
      </xdr:nvSpPr>
      <xdr:spPr>
        <a:xfrm>
          <a:off x="105832" y="7027333"/>
          <a:ext cx="8244417" cy="234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a:solidFill>
                <a:schemeClr val="dk1"/>
              </a:solidFill>
              <a:effectLst/>
              <a:latin typeface="+mn-lt"/>
              <a:ea typeface="+mn-ea"/>
              <a:cs typeface="+mn-cs"/>
            </a:rPr>
            <a:t>Tesla's social media content type performance analysis suggests a need for a more robust plan. Video is the only content type showing true engagement with an approximate engagement rate of 20.62%, establishing it as the best content type for investing in visual products. Static images and single-post videos on primary channels are at the bottom of engagement rates, while Carousels are the most engaging visual content type on YouTube (≈ 17.42%) and X (≈ 15.97%), meaning users on these channels prefer swipeable vertical content with multiple graphics, enabling them to access more information or compare alternatives to provide more context. Engagement for Facebook was weak, and Video had the highest performance with a 12.90% engagement rate. Therefore, Tesla should switch its content strategy to using Video for Instagram/Facebook and Carousel for YouTube/X as a channel-focused engagement strategy for distinctive audience preferences to improve content creation ROI.</a:t>
          </a:r>
          <a:endParaRPr lang="en-US"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gi" refreshedDate="45938.709449768518" createdVersion="7" refreshedVersion="7" minRefreshableVersion="3" recordCount="912" xr:uid="{0C24C17A-FC66-4991-81E4-CFBA4883B99B}">
  <cacheSource type="worksheet">
    <worksheetSource ref="F1:F1048576" sheet="Sheet1"/>
  </cacheSource>
  <cacheFields count="1">
    <cacheField name="hashtags " numFmtId="0">
      <sharedItems containsBlank="1" count="7">
        <s v="#FutureOfDriving"/>
        <s v="#TeslaCoInnovation"/>
        <s v="#EVRevolution"/>
        <s v="#AnytimeIsTeslaTime"/>
        <s v="#BetterWithTesla"/>
        <m/>
        <s v="#SmoothLikeNitroTesl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gi" refreshedDate="45938.776359606483" createdVersion="7" refreshedVersion="7" minRefreshableVersion="3" recordCount="339" xr:uid="{1ECAAD7B-6DE2-4C1D-BC11-0DBF0672C143}">
  <cacheSource type="worksheet">
    <worksheetSource ref="A1:D340" sheet="TASK 4 sheet "/>
  </cacheSource>
  <cacheFields count="4">
    <cacheField name="POST ID " numFmtId="0">
      <sharedItems/>
    </cacheField>
    <cacheField name="Engagement Rate " numFmtId="0">
      <sharedItems containsSemiMixedTypes="0" containsString="0" containsNumber="1" minValue="5.2551586421122697E-2" maxValue="1.8129251700680271"/>
    </cacheField>
    <cacheField name="Attribute" numFmtId="0">
      <sharedItems/>
    </cacheField>
    <cacheField name="Value" numFmtId="0">
      <sharedItems count="6">
        <s v="#FutureOfDriving"/>
        <s v="#AnytimeIsTeslaTime"/>
        <s v="#TeslaCoInnovation"/>
        <s v="#BetterWithTesla"/>
        <s v="#EVRevolution"/>
        <s v="#SmoothLikeNitroTesla"/>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 refreshedDate="45940.053386458334" backgroundQuery="1" createdVersion="7" refreshedVersion="7" minRefreshableVersion="3" recordCount="0" supportSubquery="1" supportAdvancedDrill="1" xr:uid="{D47D0416-A768-4D8B-A753-4DA55A3E2CF6}">
  <cacheSource type="external" connectionId="8"/>
  <cacheFields count="4">
    <cacheField name="[Measures].[Count of Post ID 2]" caption="Count of Post ID 2" numFmtId="0" hierarchy="50" level="32767"/>
    <cacheField name="[Posts_Cleaned].[Platform].[Platform]" caption="Platform" numFmtId="0" hierarchy="8" level="1">
      <sharedItems count="4">
        <s v="Facebook"/>
        <s v="Instagram"/>
        <s v="X"/>
        <s v="YouTube"/>
      </sharedItems>
    </cacheField>
    <cacheField name="[Posts_Cleaned].[Content Type].[Content Type]" caption="Content Type" numFmtId="0" hierarchy="10" level="1">
      <sharedItems count="3">
        <s v="Carousel"/>
        <s v="Image"/>
        <s v="Video"/>
      </sharedItems>
    </cacheField>
    <cacheField name="[Measures].[Average of Engagement Rate]" caption="Average of Engagement Rate" numFmtId="0" hierarchy="52" level="32767"/>
  </cacheFields>
  <cacheHierarchies count="53">
    <cacheHierarchy uniqueName="[Campaign Metadata  3].[Campaign_Name]" caption="Campaign_Name" attribute="1" defaultMemberUniqueName="[Campaign Metadata  3].[Campaign_Name].[All]" allUniqueName="[Campaign Metadata  3].[Campaign_Name].[All]" dimensionUniqueName="[Campaign Metadata  3]" displayFolder="" count="2" memberValueDatatype="130" unbalanced="0"/>
    <cacheHierarchy uniqueName="[Campaign Metadata  3].[Start_Date]" caption="Start_Date" attribute="1" time="1" defaultMemberUniqueName="[Campaign Metadata  3].[Start_Date].[All]" allUniqueName="[Campaign Metadata  3].[Start_Date].[All]" dimensionUniqueName="[Campaign Metadata  3]" displayFolder="" count="2" memberValueDatatype="7" unbalanced="0"/>
    <cacheHierarchy uniqueName="[Campaign Metadata  3].[End_Date]" caption="End_Date" attribute="1" time="1" defaultMemberUniqueName="[Campaign Metadata  3].[End_Date].[All]" allUniqueName="[Campaign Metadata  3].[End_Date].[All]" dimensionUniqueName="[Campaign Metadata  3]" displayFolder="" count="2" memberValueDatatype="7" unbalanced="0"/>
    <cacheHierarchy uniqueName="[Campaign Metadata  3].[Objective]" caption="Objective" attribute="1" defaultMemberUniqueName="[Campaign Metadata  3].[Objective].[All]" allUniqueName="[Campaign Metadata  3].[Objective].[All]" dimensionUniqueName="[Campaign Metadata  3]" displayFolder="" count="2" memberValueDatatype="130" unbalanced="0"/>
    <cacheHierarchy uniqueName="[Campaign Metadata  3].[Total_Budget]" caption="Total_Budget" attribute="1" defaultMemberUniqueName="[Campaign Metadata  3].[Total_Budget].[All]" allUniqueName="[Campaign Metadata  3].[Total_Budget].[All]" dimensionUniqueName="[Campaign Metadata  3]" displayFolder="" count="2" memberValueDatatype="20" unbalanced="0"/>
    <cacheHierarchy uniqueName="[Campaign Metadata  3].[Target_Platforms]" caption="Target_Platforms" attribute="1" defaultMemberUniqueName="[Campaign Metadata  3].[Target_Platforms].[All]" allUniqueName="[Campaign Metadata  3].[Target_Platforms].[All]" dimensionUniqueName="[Campaign Metadata  3]" displayFolder="" count="2" memberValueDatatype="130" unbalanced="0"/>
    <cacheHierarchy uniqueName="[Campaign Metadata  3].[Primary_Hashtags]" caption="Primary_Hashtags" attribute="1" defaultMemberUniqueName="[Campaign Metadata  3].[Primary_Hashtags].[All]" allUniqueName="[Campaign Metadata  3].[Primary_Hashtags].[All]" dimensionUniqueName="[Campaign Metadata  3]" displayFolder="" count="2" memberValueDatatype="130" unbalanced="0"/>
    <cacheHierarchy uniqueName="[Posts_Cleaned].[Post ID]" caption="Post ID" attribute="1" defaultMemberUniqueName="[Posts_Cleaned].[Post ID].[All]" allUniqueName="[Posts_Cleaned].[Post ID].[All]" dimensionUniqueName="[Posts_Cleaned]" displayFolder="" count="2" memberValueDatatype="130" unbalanced="0"/>
    <cacheHierarchy uniqueName="[Posts_Cleaned].[Platform]" caption="Platform" attribute="1" defaultMemberUniqueName="[Posts_Cleaned].[Platform].[All]" allUniqueName="[Posts_Cleaned].[Platform].[All]" dimensionUniqueName="[Posts_Cleaned]" displayFolder="" count="2" memberValueDatatype="130" unbalanced="0">
      <fieldsUsage count="2">
        <fieldUsage x="-1"/>
        <fieldUsage x="1"/>
      </fieldsUsage>
    </cacheHierarchy>
    <cacheHierarchy uniqueName="[Posts_Cleaned].[Date]" caption="Date" attribute="1" time="1" defaultMemberUniqueName="[Posts_Cleaned].[Date].[All]" allUniqueName="[Posts_Cleaned].[Date].[All]" dimensionUniqueName="[Posts_Cleaned]" displayFolder="" count="2" memberValueDatatype="7" unbalanced="0"/>
    <cacheHierarchy uniqueName="[Posts_Cleaned].[Content Type]" caption="Content Type" attribute="1" defaultMemberUniqueName="[Posts_Cleaned].[Content Type].[All]" allUniqueName="[Posts_Cleaned].[Content Type].[All]" dimensionUniqueName="[Posts_Cleaned]" displayFolder="" count="2" memberValueDatatype="130" unbalanced="0">
      <fieldsUsage count="2">
        <fieldUsage x="-1"/>
        <fieldUsage x="2"/>
      </fieldsUsage>
    </cacheHierarchy>
    <cacheHierarchy uniqueName="[Posts_Cleaned].[Post Text]" caption="Post Text" attribute="1" defaultMemberUniqueName="[Posts_Cleaned].[Post Text].[All]" allUniqueName="[Posts_Cleaned].[Post Text].[All]" dimensionUniqueName="[Posts_Cleaned]" displayFolder="" count="2" memberValueDatatype="130" unbalanced="0"/>
    <cacheHierarchy uniqueName="[Posts_Cleaned].[Likes]" caption="Likes" attribute="1" defaultMemberUniqueName="[Posts_Cleaned].[Likes].[All]" allUniqueName="[Posts_Cleaned].[Likes].[All]" dimensionUniqueName="[Posts_Cleaned]" displayFolder="" count="2" memberValueDatatype="20" unbalanced="0"/>
    <cacheHierarchy uniqueName="[Posts_Cleaned].[Shares]" caption="Shares" attribute="1" defaultMemberUniqueName="[Posts_Cleaned].[Shares].[All]" allUniqueName="[Posts_Cleaned].[Shares].[All]" dimensionUniqueName="[Posts_Cleaned]" displayFolder="" count="2" memberValueDatatype="20" unbalanced="0"/>
    <cacheHierarchy uniqueName="[Posts_Cleaned].[Comments]" caption="Comments" attribute="1" defaultMemberUniqueName="[Posts_Cleaned].[Comments].[All]" allUniqueName="[Posts_Cleaned].[Comments].[All]" dimensionUniqueName="[Posts_Cleaned]" displayFolder="" count="2" memberValueDatatype="20" unbalanced="0"/>
    <cacheHierarchy uniqueName="[Posts_Cleaned].[Impressions]" caption="Impressions" attribute="1" defaultMemberUniqueName="[Posts_Cleaned].[Impressions].[All]" allUniqueName="[Posts_Cleaned].[Impressions].[All]" dimensionUniqueName="[Posts_Cleaned]" displayFolder="" count="2" memberValueDatatype="20" unbalanced="0"/>
    <cacheHierarchy uniqueName="[Posts_Cleaned].[Reach]" caption="Reach" attribute="1" defaultMemberUniqueName="[Posts_Cleaned].[Reach].[All]" allUniqueName="[Posts_Cleaned].[Reach].[All]" dimensionUniqueName="[Posts_Cleaned]" displayFolder="" count="2" memberValueDatatype="20" unbalanced="0"/>
    <cacheHierarchy uniqueName="[Posts_Cleaned].[Clicks]" caption="Clicks" attribute="1" defaultMemberUniqueName="[Posts_Cleaned].[Clicks].[All]" allUniqueName="[Posts_Cleaned].[Clicks].[All]" dimensionUniqueName="[Posts_Cleaned]" displayFolder="" count="2" memberValueDatatype="20" unbalanced="0"/>
    <cacheHierarchy uniqueName="[Posts_Cleaned].[Hashtags Used.1]" caption="Hashtags Used.1" attribute="1" defaultMemberUniqueName="[Posts_Cleaned].[Hashtags Used.1].[All]" allUniqueName="[Posts_Cleaned].[Hashtags Used.1].[All]" dimensionUniqueName="[Posts_Cleaned]" displayFolder="" count="2" memberValueDatatype="130" unbalanced="0"/>
    <cacheHierarchy uniqueName="[Posts_Cleaned].[Hashtags Used.2]" caption="Hashtags Used.2" attribute="1" defaultMemberUniqueName="[Posts_Cleaned].[Hashtags Used.2].[All]" allUniqueName="[Posts_Cleaned].[Hashtags Used.2].[All]" dimensionUniqueName="[Posts_Cleaned]" displayFolder="" count="2" memberValueDatatype="130" unbalanced="0"/>
    <cacheHierarchy uniqueName="[Posts_Cleaned].[Hashtags Used.3]" caption="Hashtags Used.3" attribute="1" defaultMemberUniqueName="[Posts_Cleaned].[Hashtags Used.3].[All]" allUniqueName="[Posts_Cleaned].[Hashtags Used.3].[All]" dimensionUniqueName="[Posts_Cleaned]" displayFolder="" count="2" memberValueDatatype="130" unbalanced="0"/>
    <cacheHierarchy uniqueName="[Posts_Cleaned].[Campaign_Name]" caption="Campaign_Name" attribute="1" defaultMemberUniqueName="[Posts_Cleaned].[Campaign_Name].[All]" allUniqueName="[Posts_Cleaned].[Campaign_Name].[All]" dimensionUniqueName="[Posts_Cleaned]" displayFolder="" count="2" memberValueDatatype="130" unbalanced="0"/>
    <cacheHierarchy uniqueName="[Posts_Cleaned].[Engagement Rate]" caption="Engagement Rate" attribute="1" defaultMemberUniqueName="[Posts_Cleaned].[Engagement Rate].[All]" allUniqueName="[Posts_Cleaned].[Engagement Rate].[All]" dimensionUniqueName="[Posts_Cleaned]" displayFolder="" count="2" memberValueDatatype="5" unbalanced="0"/>
    <cacheHierarchy uniqueName="[Posts_Cleaned].[Hashtags]" caption="Hashtags" attribute="1" defaultMemberUniqueName="[Posts_Cleaned].[Hashtags].[All]" allUniqueName="[Posts_Cleaned].[Hashtags].[All]" dimensionUniqueName="[Posts_Cleaned]" displayFolder="" count="2" memberValueDatatype="130" unbalanced="0"/>
    <cacheHierarchy uniqueName="[Posts_Cleaned  3].[Post ID]" caption="Post ID" attribute="1" defaultMemberUniqueName="[Posts_Cleaned  3].[Post ID].[All]" allUniqueName="[Posts_Cleaned  3].[Post ID].[All]" dimensionUniqueName="[Posts_Cleaned  3]" displayFolder="" count="2" memberValueDatatype="130" unbalanced="0"/>
    <cacheHierarchy uniqueName="[Posts_Cleaned  3].[Platform]" caption="Platform" attribute="1" defaultMemberUniqueName="[Posts_Cleaned  3].[Platform].[All]" allUniqueName="[Posts_Cleaned  3].[Platform].[All]" dimensionUniqueName="[Posts_Cleaned  3]" displayFolder="" count="2" memberValueDatatype="130" unbalanced="0"/>
    <cacheHierarchy uniqueName="[Posts_Cleaned  3].[Date]" caption="Date" attribute="1" time="1" defaultMemberUniqueName="[Posts_Cleaned  3].[Date].[All]" allUniqueName="[Posts_Cleaned  3].[Date].[All]" dimensionUniqueName="[Posts_Cleaned  3]" displayFolder="" count="2" memberValueDatatype="7" unbalanced="0"/>
    <cacheHierarchy uniqueName="[Posts_Cleaned  3].[Content Type]" caption="Content Type" attribute="1" defaultMemberUniqueName="[Posts_Cleaned  3].[Content Type].[All]" allUniqueName="[Posts_Cleaned  3].[Content Type].[All]" dimensionUniqueName="[Posts_Cleaned  3]" displayFolder="" count="2" memberValueDatatype="130" unbalanced="0"/>
    <cacheHierarchy uniqueName="[Posts_Cleaned  3].[Post Text]" caption="Post Text" attribute="1" defaultMemberUniqueName="[Posts_Cleaned  3].[Post Text].[All]" allUniqueName="[Posts_Cleaned  3].[Post Text].[All]" dimensionUniqueName="[Posts_Cleaned  3]" displayFolder="" count="2" memberValueDatatype="130" unbalanced="0"/>
    <cacheHierarchy uniqueName="[Posts_Cleaned  3].[Likes]" caption="Likes" attribute="1" defaultMemberUniqueName="[Posts_Cleaned  3].[Likes].[All]" allUniqueName="[Posts_Cleaned  3].[Likes].[All]" dimensionUniqueName="[Posts_Cleaned  3]" displayFolder="" count="2" memberValueDatatype="20" unbalanced="0"/>
    <cacheHierarchy uniqueName="[Posts_Cleaned  3].[Shares]" caption="Shares" attribute="1" defaultMemberUniqueName="[Posts_Cleaned  3].[Shares].[All]" allUniqueName="[Posts_Cleaned  3].[Shares].[All]" dimensionUniqueName="[Posts_Cleaned  3]" displayFolder="" count="2" memberValueDatatype="20" unbalanced="0"/>
    <cacheHierarchy uniqueName="[Posts_Cleaned  3].[Comments]" caption="Comments" attribute="1" defaultMemberUniqueName="[Posts_Cleaned  3].[Comments].[All]" allUniqueName="[Posts_Cleaned  3].[Comments].[All]" dimensionUniqueName="[Posts_Cleaned  3]" displayFolder="" count="2" memberValueDatatype="20" unbalanced="0"/>
    <cacheHierarchy uniqueName="[Posts_Cleaned  3].[Impressions]" caption="Impressions" attribute="1" defaultMemberUniqueName="[Posts_Cleaned  3].[Impressions].[All]" allUniqueName="[Posts_Cleaned  3].[Impressions].[All]" dimensionUniqueName="[Posts_Cleaned  3]" displayFolder="" count="2" memberValueDatatype="20" unbalanced="0"/>
    <cacheHierarchy uniqueName="[Posts_Cleaned  3].[Reach]" caption="Reach" attribute="1" defaultMemberUniqueName="[Posts_Cleaned  3].[Reach].[All]" allUniqueName="[Posts_Cleaned  3].[Reach].[All]" dimensionUniqueName="[Posts_Cleaned  3]" displayFolder="" count="2" memberValueDatatype="20" unbalanced="0"/>
    <cacheHierarchy uniqueName="[Posts_Cleaned  3].[Clicks]" caption="Clicks" attribute="1" defaultMemberUniqueName="[Posts_Cleaned  3].[Clicks].[All]" allUniqueName="[Posts_Cleaned  3].[Clicks].[All]" dimensionUniqueName="[Posts_Cleaned  3]" displayFolder="" count="2" memberValueDatatype="20" unbalanced="0"/>
    <cacheHierarchy uniqueName="[Posts_Cleaned  3].[Hashtags Used.1]" caption="Hashtags Used.1" attribute="1" defaultMemberUniqueName="[Posts_Cleaned  3].[Hashtags Used.1].[All]" allUniqueName="[Posts_Cleaned  3].[Hashtags Used.1].[All]" dimensionUniqueName="[Posts_Cleaned  3]" displayFolder="" count="2" memberValueDatatype="130" unbalanced="0"/>
    <cacheHierarchy uniqueName="[Posts_Cleaned  3].[Hashtags Used.2]" caption="Hashtags Used.2" attribute="1" defaultMemberUniqueName="[Posts_Cleaned  3].[Hashtags Used.2].[All]" allUniqueName="[Posts_Cleaned  3].[Hashtags Used.2].[All]" dimensionUniqueName="[Posts_Cleaned  3]" displayFolder="" count="2" memberValueDatatype="130" unbalanced="0"/>
    <cacheHierarchy uniqueName="[Posts_Cleaned  3].[Hashtags Used.3]" caption="Hashtags Used.3" attribute="1" defaultMemberUniqueName="[Posts_Cleaned  3].[Hashtags Used.3].[All]" allUniqueName="[Posts_Cleaned  3].[Hashtags Used.3].[All]" dimensionUniqueName="[Posts_Cleaned  3]" displayFolder="" count="2" memberValueDatatype="130" unbalanced="0"/>
    <cacheHierarchy uniqueName="[Posts_Cleaned  3].[Campaign_Name]" caption="Campaign_Name" attribute="1" defaultMemberUniqueName="[Posts_Cleaned  3].[Campaign_Name].[All]" allUniqueName="[Posts_Cleaned  3].[Campaign_Name].[All]" dimensionUniqueName="[Posts_Cleaned  3]" displayFolder="" count="2" memberValueDatatype="130" unbalanced="0"/>
    <cacheHierarchy uniqueName="[Range].[Engagement Rate]" caption="Engagement Rate" attribute="1" defaultMemberUniqueName="[Range].[Engagement Rate].[All]" allUniqueName="[Range].[Engagement Rate].[All]" dimensionUniqueName="[Range]" displayFolder="" count="2" memberValueDatatype="5" unbalanced="0"/>
    <cacheHierarchy uniqueName="[Measures].[__XL_Count Range]" caption="__XL_Count Range" measure="1" displayFolder="" measureGroup="Range" count="0" hidden="1"/>
    <cacheHierarchy uniqueName="[Measures].[__XL_Count Posts_Cleaned]" caption="__XL_Count Posts_Cleaned" measure="1" displayFolder="" measureGroup="Posts_Cleaned" count="0" hidden="1"/>
    <cacheHierarchy uniqueName="[Measures].[__XL_Count Posts_Cleaned  3]" caption="__XL_Count Posts_Cleaned  3" measure="1" displayFolder="" measureGroup="Posts_Cleaned  3" count="0" hidden="1"/>
    <cacheHierarchy uniqueName="[Measures].[__XL_Count Campaign Metadata  3]" caption="__XL_Count Campaign Metadata  3" measure="1" displayFolder="" measureGroup="Campaign Metadata  3" count="0" hidden="1"/>
    <cacheHierarchy uniqueName="[Measures].[__No measures defined]" caption="__No measures defined" measure="1" displayFolder="" count="0" hidden="1"/>
    <cacheHierarchy uniqueName="[Measures].[Sum of Likes]" caption="Sum of Likes" measure="1" displayFolder="" measureGroup="Posts_Cleaned" count="0" hidden="1">
      <extLst>
        <ext xmlns:x15="http://schemas.microsoft.com/office/spreadsheetml/2010/11/main" uri="{B97F6D7D-B522-45F9-BDA1-12C45D357490}">
          <x15:cacheHierarchy aggregatedColumn="12"/>
        </ext>
      </extLst>
    </cacheHierarchy>
    <cacheHierarchy uniqueName="[Measures].[Sum of Shares]" caption="Sum of Shares" measure="1" displayFolder="" measureGroup="Posts_Cleaned" count="0" hidden="1">
      <extLst>
        <ext xmlns:x15="http://schemas.microsoft.com/office/spreadsheetml/2010/11/main" uri="{B97F6D7D-B522-45F9-BDA1-12C45D357490}">
          <x15:cacheHierarchy aggregatedColumn="13"/>
        </ext>
      </extLst>
    </cacheHierarchy>
    <cacheHierarchy uniqueName="[Measures].[Sum of Comments]" caption="Sum of Comments" measure="1" displayFolder="" measureGroup="Posts_Cleaned" count="0" hidden="1">
      <extLst>
        <ext xmlns:x15="http://schemas.microsoft.com/office/spreadsheetml/2010/11/main" uri="{B97F6D7D-B522-45F9-BDA1-12C45D357490}">
          <x15:cacheHierarchy aggregatedColumn="14"/>
        </ext>
      </extLst>
    </cacheHierarchy>
    <cacheHierarchy uniqueName="[Measures].[Average of Clicks]" caption="Average of Clicks" measure="1" displayFolder="" measureGroup="Posts_Cleaned  3" count="0" hidden="1">
      <extLst>
        <ext xmlns:x15="http://schemas.microsoft.com/office/spreadsheetml/2010/11/main" uri="{B97F6D7D-B522-45F9-BDA1-12C45D357490}">
          <x15:cacheHierarchy aggregatedColumn="34"/>
        </ext>
      </extLst>
    </cacheHierarchy>
    <cacheHierarchy uniqueName="[Measures].[Count of Post ID]" caption="Count of Post ID" measure="1" displayFolder="" measureGroup="Posts_Cleaned  3" count="0" hidden="1">
      <extLst>
        <ext xmlns:x15="http://schemas.microsoft.com/office/spreadsheetml/2010/11/main" uri="{B97F6D7D-B522-45F9-BDA1-12C45D357490}">
          <x15:cacheHierarchy aggregatedColumn="24"/>
        </ext>
      </extLst>
    </cacheHierarchy>
    <cacheHierarchy uniqueName="[Measures].[Count of Post ID 2]" caption="Count of Post ID 2" measure="1" displayFolder="" measureGroup="Posts_Cleaned"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Engagement Rate]" caption="Sum of Engagement Rate" measure="1" displayFolder="" measureGroup="Posts_Cleaned" count="0" hidden="1">
      <extLst>
        <ext xmlns:x15="http://schemas.microsoft.com/office/spreadsheetml/2010/11/main" uri="{B97F6D7D-B522-45F9-BDA1-12C45D357490}">
          <x15:cacheHierarchy aggregatedColumn="22"/>
        </ext>
      </extLst>
    </cacheHierarchy>
    <cacheHierarchy uniqueName="[Measures].[Average of Engagement Rate]" caption="Average of Engagement Rate" measure="1" displayFolder="" measureGroup="Posts_Cleaned" count="0" oneField="1" hidden="1">
      <fieldsUsage count="1">
        <fieldUsage x="3"/>
      </fieldsUsage>
      <extLst>
        <ext xmlns:x15="http://schemas.microsoft.com/office/spreadsheetml/2010/11/main" uri="{B97F6D7D-B522-45F9-BDA1-12C45D357490}">
          <x15:cacheHierarchy aggregatedColumn="22"/>
        </ext>
      </extLst>
    </cacheHierarchy>
  </cacheHierarchies>
  <kpis count="0"/>
  <dimensions count="5">
    <dimension name="Campaign Metadata  3" uniqueName="[Campaign Metadata  3]" caption="Campaign Metadata  3"/>
    <dimension measure="1" name="Measures" uniqueName="[Measures]" caption="Measures"/>
    <dimension name="Posts_Cleaned" uniqueName="[Posts_Cleaned]" caption="Posts_Cleaned"/>
    <dimension name="Posts_Cleaned  3" uniqueName="[Posts_Cleaned  3]" caption="Posts_Cleaned  3"/>
    <dimension name="Range" uniqueName="[Range]" caption="Range"/>
  </dimensions>
  <measureGroups count="4">
    <measureGroup name="Campaign Metadata  3" caption="Campaign Metadata  3"/>
    <measureGroup name="Posts_Cleaned" caption="Posts_Cleaned"/>
    <measureGroup name="Posts_Cleaned  3" caption="Posts_Cleaned  3"/>
    <measureGroup name="Range" caption="Range"/>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 refreshedDate="45938.789955092594" backgroundQuery="1" createdVersion="3" refreshedVersion="7" minRefreshableVersion="3" recordCount="0" supportSubquery="1" supportAdvancedDrill="1" xr:uid="{6FD76D7B-D44F-4969-87CC-535137B1EC1A}">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Campaign Metadata  3].[Campaign_Name]" caption="Campaign_Name" attribute="1" defaultMemberUniqueName="[Campaign Metadata  3].[Campaign_Name].[All]" allUniqueName="[Campaign Metadata  3].[Campaign_Name].[All]" dimensionUniqueName="[Campaign Metadata  3]" displayFolder="" count="0" memberValueDatatype="130" unbalanced="0"/>
    <cacheHierarchy uniqueName="[Campaign Metadata  3].[Start_Date]" caption="Start_Date" attribute="1" time="1" defaultMemberUniqueName="[Campaign Metadata  3].[Start_Date].[All]" allUniqueName="[Campaign Metadata  3].[Start_Date].[All]" dimensionUniqueName="[Campaign Metadata  3]" displayFolder="" count="0" memberValueDatatype="7" unbalanced="0"/>
    <cacheHierarchy uniqueName="[Campaign Metadata  3].[End_Date]" caption="End_Date" attribute="1" time="1" defaultMemberUniqueName="[Campaign Metadata  3].[End_Date].[All]" allUniqueName="[Campaign Metadata  3].[End_Date].[All]" dimensionUniqueName="[Campaign Metadata  3]" displayFolder="" count="0" memberValueDatatype="7" unbalanced="0"/>
    <cacheHierarchy uniqueName="[Campaign Metadata  3].[Objective]" caption="Objective" attribute="1" defaultMemberUniqueName="[Campaign Metadata  3].[Objective].[All]" allUniqueName="[Campaign Metadata  3].[Objective].[All]" dimensionUniqueName="[Campaign Metadata  3]" displayFolder="" count="0" memberValueDatatype="130" unbalanced="0"/>
    <cacheHierarchy uniqueName="[Campaign Metadata  3].[Total_Budget]" caption="Total_Budget" attribute="1" defaultMemberUniqueName="[Campaign Metadata  3].[Total_Budget].[All]" allUniqueName="[Campaign Metadata  3].[Total_Budget].[All]" dimensionUniqueName="[Campaign Metadata  3]" displayFolder="" count="0" memberValueDatatype="20" unbalanced="0"/>
    <cacheHierarchy uniqueName="[Campaign Metadata  3].[Target_Platforms]" caption="Target_Platforms" attribute="1" defaultMemberUniqueName="[Campaign Metadata  3].[Target_Platforms].[All]" allUniqueName="[Campaign Metadata  3].[Target_Platforms].[All]" dimensionUniqueName="[Campaign Metadata  3]" displayFolder="" count="0" memberValueDatatype="130" unbalanced="0"/>
    <cacheHierarchy uniqueName="[Campaign Metadata  3].[Primary_Hashtags]" caption="Primary_Hashtags" attribute="1" defaultMemberUniqueName="[Campaign Metadata  3].[Primary_Hashtags].[All]" allUniqueName="[Campaign Metadata  3].[Primary_Hashtags].[All]" dimensionUniqueName="[Campaign Metadata  3]" displayFolder="" count="0" memberValueDatatype="130" unbalanced="0"/>
    <cacheHierarchy uniqueName="[Posts_Cleaned].[Post ID]" caption="Post ID" attribute="1" defaultMemberUniqueName="[Posts_Cleaned].[Post ID].[All]" allUniqueName="[Posts_Cleaned].[Post ID].[All]" dimensionUniqueName="[Posts_Cleaned]" displayFolder="" count="0" memberValueDatatype="130" unbalanced="0"/>
    <cacheHierarchy uniqueName="[Posts_Cleaned].[Platform]" caption="Platform" attribute="1" defaultMemberUniqueName="[Posts_Cleaned].[Platform].[All]" allUniqueName="[Posts_Cleaned].[Platform].[All]" dimensionUniqueName="[Posts_Cleaned]" displayFolder="" count="2" memberValueDatatype="130" unbalanced="0"/>
    <cacheHierarchy uniqueName="[Posts_Cleaned].[Date]" caption="Date" attribute="1" time="1" defaultMemberUniqueName="[Posts_Cleaned].[Date].[All]" allUniqueName="[Posts_Cleaned].[Date].[All]" dimensionUniqueName="[Posts_Cleaned]" displayFolder="" count="0" memberValueDatatype="7" unbalanced="0"/>
    <cacheHierarchy uniqueName="[Posts_Cleaned].[Content Type]" caption="Content Type" attribute="1" defaultMemberUniqueName="[Posts_Cleaned].[Content Type].[All]" allUniqueName="[Posts_Cleaned].[Content Type].[All]" dimensionUniqueName="[Posts_Cleaned]" displayFolder="" count="2" memberValueDatatype="130" unbalanced="0"/>
    <cacheHierarchy uniqueName="[Posts_Cleaned].[Post Text]" caption="Post Text" attribute="1" defaultMemberUniqueName="[Posts_Cleaned].[Post Text].[All]" allUniqueName="[Posts_Cleaned].[Post Text].[All]" dimensionUniqueName="[Posts_Cleaned]" displayFolder="" count="0" memberValueDatatype="130" unbalanced="0"/>
    <cacheHierarchy uniqueName="[Posts_Cleaned].[Likes]" caption="Likes" attribute="1" defaultMemberUniqueName="[Posts_Cleaned].[Likes].[All]" allUniqueName="[Posts_Cleaned].[Likes].[All]" dimensionUniqueName="[Posts_Cleaned]" displayFolder="" count="0" memberValueDatatype="20" unbalanced="0"/>
    <cacheHierarchy uniqueName="[Posts_Cleaned].[Shares]" caption="Shares" attribute="1" defaultMemberUniqueName="[Posts_Cleaned].[Shares].[All]" allUniqueName="[Posts_Cleaned].[Shares].[All]" dimensionUniqueName="[Posts_Cleaned]" displayFolder="" count="0" memberValueDatatype="20" unbalanced="0"/>
    <cacheHierarchy uniqueName="[Posts_Cleaned].[Comments]" caption="Comments" attribute="1" defaultMemberUniqueName="[Posts_Cleaned].[Comments].[All]" allUniqueName="[Posts_Cleaned].[Comments].[All]" dimensionUniqueName="[Posts_Cleaned]" displayFolder="" count="0" memberValueDatatype="20" unbalanced="0"/>
    <cacheHierarchy uniqueName="[Posts_Cleaned].[Impressions]" caption="Impressions" attribute="1" defaultMemberUniqueName="[Posts_Cleaned].[Impressions].[All]" allUniqueName="[Posts_Cleaned].[Impressions].[All]" dimensionUniqueName="[Posts_Cleaned]" displayFolder="" count="0" memberValueDatatype="20" unbalanced="0"/>
    <cacheHierarchy uniqueName="[Posts_Cleaned].[Reach]" caption="Reach" attribute="1" defaultMemberUniqueName="[Posts_Cleaned].[Reach].[All]" allUniqueName="[Posts_Cleaned].[Reach].[All]" dimensionUniqueName="[Posts_Cleaned]" displayFolder="" count="0" memberValueDatatype="20" unbalanced="0"/>
    <cacheHierarchy uniqueName="[Posts_Cleaned].[Clicks]" caption="Clicks" attribute="1" defaultMemberUniqueName="[Posts_Cleaned].[Clicks].[All]" allUniqueName="[Posts_Cleaned].[Clicks].[All]" dimensionUniqueName="[Posts_Cleaned]" displayFolder="" count="0" memberValueDatatype="20" unbalanced="0"/>
    <cacheHierarchy uniqueName="[Posts_Cleaned].[Hashtags Used.1]" caption="Hashtags Used.1" attribute="1" defaultMemberUniqueName="[Posts_Cleaned].[Hashtags Used.1].[All]" allUniqueName="[Posts_Cleaned].[Hashtags Used.1].[All]" dimensionUniqueName="[Posts_Cleaned]" displayFolder="" count="0" memberValueDatatype="130" unbalanced="0"/>
    <cacheHierarchy uniqueName="[Posts_Cleaned].[Hashtags Used.2]" caption="Hashtags Used.2" attribute="1" defaultMemberUniqueName="[Posts_Cleaned].[Hashtags Used.2].[All]" allUniqueName="[Posts_Cleaned].[Hashtags Used.2].[All]" dimensionUniqueName="[Posts_Cleaned]" displayFolder="" count="0" memberValueDatatype="130" unbalanced="0"/>
    <cacheHierarchy uniqueName="[Posts_Cleaned].[Hashtags Used.3]" caption="Hashtags Used.3" attribute="1" defaultMemberUniqueName="[Posts_Cleaned].[Hashtags Used.3].[All]" allUniqueName="[Posts_Cleaned].[Hashtags Used.3].[All]" dimensionUniqueName="[Posts_Cleaned]" displayFolder="" count="0" memberValueDatatype="130" unbalanced="0"/>
    <cacheHierarchy uniqueName="[Posts_Cleaned].[Campaign_Name]" caption="Campaign_Name" attribute="1" defaultMemberUniqueName="[Posts_Cleaned].[Campaign_Name].[All]" allUniqueName="[Posts_Cleaned].[Campaign_Name].[All]" dimensionUniqueName="[Posts_Cleaned]" displayFolder="" count="0" memberValueDatatype="130" unbalanced="0"/>
    <cacheHierarchy uniqueName="[Posts_Cleaned].[Engagement Rate]" caption="Engagement Rate" attribute="1" defaultMemberUniqueName="[Posts_Cleaned].[Engagement Rate].[All]" allUniqueName="[Posts_Cleaned].[Engagement Rate].[All]" dimensionUniqueName="[Posts_Cleaned]" displayFolder="" count="0" memberValueDatatype="5" unbalanced="0"/>
    <cacheHierarchy uniqueName="[Posts_Cleaned].[Hashtags]" caption="Hashtags" attribute="1" defaultMemberUniqueName="[Posts_Cleaned].[Hashtags].[All]" allUniqueName="[Posts_Cleaned].[Hashtags].[All]" dimensionUniqueName="[Posts_Cleaned]" displayFolder="" count="0" memberValueDatatype="130" unbalanced="0"/>
    <cacheHierarchy uniqueName="[Posts_Cleaned  3].[Post ID]" caption="Post ID" attribute="1" defaultMemberUniqueName="[Posts_Cleaned  3].[Post ID].[All]" allUniqueName="[Posts_Cleaned  3].[Post ID].[All]" dimensionUniqueName="[Posts_Cleaned  3]" displayFolder="" count="0" memberValueDatatype="130" unbalanced="0"/>
    <cacheHierarchy uniqueName="[Posts_Cleaned  3].[Platform]" caption="Platform" attribute="1" defaultMemberUniqueName="[Posts_Cleaned  3].[Platform].[All]" allUniqueName="[Posts_Cleaned  3].[Platform].[All]" dimensionUniqueName="[Posts_Cleaned  3]" displayFolder="" count="0" memberValueDatatype="130" unbalanced="0"/>
    <cacheHierarchy uniqueName="[Posts_Cleaned  3].[Date]" caption="Date" attribute="1" time="1" defaultMemberUniqueName="[Posts_Cleaned  3].[Date].[All]" allUniqueName="[Posts_Cleaned  3].[Date].[All]" dimensionUniqueName="[Posts_Cleaned  3]" displayFolder="" count="0" memberValueDatatype="7" unbalanced="0"/>
    <cacheHierarchy uniqueName="[Posts_Cleaned  3].[Content Type]" caption="Content Type" attribute="1" defaultMemberUniqueName="[Posts_Cleaned  3].[Content Type].[All]" allUniqueName="[Posts_Cleaned  3].[Content Type].[All]" dimensionUniqueName="[Posts_Cleaned  3]" displayFolder="" count="0" memberValueDatatype="130" unbalanced="0"/>
    <cacheHierarchy uniqueName="[Posts_Cleaned  3].[Post Text]" caption="Post Text" attribute="1" defaultMemberUniqueName="[Posts_Cleaned  3].[Post Text].[All]" allUniqueName="[Posts_Cleaned  3].[Post Text].[All]" dimensionUniqueName="[Posts_Cleaned  3]" displayFolder="" count="0" memberValueDatatype="130" unbalanced="0"/>
    <cacheHierarchy uniqueName="[Posts_Cleaned  3].[Likes]" caption="Likes" attribute="1" defaultMemberUniqueName="[Posts_Cleaned  3].[Likes].[All]" allUniqueName="[Posts_Cleaned  3].[Likes].[All]" dimensionUniqueName="[Posts_Cleaned  3]" displayFolder="" count="0" memberValueDatatype="20" unbalanced="0"/>
    <cacheHierarchy uniqueName="[Posts_Cleaned  3].[Shares]" caption="Shares" attribute="1" defaultMemberUniqueName="[Posts_Cleaned  3].[Shares].[All]" allUniqueName="[Posts_Cleaned  3].[Shares].[All]" dimensionUniqueName="[Posts_Cleaned  3]" displayFolder="" count="0" memberValueDatatype="20" unbalanced="0"/>
    <cacheHierarchy uniqueName="[Posts_Cleaned  3].[Comments]" caption="Comments" attribute="1" defaultMemberUniqueName="[Posts_Cleaned  3].[Comments].[All]" allUniqueName="[Posts_Cleaned  3].[Comments].[All]" dimensionUniqueName="[Posts_Cleaned  3]" displayFolder="" count="0" memberValueDatatype="20" unbalanced="0"/>
    <cacheHierarchy uniqueName="[Posts_Cleaned  3].[Impressions]" caption="Impressions" attribute="1" defaultMemberUniqueName="[Posts_Cleaned  3].[Impressions].[All]" allUniqueName="[Posts_Cleaned  3].[Impressions].[All]" dimensionUniqueName="[Posts_Cleaned  3]" displayFolder="" count="0" memberValueDatatype="20" unbalanced="0"/>
    <cacheHierarchy uniqueName="[Posts_Cleaned  3].[Reach]" caption="Reach" attribute="1" defaultMemberUniqueName="[Posts_Cleaned  3].[Reach].[All]" allUniqueName="[Posts_Cleaned  3].[Reach].[All]" dimensionUniqueName="[Posts_Cleaned  3]" displayFolder="" count="0" memberValueDatatype="20" unbalanced="0"/>
    <cacheHierarchy uniqueName="[Posts_Cleaned  3].[Clicks]" caption="Clicks" attribute="1" defaultMemberUniqueName="[Posts_Cleaned  3].[Clicks].[All]" allUniqueName="[Posts_Cleaned  3].[Clicks].[All]" dimensionUniqueName="[Posts_Cleaned  3]" displayFolder="" count="0" memberValueDatatype="20" unbalanced="0"/>
    <cacheHierarchy uniqueName="[Posts_Cleaned  3].[Hashtags Used.1]" caption="Hashtags Used.1" attribute="1" defaultMemberUniqueName="[Posts_Cleaned  3].[Hashtags Used.1].[All]" allUniqueName="[Posts_Cleaned  3].[Hashtags Used.1].[All]" dimensionUniqueName="[Posts_Cleaned  3]" displayFolder="" count="0" memberValueDatatype="130" unbalanced="0"/>
    <cacheHierarchy uniqueName="[Posts_Cleaned  3].[Hashtags Used.2]" caption="Hashtags Used.2" attribute="1" defaultMemberUniqueName="[Posts_Cleaned  3].[Hashtags Used.2].[All]" allUniqueName="[Posts_Cleaned  3].[Hashtags Used.2].[All]" dimensionUniqueName="[Posts_Cleaned  3]" displayFolder="" count="0" memberValueDatatype="130" unbalanced="0"/>
    <cacheHierarchy uniqueName="[Posts_Cleaned  3].[Hashtags Used.3]" caption="Hashtags Used.3" attribute="1" defaultMemberUniqueName="[Posts_Cleaned  3].[Hashtags Used.3].[All]" allUniqueName="[Posts_Cleaned  3].[Hashtags Used.3].[All]" dimensionUniqueName="[Posts_Cleaned  3]" displayFolder="" count="0" memberValueDatatype="130" unbalanced="0"/>
    <cacheHierarchy uniqueName="[Posts_Cleaned  3].[Campaign_Name]" caption="Campaign_Name" attribute="1" defaultMemberUniqueName="[Posts_Cleaned  3].[Campaign_Name].[All]" allUniqueName="[Posts_Cleaned  3].[Campaign_Name].[All]" dimensionUniqueName="[Posts_Cleaned  3]" displayFolder="" count="0" memberValueDatatype="130" unbalanced="0"/>
    <cacheHierarchy uniqueName="[Range].[Engagement Rate]" caption="Engagement Rate" attribute="1" defaultMemberUniqueName="[Range].[Engagement Rate].[All]" allUniqueName="[Range].[Engagement Rate].[All]" dimensionUniqueName="[Range]" displayFolder="" count="0" memberValueDatatype="5" unbalanced="0"/>
    <cacheHierarchy uniqueName="[Measures].[__XL_Count Range]" caption="__XL_Count Range" measure="1" displayFolder="" measureGroup="Range" count="0" hidden="1"/>
    <cacheHierarchy uniqueName="[Measures].[__XL_Count Posts_Cleaned]" caption="__XL_Count Posts_Cleaned" measure="1" displayFolder="" measureGroup="Posts_Cleaned" count="0" hidden="1"/>
    <cacheHierarchy uniqueName="[Measures].[__XL_Count Posts_Cleaned  3]" caption="__XL_Count Posts_Cleaned  3" measure="1" displayFolder="" measureGroup="Posts_Cleaned  3" count="0" hidden="1"/>
    <cacheHierarchy uniqueName="[Measures].[__XL_Count Campaign Metadata  3]" caption="__XL_Count Campaign Metadata  3" measure="1" displayFolder="" measureGroup="Campaign Metadata  3" count="0" hidden="1"/>
    <cacheHierarchy uniqueName="[Measures].[__No measures defined]" caption="__No measures defined" measure="1" displayFolder="" count="0" hidden="1"/>
    <cacheHierarchy uniqueName="[Measures].[Sum of Likes]" caption="Sum of Likes" measure="1" displayFolder="" measureGroup="Posts_Cleaned" count="0" hidden="1">
      <extLst>
        <ext xmlns:x15="http://schemas.microsoft.com/office/spreadsheetml/2010/11/main" uri="{B97F6D7D-B522-45F9-BDA1-12C45D357490}">
          <x15:cacheHierarchy aggregatedColumn="12"/>
        </ext>
      </extLst>
    </cacheHierarchy>
    <cacheHierarchy uniqueName="[Measures].[Sum of Shares]" caption="Sum of Shares" measure="1" displayFolder="" measureGroup="Posts_Cleaned" count="0" hidden="1">
      <extLst>
        <ext xmlns:x15="http://schemas.microsoft.com/office/spreadsheetml/2010/11/main" uri="{B97F6D7D-B522-45F9-BDA1-12C45D357490}">
          <x15:cacheHierarchy aggregatedColumn="13"/>
        </ext>
      </extLst>
    </cacheHierarchy>
    <cacheHierarchy uniqueName="[Measures].[Sum of Comments]" caption="Sum of Comments" measure="1" displayFolder="" measureGroup="Posts_Cleaned" count="0" hidden="1">
      <extLst>
        <ext xmlns:x15="http://schemas.microsoft.com/office/spreadsheetml/2010/11/main" uri="{B97F6D7D-B522-45F9-BDA1-12C45D357490}">
          <x15:cacheHierarchy aggregatedColumn="14"/>
        </ext>
      </extLst>
    </cacheHierarchy>
    <cacheHierarchy uniqueName="[Measures].[Average of Clicks]" caption="Average of Clicks" measure="1" displayFolder="" measureGroup="Posts_Cleaned  3" count="0" hidden="1">
      <extLst>
        <ext xmlns:x15="http://schemas.microsoft.com/office/spreadsheetml/2010/11/main" uri="{B97F6D7D-B522-45F9-BDA1-12C45D357490}">
          <x15:cacheHierarchy aggregatedColumn="34"/>
        </ext>
      </extLst>
    </cacheHierarchy>
    <cacheHierarchy uniqueName="[Measures].[Count of Post ID]" caption="Count of Post ID" measure="1" displayFolder="" measureGroup="Posts_Cleaned  3" count="0" hidden="1">
      <extLst>
        <ext xmlns:x15="http://schemas.microsoft.com/office/spreadsheetml/2010/11/main" uri="{B97F6D7D-B522-45F9-BDA1-12C45D357490}">
          <x15:cacheHierarchy aggregatedColumn="24"/>
        </ext>
      </extLst>
    </cacheHierarchy>
    <cacheHierarchy uniqueName="[Measures].[Count of Post ID 2]" caption="Count of Post ID 2" measure="1" displayFolder="" measureGroup="Posts_Cleaned" count="0" hidden="1">
      <extLst>
        <ext xmlns:x15="http://schemas.microsoft.com/office/spreadsheetml/2010/11/main" uri="{B97F6D7D-B522-45F9-BDA1-12C45D357490}">
          <x15:cacheHierarchy aggregatedColumn="7"/>
        </ext>
      </extLst>
    </cacheHierarchy>
    <cacheHierarchy uniqueName="[Measures].[Sum of Engagement Rate]" caption="Sum of Engagement Rate" measure="1" displayFolder="" measureGroup="Posts_Cleaned" count="0" hidden="1">
      <extLst>
        <ext xmlns:x15="http://schemas.microsoft.com/office/spreadsheetml/2010/11/main" uri="{B97F6D7D-B522-45F9-BDA1-12C45D357490}">
          <x15:cacheHierarchy aggregatedColumn="22"/>
        </ext>
      </extLst>
    </cacheHierarchy>
    <cacheHierarchy uniqueName="[Measures].[Average of Engagement Rate]" caption="Average of Engagement Rate" measure="1" displayFolder="" measureGroup="Posts_Cleaned"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60013749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2">
  <r>
    <x v="0"/>
  </r>
  <r>
    <x v="1"/>
  </r>
  <r>
    <x v="1"/>
  </r>
  <r>
    <x v="2"/>
  </r>
  <r>
    <x v="2"/>
  </r>
  <r>
    <x v="1"/>
  </r>
  <r>
    <x v="1"/>
  </r>
  <r>
    <x v="2"/>
  </r>
  <r>
    <x v="1"/>
  </r>
  <r>
    <x v="1"/>
  </r>
  <r>
    <x v="0"/>
  </r>
  <r>
    <x v="0"/>
  </r>
  <r>
    <x v="2"/>
  </r>
  <r>
    <x v="0"/>
  </r>
  <r>
    <x v="0"/>
  </r>
  <r>
    <x v="0"/>
  </r>
  <r>
    <x v="2"/>
  </r>
  <r>
    <x v="0"/>
  </r>
  <r>
    <x v="1"/>
  </r>
  <r>
    <x v="1"/>
  </r>
  <r>
    <x v="0"/>
  </r>
  <r>
    <x v="1"/>
  </r>
  <r>
    <x v="1"/>
  </r>
  <r>
    <x v="0"/>
  </r>
  <r>
    <x v="2"/>
  </r>
  <r>
    <x v="0"/>
  </r>
  <r>
    <x v="0"/>
  </r>
  <r>
    <x v="0"/>
  </r>
  <r>
    <x v="0"/>
  </r>
  <r>
    <x v="2"/>
  </r>
  <r>
    <x v="1"/>
  </r>
  <r>
    <x v="2"/>
  </r>
  <r>
    <x v="1"/>
  </r>
  <r>
    <x v="1"/>
  </r>
  <r>
    <x v="0"/>
  </r>
  <r>
    <x v="2"/>
  </r>
  <r>
    <x v="2"/>
  </r>
  <r>
    <x v="1"/>
  </r>
  <r>
    <x v="1"/>
  </r>
  <r>
    <x v="2"/>
  </r>
  <r>
    <x v="0"/>
  </r>
  <r>
    <x v="2"/>
  </r>
  <r>
    <x v="1"/>
  </r>
  <r>
    <x v="1"/>
  </r>
  <r>
    <x v="0"/>
  </r>
  <r>
    <x v="1"/>
  </r>
  <r>
    <x v="0"/>
  </r>
  <r>
    <x v="1"/>
  </r>
  <r>
    <x v="1"/>
  </r>
  <r>
    <x v="1"/>
  </r>
  <r>
    <x v="0"/>
  </r>
  <r>
    <x v="1"/>
  </r>
  <r>
    <x v="2"/>
  </r>
  <r>
    <x v="0"/>
  </r>
  <r>
    <x v="2"/>
  </r>
  <r>
    <x v="0"/>
  </r>
  <r>
    <x v="1"/>
  </r>
  <r>
    <x v="1"/>
  </r>
  <r>
    <x v="2"/>
  </r>
  <r>
    <x v="2"/>
  </r>
  <r>
    <x v="1"/>
  </r>
  <r>
    <x v="1"/>
  </r>
  <r>
    <x v="0"/>
  </r>
  <r>
    <x v="0"/>
  </r>
  <r>
    <x v="2"/>
  </r>
  <r>
    <x v="2"/>
  </r>
  <r>
    <x v="2"/>
  </r>
  <r>
    <x v="2"/>
  </r>
  <r>
    <x v="0"/>
  </r>
  <r>
    <x v="1"/>
  </r>
  <r>
    <x v="1"/>
  </r>
  <r>
    <x v="2"/>
  </r>
  <r>
    <x v="0"/>
  </r>
  <r>
    <x v="1"/>
  </r>
  <r>
    <x v="1"/>
  </r>
  <r>
    <x v="1"/>
  </r>
  <r>
    <x v="1"/>
  </r>
  <r>
    <x v="0"/>
  </r>
  <r>
    <x v="2"/>
  </r>
  <r>
    <x v="0"/>
  </r>
  <r>
    <x v="1"/>
  </r>
  <r>
    <x v="0"/>
  </r>
  <r>
    <x v="2"/>
  </r>
  <r>
    <x v="0"/>
  </r>
  <r>
    <x v="0"/>
  </r>
  <r>
    <x v="2"/>
  </r>
  <r>
    <x v="0"/>
  </r>
  <r>
    <x v="1"/>
  </r>
  <r>
    <x v="2"/>
  </r>
  <r>
    <x v="1"/>
  </r>
  <r>
    <x v="2"/>
  </r>
  <r>
    <x v="0"/>
  </r>
  <r>
    <x v="2"/>
  </r>
  <r>
    <x v="0"/>
  </r>
  <r>
    <x v="0"/>
  </r>
  <r>
    <x v="0"/>
  </r>
  <r>
    <x v="1"/>
  </r>
  <r>
    <x v="0"/>
  </r>
  <r>
    <x v="0"/>
  </r>
  <r>
    <x v="2"/>
  </r>
  <r>
    <x v="0"/>
  </r>
  <r>
    <x v="2"/>
  </r>
  <r>
    <x v="2"/>
  </r>
  <r>
    <x v="1"/>
  </r>
  <r>
    <x v="0"/>
  </r>
  <r>
    <x v="1"/>
  </r>
  <r>
    <x v="1"/>
  </r>
  <r>
    <x v="1"/>
  </r>
  <r>
    <x v="0"/>
  </r>
  <r>
    <x v="2"/>
  </r>
  <r>
    <x v="1"/>
  </r>
  <r>
    <x v="0"/>
  </r>
  <r>
    <x v="2"/>
  </r>
  <r>
    <x v="0"/>
  </r>
  <r>
    <x v="1"/>
  </r>
  <r>
    <x v="1"/>
  </r>
  <r>
    <x v="2"/>
  </r>
  <r>
    <x v="0"/>
  </r>
  <r>
    <x v="0"/>
  </r>
  <r>
    <x v="2"/>
  </r>
  <r>
    <x v="0"/>
  </r>
  <r>
    <x v="2"/>
  </r>
  <r>
    <x v="2"/>
  </r>
  <r>
    <x v="2"/>
  </r>
  <r>
    <x v="1"/>
  </r>
  <r>
    <x v="0"/>
  </r>
  <r>
    <x v="0"/>
  </r>
  <r>
    <x v="0"/>
  </r>
  <r>
    <x v="1"/>
  </r>
  <r>
    <x v="2"/>
  </r>
  <r>
    <x v="0"/>
  </r>
  <r>
    <x v="0"/>
  </r>
  <r>
    <x v="1"/>
  </r>
  <r>
    <x v="1"/>
  </r>
  <r>
    <x v="0"/>
  </r>
  <r>
    <x v="2"/>
  </r>
  <r>
    <x v="0"/>
  </r>
  <r>
    <x v="0"/>
  </r>
  <r>
    <x v="2"/>
  </r>
  <r>
    <x v="2"/>
  </r>
  <r>
    <x v="0"/>
  </r>
  <r>
    <x v="0"/>
  </r>
  <r>
    <x v="1"/>
  </r>
  <r>
    <x v="2"/>
  </r>
  <r>
    <x v="1"/>
  </r>
  <r>
    <x v="2"/>
  </r>
  <r>
    <x v="1"/>
  </r>
  <r>
    <x v="2"/>
  </r>
  <r>
    <x v="2"/>
  </r>
  <r>
    <x v="1"/>
  </r>
  <r>
    <x v="2"/>
  </r>
  <r>
    <x v="2"/>
  </r>
  <r>
    <x v="1"/>
  </r>
  <r>
    <x v="0"/>
  </r>
  <r>
    <x v="0"/>
  </r>
  <r>
    <x v="0"/>
  </r>
  <r>
    <x v="0"/>
  </r>
  <r>
    <x v="1"/>
  </r>
  <r>
    <x v="0"/>
  </r>
  <r>
    <x v="1"/>
  </r>
  <r>
    <x v="1"/>
  </r>
  <r>
    <x v="0"/>
  </r>
  <r>
    <x v="1"/>
  </r>
  <r>
    <x v="1"/>
  </r>
  <r>
    <x v="1"/>
  </r>
  <r>
    <x v="0"/>
  </r>
  <r>
    <x v="0"/>
  </r>
  <r>
    <x v="2"/>
  </r>
  <r>
    <x v="2"/>
  </r>
  <r>
    <x v="1"/>
  </r>
  <r>
    <x v="0"/>
  </r>
  <r>
    <x v="2"/>
  </r>
  <r>
    <x v="0"/>
  </r>
  <r>
    <x v="2"/>
  </r>
  <r>
    <x v="0"/>
  </r>
  <r>
    <x v="1"/>
  </r>
  <r>
    <x v="1"/>
  </r>
  <r>
    <x v="1"/>
  </r>
  <r>
    <x v="1"/>
  </r>
  <r>
    <x v="1"/>
  </r>
  <r>
    <x v="2"/>
  </r>
  <r>
    <x v="1"/>
  </r>
  <r>
    <x v="0"/>
  </r>
  <r>
    <x v="2"/>
  </r>
  <r>
    <x v="2"/>
  </r>
  <r>
    <x v="2"/>
  </r>
  <r>
    <x v="2"/>
  </r>
  <r>
    <x v="0"/>
  </r>
  <r>
    <x v="1"/>
  </r>
  <r>
    <x v="0"/>
  </r>
  <r>
    <x v="0"/>
  </r>
  <r>
    <x v="2"/>
  </r>
  <r>
    <x v="2"/>
  </r>
  <r>
    <x v="2"/>
  </r>
  <r>
    <x v="0"/>
  </r>
  <r>
    <x v="2"/>
  </r>
  <r>
    <x v="2"/>
  </r>
  <r>
    <x v="1"/>
  </r>
  <r>
    <x v="1"/>
  </r>
  <r>
    <x v="1"/>
  </r>
  <r>
    <x v="2"/>
  </r>
  <r>
    <x v="2"/>
  </r>
  <r>
    <x v="0"/>
  </r>
  <r>
    <x v="0"/>
  </r>
  <r>
    <x v="1"/>
  </r>
  <r>
    <x v="2"/>
  </r>
  <r>
    <x v="1"/>
  </r>
  <r>
    <x v="1"/>
  </r>
  <r>
    <x v="0"/>
  </r>
  <r>
    <x v="0"/>
  </r>
  <r>
    <x v="0"/>
  </r>
  <r>
    <x v="1"/>
  </r>
  <r>
    <x v="2"/>
  </r>
  <r>
    <x v="0"/>
  </r>
  <r>
    <x v="2"/>
  </r>
  <r>
    <x v="2"/>
  </r>
  <r>
    <x v="1"/>
  </r>
  <r>
    <x v="1"/>
  </r>
  <r>
    <x v="1"/>
  </r>
  <r>
    <x v="2"/>
  </r>
  <r>
    <x v="1"/>
  </r>
  <r>
    <x v="0"/>
  </r>
  <r>
    <x v="1"/>
  </r>
  <r>
    <x v="1"/>
  </r>
  <r>
    <x v="2"/>
  </r>
  <r>
    <x v="1"/>
  </r>
  <r>
    <x v="0"/>
  </r>
  <r>
    <x v="2"/>
  </r>
  <r>
    <x v="1"/>
  </r>
  <r>
    <x v="2"/>
  </r>
  <r>
    <x v="0"/>
  </r>
  <r>
    <x v="2"/>
  </r>
  <r>
    <x v="0"/>
  </r>
  <r>
    <x v="1"/>
  </r>
  <r>
    <x v="1"/>
  </r>
  <r>
    <x v="0"/>
  </r>
  <r>
    <x v="0"/>
  </r>
  <r>
    <x v="0"/>
  </r>
  <r>
    <x v="0"/>
  </r>
  <r>
    <x v="2"/>
  </r>
  <r>
    <x v="1"/>
  </r>
  <r>
    <x v="2"/>
  </r>
  <r>
    <x v="0"/>
  </r>
  <r>
    <x v="0"/>
  </r>
  <r>
    <x v="2"/>
  </r>
  <r>
    <x v="0"/>
  </r>
  <r>
    <x v="0"/>
  </r>
  <r>
    <x v="2"/>
  </r>
  <r>
    <x v="2"/>
  </r>
  <r>
    <x v="0"/>
  </r>
  <r>
    <x v="0"/>
  </r>
  <r>
    <x v="0"/>
  </r>
  <r>
    <x v="2"/>
  </r>
  <r>
    <x v="0"/>
  </r>
  <r>
    <x v="0"/>
  </r>
  <r>
    <x v="2"/>
  </r>
  <r>
    <x v="2"/>
  </r>
  <r>
    <x v="2"/>
  </r>
  <r>
    <x v="1"/>
  </r>
  <r>
    <x v="1"/>
  </r>
  <r>
    <x v="2"/>
  </r>
  <r>
    <x v="1"/>
  </r>
  <r>
    <x v="0"/>
  </r>
  <r>
    <x v="1"/>
  </r>
  <r>
    <x v="2"/>
  </r>
  <r>
    <x v="1"/>
  </r>
  <r>
    <x v="0"/>
  </r>
  <r>
    <x v="2"/>
  </r>
  <r>
    <x v="1"/>
  </r>
  <r>
    <x v="1"/>
  </r>
  <r>
    <x v="2"/>
  </r>
  <r>
    <x v="1"/>
  </r>
  <r>
    <x v="2"/>
  </r>
  <r>
    <x v="1"/>
  </r>
  <r>
    <x v="2"/>
  </r>
  <r>
    <x v="1"/>
  </r>
  <r>
    <x v="0"/>
  </r>
  <r>
    <x v="2"/>
  </r>
  <r>
    <x v="1"/>
  </r>
  <r>
    <x v="2"/>
  </r>
  <r>
    <x v="2"/>
  </r>
  <r>
    <x v="0"/>
  </r>
  <r>
    <x v="0"/>
  </r>
  <r>
    <x v="1"/>
  </r>
  <r>
    <x v="2"/>
  </r>
  <r>
    <x v="0"/>
  </r>
  <r>
    <x v="2"/>
  </r>
  <r>
    <x v="0"/>
  </r>
  <r>
    <x v="0"/>
  </r>
  <r>
    <x v="2"/>
  </r>
  <r>
    <x v="2"/>
  </r>
  <r>
    <x v="1"/>
  </r>
  <r>
    <x v="2"/>
  </r>
  <r>
    <x v="2"/>
  </r>
  <r>
    <x v="0"/>
  </r>
  <r>
    <x v="1"/>
  </r>
  <r>
    <x v="2"/>
  </r>
  <r>
    <x v="1"/>
  </r>
  <r>
    <x v="0"/>
  </r>
  <r>
    <x v="1"/>
  </r>
  <r>
    <x v="3"/>
  </r>
  <r>
    <x v="4"/>
  </r>
  <r>
    <x v="5"/>
  </r>
  <r>
    <x v="5"/>
  </r>
  <r>
    <x v="1"/>
  </r>
  <r>
    <x v="5"/>
  </r>
  <r>
    <x v="5"/>
  </r>
  <r>
    <x v="5"/>
  </r>
  <r>
    <x v="5"/>
  </r>
  <r>
    <x v="5"/>
  </r>
  <r>
    <x v="5"/>
  </r>
  <r>
    <x v="5"/>
  </r>
  <r>
    <x v="5"/>
  </r>
  <r>
    <x v="5"/>
  </r>
  <r>
    <x v="5"/>
  </r>
  <r>
    <x v="5"/>
  </r>
  <r>
    <x v="5"/>
  </r>
  <r>
    <x v="5"/>
  </r>
  <r>
    <x v="5"/>
  </r>
  <r>
    <x v="5"/>
  </r>
  <r>
    <x v="5"/>
  </r>
  <r>
    <x v="5"/>
  </r>
  <r>
    <x v="3"/>
  </r>
  <r>
    <x v="5"/>
  </r>
  <r>
    <x v="5"/>
  </r>
  <r>
    <x v="5"/>
  </r>
  <r>
    <x v="5"/>
  </r>
  <r>
    <x v="5"/>
  </r>
  <r>
    <x v="5"/>
  </r>
  <r>
    <x v="5"/>
  </r>
  <r>
    <x v="5"/>
  </r>
  <r>
    <x v="5"/>
  </r>
  <r>
    <x v="5"/>
  </r>
  <r>
    <x v="5"/>
  </r>
  <r>
    <x v="5"/>
  </r>
  <r>
    <x v="5"/>
  </r>
  <r>
    <x v="5"/>
  </r>
  <r>
    <x v="5"/>
  </r>
  <r>
    <x v="5"/>
  </r>
  <r>
    <x v="5"/>
  </r>
  <r>
    <x v="5"/>
  </r>
  <r>
    <x v="5"/>
  </r>
  <r>
    <x v="5"/>
  </r>
  <r>
    <x v="5"/>
  </r>
  <r>
    <x v="5"/>
  </r>
  <r>
    <x v="5"/>
  </r>
  <r>
    <x v="5"/>
  </r>
  <r>
    <x v="5"/>
  </r>
  <r>
    <x v="5"/>
  </r>
  <r>
    <x v="5"/>
  </r>
  <r>
    <x v="5"/>
  </r>
  <r>
    <x v="5"/>
  </r>
  <r>
    <x v="4"/>
  </r>
  <r>
    <x v="5"/>
  </r>
  <r>
    <x v="5"/>
  </r>
  <r>
    <x v="5"/>
  </r>
  <r>
    <x v="5"/>
  </r>
  <r>
    <x v="5"/>
  </r>
  <r>
    <x v="5"/>
  </r>
  <r>
    <x v="1"/>
  </r>
  <r>
    <x v="5"/>
  </r>
  <r>
    <x v="5"/>
  </r>
  <r>
    <x v="5"/>
  </r>
  <r>
    <x v="5"/>
  </r>
  <r>
    <x v="5"/>
  </r>
  <r>
    <x v="5"/>
  </r>
  <r>
    <x v="5"/>
  </r>
  <r>
    <x v="5"/>
  </r>
  <r>
    <x v="5"/>
  </r>
  <r>
    <x v="5"/>
  </r>
  <r>
    <x v="5"/>
  </r>
  <r>
    <x v="5"/>
  </r>
  <r>
    <x v="5"/>
  </r>
  <r>
    <x v="5"/>
  </r>
  <r>
    <x v="5"/>
  </r>
  <r>
    <x v="5"/>
  </r>
  <r>
    <x v="5"/>
  </r>
  <r>
    <x v="5"/>
  </r>
  <r>
    <x v="5"/>
  </r>
  <r>
    <x v="5"/>
  </r>
  <r>
    <x v="5"/>
  </r>
  <r>
    <x v="1"/>
  </r>
  <r>
    <x v="5"/>
  </r>
  <r>
    <x v="5"/>
  </r>
  <r>
    <x v="5"/>
  </r>
  <r>
    <x v="4"/>
  </r>
  <r>
    <x v="5"/>
  </r>
  <r>
    <x v="5"/>
  </r>
  <r>
    <x v="5"/>
  </r>
  <r>
    <x v="5"/>
  </r>
  <r>
    <x v="5"/>
  </r>
  <r>
    <x v="5"/>
  </r>
  <r>
    <x v="5"/>
  </r>
  <r>
    <x v="5"/>
  </r>
  <r>
    <x v="5"/>
  </r>
  <r>
    <x v="5"/>
  </r>
  <r>
    <x v="3"/>
  </r>
  <r>
    <x v="5"/>
  </r>
  <r>
    <x v="5"/>
  </r>
  <r>
    <x v="5"/>
  </r>
  <r>
    <x v="5"/>
  </r>
  <r>
    <x v="5"/>
  </r>
  <r>
    <x v="5"/>
  </r>
  <r>
    <x v="5"/>
  </r>
  <r>
    <x v="5"/>
  </r>
  <r>
    <x v="5"/>
  </r>
  <r>
    <x v="5"/>
  </r>
  <r>
    <x v="5"/>
  </r>
  <r>
    <x v="5"/>
  </r>
  <r>
    <x v="5"/>
  </r>
  <r>
    <x v="5"/>
  </r>
  <r>
    <x v="5"/>
  </r>
  <r>
    <x v="5"/>
  </r>
  <r>
    <x v="5"/>
  </r>
  <r>
    <x v="3"/>
  </r>
  <r>
    <x v="5"/>
  </r>
  <r>
    <x v="5"/>
  </r>
  <r>
    <x v="5"/>
  </r>
  <r>
    <x v="5"/>
  </r>
  <r>
    <x v="5"/>
  </r>
  <r>
    <x v="5"/>
  </r>
  <r>
    <x v="5"/>
  </r>
  <r>
    <x v="5"/>
  </r>
  <r>
    <x v="5"/>
  </r>
  <r>
    <x v="5"/>
  </r>
  <r>
    <x v="5"/>
  </r>
  <r>
    <x v="5"/>
  </r>
  <r>
    <x v="5"/>
  </r>
  <r>
    <x v="5"/>
  </r>
  <r>
    <x v="5"/>
  </r>
  <r>
    <x v="5"/>
  </r>
  <r>
    <x v="5"/>
  </r>
  <r>
    <x v="5"/>
  </r>
  <r>
    <x v="5"/>
  </r>
  <r>
    <x v="5"/>
  </r>
  <r>
    <x v="5"/>
  </r>
  <r>
    <x v="5"/>
  </r>
  <r>
    <x v="5"/>
  </r>
  <r>
    <x v="5"/>
  </r>
  <r>
    <x v="6"/>
  </r>
  <r>
    <x v="5"/>
  </r>
  <r>
    <x v="5"/>
  </r>
  <r>
    <x v="5"/>
  </r>
  <r>
    <x v="5"/>
  </r>
  <r>
    <x v="5"/>
  </r>
  <r>
    <x v="3"/>
  </r>
  <r>
    <x v="5"/>
  </r>
  <r>
    <x v="5"/>
  </r>
  <r>
    <x v="5"/>
  </r>
  <r>
    <x v="5"/>
  </r>
  <r>
    <x v="5"/>
  </r>
  <r>
    <x v="5"/>
  </r>
  <r>
    <x v="5"/>
  </r>
  <r>
    <x v="5"/>
  </r>
  <r>
    <x v="5"/>
  </r>
  <r>
    <x v="5"/>
  </r>
  <r>
    <x v="5"/>
  </r>
  <r>
    <x v="5"/>
  </r>
  <r>
    <x v="5"/>
  </r>
  <r>
    <x v="5"/>
  </r>
  <r>
    <x v="5"/>
  </r>
  <r>
    <x v="5"/>
  </r>
  <r>
    <x v="5"/>
  </r>
  <r>
    <x v="3"/>
  </r>
  <r>
    <x v="5"/>
  </r>
  <r>
    <x v="5"/>
  </r>
  <r>
    <x v="5"/>
  </r>
  <r>
    <x v="5"/>
  </r>
  <r>
    <x v="5"/>
  </r>
  <r>
    <x v="5"/>
  </r>
  <r>
    <x v="5"/>
  </r>
  <r>
    <x v="5"/>
  </r>
  <r>
    <x v="5"/>
  </r>
  <r>
    <x v="5"/>
  </r>
  <r>
    <x v="5"/>
  </r>
  <r>
    <x v="5"/>
  </r>
  <r>
    <x v="5"/>
  </r>
  <r>
    <x v="5"/>
  </r>
  <r>
    <x v="5"/>
  </r>
  <r>
    <x v="5"/>
  </r>
  <r>
    <x v="5"/>
  </r>
  <r>
    <x v="5"/>
  </r>
  <r>
    <x v="5"/>
  </r>
  <r>
    <x v="5"/>
  </r>
  <r>
    <x v="5"/>
  </r>
  <r>
    <x v="5"/>
  </r>
  <r>
    <x v="5"/>
  </r>
  <r>
    <x v="5"/>
  </r>
  <r>
    <x v="5"/>
  </r>
  <r>
    <x v="5"/>
  </r>
  <r>
    <x v="5"/>
  </r>
  <r>
    <x v="5"/>
  </r>
  <r>
    <x v="5"/>
  </r>
  <r>
    <x v="5"/>
  </r>
  <r>
    <x v="1"/>
  </r>
  <r>
    <x v="5"/>
  </r>
  <r>
    <x v="5"/>
  </r>
  <r>
    <x v="5"/>
  </r>
  <r>
    <x v="5"/>
  </r>
  <r>
    <x v="5"/>
  </r>
  <r>
    <x v="5"/>
  </r>
  <r>
    <x v="5"/>
  </r>
  <r>
    <x v="5"/>
  </r>
  <r>
    <x v="5"/>
  </r>
  <r>
    <x v="6"/>
  </r>
  <r>
    <x v="5"/>
  </r>
  <r>
    <x v="6"/>
  </r>
  <r>
    <x v="5"/>
  </r>
  <r>
    <x v="3"/>
  </r>
  <r>
    <x v="5"/>
  </r>
  <r>
    <x v="5"/>
  </r>
  <r>
    <x v="5"/>
  </r>
  <r>
    <x v="5"/>
  </r>
  <r>
    <x v="5"/>
  </r>
  <r>
    <x v="5"/>
  </r>
  <r>
    <x v="5"/>
  </r>
  <r>
    <x v="5"/>
  </r>
  <r>
    <x v="5"/>
  </r>
  <r>
    <x v="5"/>
  </r>
  <r>
    <x v="5"/>
  </r>
  <r>
    <x v="5"/>
  </r>
  <r>
    <x v="6"/>
  </r>
  <r>
    <x v="5"/>
  </r>
  <r>
    <x v="5"/>
  </r>
  <r>
    <x v="5"/>
  </r>
  <r>
    <x v="5"/>
  </r>
  <r>
    <x v="5"/>
  </r>
  <r>
    <x v="5"/>
  </r>
  <r>
    <x v="5"/>
  </r>
  <r>
    <x v="5"/>
  </r>
  <r>
    <x v="5"/>
  </r>
  <r>
    <x v="5"/>
  </r>
  <r>
    <x v="5"/>
  </r>
  <r>
    <x v="5"/>
  </r>
  <r>
    <x v="5"/>
  </r>
  <r>
    <x v="3"/>
  </r>
  <r>
    <x v="5"/>
  </r>
  <r>
    <x v="5"/>
  </r>
  <r>
    <x v="5"/>
  </r>
  <r>
    <x v="1"/>
  </r>
  <r>
    <x v="5"/>
  </r>
  <r>
    <x v="5"/>
  </r>
  <r>
    <x v="5"/>
  </r>
  <r>
    <x v="5"/>
  </r>
  <r>
    <x v="5"/>
  </r>
  <r>
    <x v="5"/>
  </r>
  <r>
    <x v="2"/>
  </r>
  <r>
    <x v="5"/>
  </r>
  <r>
    <x v="5"/>
  </r>
  <r>
    <x v="5"/>
  </r>
  <r>
    <x v="5"/>
  </r>
  <r>
    <x v="5"/>
  </r>
  <r>
    <x v="5"/>
  </r>
  <r>
    <x v="5"/>
  </r>
  <r>
    <x v="5"/>
  </r>
  <r>
    <x v="5"/>
  </r>
  <r>
    <x v="2"/>
  </r>
  <r>
    <x v="5"/>
  </r>
  <r>
    <x v="5"/>
  </r>
  <r>
    <x v="2"/>
  </r>
  <r>
    <x v="5"/>
  </r>
  <r>
    <x v="5"/>
  </r>
  <r>
    <x v="5"/>
  </r>
  <r>
    <x v="5"/>
  </r>
  <r>
    <x v="5"/>
  </r>
  <r>
    <x v="5"/>
  </r>
  <r>
    <x v="5"/>
  </r>
  <r>
    <x v="5"/>
  </r>
  <r>
    <x v="5"/>
  </r>
  <r>
    <x v="5"/>
  </r>
  <r>
    <x v="5"/>
  </r>
  <r>
    <x v="5"/>
  </r>
  <r>
    <x v="5"/>
  </r>
  <r>
    <x v="5"/>
  </r>
  <r>
    <x v="5"/>
  </r>
  <r>
    <x v="5"/>
  </r>
  <r>
    <x v="5"/>
  </r>
  <r>
    <x v="5"/>
  </r>
  <r>
    <x v="5"/>
  </r>
  <r>
    <x v="1"/>
  </r>
  <r>
    <x v="5"/>
  </r>
  <r>
    <x v="5"/>
  </r>
  <r>
    <x v="5"/>
  </r>
  <r>
    <x v="5"/>
  </r>
  <r>
    <x v="5"/>
  </r>
  <r>
    <x v="5"/>
  </r>
  <r>
    <x v="5"/>
  </r>
  <r>
    <x v="5"/>
  </r>
  <r>
    <x v="5"/>
  </r>
  <r>
    <x v="5"/>
  </r>
  <r>
    <x v="5"/>
  </r>
  <r>
    <x v="3"/>
  </r>
  <r>
    <x v="5"/>
  </r>
  <r>
    <x v="5"/>
  </r>
  <r>
    <x v="1"/>
  </r>
  <r>
    <x v="6"/>
  </r>
  <r>
    <x v="5"/>
  </r>
  <r>
    <x v="5"/>
  </r>
  <r>
    <x v="5"/>
  </r>
  <r>
    <x v="2"/>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3"/>
  </r>
  <r>
    <x v="5"/>
  </r>
  <r>
    <x v="5"/>
  </r>
  <r>
    <x v="5"/>
  </r>
  <r>
    <x v="5"/>
  </r>
  <r>
    <x v="5"/>
  </r>
  <r>
    <x v="5"/>
  </r>
  <r>
    <x v="5"/>
  </r>
  <r>
    <x v="5"/>
  </r>
  <r>
    <x v="5"/>
  </r>
  <r>
    <x v="5"/>
  </r>
  <r>
    <x v="5"/>
  </r>
  <r>
    <x v="5"/>
  </r>
  <r>
    <x v="5"/>
  </r>
  <r>
    <x v="5"/>
  </r>
  <r>
    <x v="5"/>
  </r>
  <r>
    <x v="5"/>
  </r>
  <r>
    <x v="5"/>
  </r>
  <r>
    <x v="5"/>
  </r>
  <r>
    <x v="5"/>
  </r>
  <r>
    <x v="5"/>
  </r>
  <r>
    <x v="5"/>
  </r>
  <r>
    <x v="3"/>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3"/>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2"/>
  </r>
  <r>
    <x v="5"/>
  </r>
  <r>
    <x v="5"/>
  </r>
  <r>
    <x v="5"/>
  </r>
  <r>
    <x v="3"/>
  </r>
  <r>
    <x v="5"/>
  </r>
  <r>
    <x v="5"/>
  </r>
  <r>
    <x v="5"/>
  </r>
  <r>
    <x v="5"/>
  </r>
  <r>
    <x v="5"/>
  </r>
  <r>
    <x v="5"/>
  </r>
  <r>
    <x v="4"/>
  </r>
  <r>
    <x v="5"/>
  </r>
  <r>
    <x v="5"/>
  </r>
  <r>
    <x v="5"/>
  </r>
  <r>
    <x v="5"/>
  </r>
  <r>
    <x v="5"/>
  </r>
  <r>
    <x v="5"/>
  </r>
  <r>
    <x v="5"/>
  </r>
  <r>
    <x v="5"/>
  </r>
  <r>
    <x v="5"/>
  </r>
  <r>
    <x v="4"/>
  </r>
  <r>
    <x v="5"/>
  </r>
  <r>
    <x v="5"/>
  </r>
  <r>
    <x v="4"/>
  </r>
  <r>
    <x v="5"/>
  </r>
  <r>
    <x v="5"/>
  </r>
  <r>
    <x v="5"/>
  </r>
  <r>
    <x v="5"/>
  </r>
  <r>
    <x v="5"/>
  </r>
  <r>
    <x v="5"/>
  </r>
  <r>
    <x v="5"/>
  </r>
  <r>
    <x v="5"/>
  </r>
  <r>
    <x v="5"/>
  </r>
  <r>
    <x v="5"/>
  </r>
  <r>
    <x v="5"/>
  </r>
  <r>
    <x v="5"/>
  </r>
  <r>
    <x v="5"/>
  </r>
  <r>
    <x v="5"/>
  </r>
  <r>
    <x v="5"/>
  </r>
  <r>
    <x v="5"/>
  </r>
  <r>
    <x v="5"/>
  </r>
  <r>
    <x v="5"/>
  </r>
  <r>
    <x v="5"/>
  </r>
  <r>
    <x v="3"/>
  </r>
  <r>
    <x v="5"/>
  </r>
  <r>
    <x v="5"/>
  </r>
  <r>
    <x v="5"/>
  </r>
  <r>
    <x v="5"/>
  </r>
  <r>
    <x v="5"/>
  </r>
  <r>
    <x v="5"/>
  </r>
  <r>
    <x v="5"/>
  </r>
  <r>
    <x v="5"/>
  </r>
  <r>
    <x v="5"/>
  </r>
  <r>
    <x v="5"/>
  </r>
  <r>
    <x v="5"/>
  </r>
  <r>
    <x v="5"/>
  </r>
  <r>
    <x v="5"/>
  </r>
  <r>
    <x v="5"/>
  </r>
  <r>
    <x v="3"/>
  </r>
  <r>
    <x v="5"/>
  </r>
  <r>
    <x v="5"/>
  </r>
  <r>
    <x v="5"/>
  </r>
  <r>
    <x v="5"/>
  </r>
  <r>
    <x v="4"/>
  </r>
  <r>
    <x v="5"/>
  </r>
  <r>
    <x v="5"/>
  </r>
  <r>
    <x v="5"/>
  </r>
  <r>
    <x v="5"/>
  </r>
  <r>
    <x v="5"/>
  </r>
  <r>
    <x v="5"/>
  </r>
  <r>
    <x v="5"/>
  </r>
  <r>
    <x v="5"/>
  </r>
  <r>
    <x v="5"/>
  </r>
  <r>
    <x v="5"/>
  </r>
  <r>
    <x v="5"/>
  </r>
  <r>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n v="9.0759753593429152E-2"/>
    <s v="Hashtags Used.1"/>
    <x v="0"/>
  </r>
  <r>
    <s v="P001"/>
    <n v="9.0759753593429152E-2"/>
    <s v="Hashtags Used.2"/>
    <x v="1"/>
  </r>
  <r>
    <s v="P002"/>
    <n v="7.6097681302417369E-2"/>
    <s v="Hashtags Used.1"/>
    <x v="2"/>
  </r>
  <r>
    <s v="P002"/>
    <n v="7.6097681302417369E-2"/>
    <s v="Hashtags Used.2"/>
    <x v="3"/>
  </r>
  <r>
    <s v="P003"/>
    <n v="5.5531494209584788E-2"/>
    <s v="Hashtags Used.1"/>
    <x v="2"/>
  </r>
  <r>
    <s v="P004"/>
    <n v="0.15105033277870217"/>
    <s v="Hashtags Used.1"/>
    <x v="4"/>
  </r>
  <r>
    <s v="P005"/>
    <n v="6.5617093055946027E-2"/>
    <s v="Hashtags Used.1"/>
    <x v="4"/>
  </r>
  <r>
    <s v="P005"/>
    <n v="6.5617093055946027E-2"/>
    <s v="Hashtags Used.2"/>
    <x v="2"/>
  </r>
  <r>
    <s v="P006"/>
    <n v="0.17954159592529711"/>
    <s v="Hashtags Used.1"/>
    <x v="2"/>
  </r>
  <r>
    <s v="P007"/>
    <n v="7.0272020725388601E-2"/>
    <s v="Hashtags Used.1"/>
    <x v="2"/>
  </r>
  <r>
    <s v="P008"/>
    <n v="0.10340359564080613"/>
    <s v="Hashtags Used.1"/>
    <x v="4"/>
  </r>
  <r>
    <s v="P009"/>
    <n v="8.8019732205778717E-2"/>
    <s v="Hashtags Used.1"/>
    <x v="2"/>
  </r>
  <r>
    <s v="P010"/>
    <n v="7.198635172059864E-2"/>
    <s v="Hashtags Used.1"/>
    <x v="2"/>
  </r>
  <r>
    <s v="P011"/>
    <n v="0.11571269132653061"/>
    <s v="Hashtags Used.1"/>
    <x v="0"/>
  </r>
  <r>
    <s v="P012"/>
    <n v="0.12885405960945528"/>
    <s v="Hashtags Used.1"/>
    <x v="0"/>
  </r>
  <r>
    <s v="P013"/>
    <n v="7.5868578363072495E-2"/>
    <s v="Hashtags Used.1"/>
    <x v="4"/>
  </r>
  <r>
    <s v="P014"/>
    <n v="0.14521452145214522"/>
    <s v="Hashtags Used.1"/>
    <x v="0"/>
  </r>
  <r>
    <s v="P015"/>
    <n v="5.941358024691358E-2"/>
    <s v="Hashtags Used.1"/>
    <x v="0"/>
  </r>
  <r>
    <s v="P016"/>
    <n v="7.5843713789107758E-2"/>
    <s v="Hashtags Used.1"/>
    <x v="0"/>
  </r>
  <r>
    <s v="P017"/>
    <n v="9.4235532537716729E-2"/>
    <s v="Hashtags Used.1"/>
    <x v="4"/>
  </r>
  <r>
    <s v="P018"/>
    <n v="0.10297222222222223"/>
    <s v="Hashtags Used.1"/>
    <x v="0"/>
  </r>
  <r>
    <s v="P019"/>
    <n v="0.10034235916588857"/>
    <s v="Hashtags Used.1"/>
    <x v="2"/>
  </r>
  <r>
    <s v="P020"/>
    <n v="6.3809622724794221E-2"/>
    <s v="Hashtags Used.1"/>
    <x v="2"/>
  </r>
  <r>
    <s v="P021"/>
    <n v="7.7249552156538517E-2"/>
    <s v="Hashtags Used.1"/>
    <x v="0"/>
  </r>
  <r>
    <s v="P022"/>
    <n v="8.0294585987261149E-2"/>
    <s v="Hashtags Used.1"/>
    <x v="2"/>
  </r>
  <r>
    <s v="P023"/>
    <n v="7.6867995018679955E-2"/>
    <s v="Hashtags Used.1"/>
    <x v="2"/>
  </r>
  <r>
    <s v="P023"/>
    <n v="7.6867995018679955E-2"/>
    <s v="Hashtags Used.2"/>
    <x v="1"/>
  </r>
  <r>
    <s v="P024"/>
    <n v="7.2070332803659209E-2"/>
    <s v="Hashtags Used.1"/>
    <x v="0"/>
  </r>
  <r>
    <s v="P025"/>
    <n v="5.9496567505720827E-2"/>
    <s v="Hashtags Used.1"/>
    <x v="4"/>
  </r>
  <r>
    <s v="P026"/>
    <n v="8.9730807577268201E-2"/>
    <s v="Hashtags Used.1"/>
    <x v="0"/>
  </r>
  <r>
    <s v="P027"/>
    <n v="7.1501685934489398E-2"/>
    <s v="Hashtags Used.1"/>
    <x v="0"/>
  </r>
  <r>
    <s v="P028"/>
    <n v="0.17057291666666666"/>
    <s v="Hashtags Used.1"/>
    <x v="0"/>
  </r>
  <r>
    <s v="P029"/>
    <n v="0.21208106001558846"/>
    <s v="Hashtags Used.1"/>
    <x v="0"/>
  </r>
  <r>
    <s v="P030"/>
    <n v="5.7655717106444085E-2"/>
    <s v="Hashtags Used.1"/>
    <x v="4"/>
  </r>
  <r>
    <s v="P031"/>
    <n v="0.28245270711024134"/>
    <s v="Hashtags Used.1"/>
    <x v="2"/>
  </r>
  <r>
    <s v="P032"/>
    <n v="0.19088381621305239"/>
    <s v="Hashtags Used.1"/>
    <x v="4"/>
  </r>
  <r>
    <s v="P033"/>
    <n v="0.12781331438047855"/>
    <s v="Hashtags Used.1"/>
    <x v="2"/>
  </r>
  <r>
    <s v="P034"/>
    <n v="7.055421038471886E-2"/>
    <s v="Hashtags Used.1"/>
    <x v="2"/>
  </r>
  <r>
    <s v="P035"/>
    <n v="0.11861662987490802"/>
    <s v="Hashtags Used.1"/>
    <x v="0"/>
  </r>
  <r>
    <s v="P036"/>
    <n v="7.6523535487678915E-2"/>
    <s v="Hashtags Used.1"/>
    <x v="4"/>
  </r>
  <r>
    <s v="P037"/>
    <n v="0.17770337301587302"/>
    <s v="Hashtags Used.1"/>
    <x v="4"/>
  </r>
  <r>
    <s v="P038"/>
    <n v="0.12577012959422137"/>
    <s v="Hashtags Used.1"/>
    <x v="2"/>
  </r>
  <r>
    <s v="P039"/>
    <n v="7.2126493695121141E-2"/>
    <s v="Hashtags Used.1"/>
    <x v="2"/>
  </r>
  <r>
    <s v="P040"/>
    <n v="0.13989473684210527"/>
    <s v="Hashtags Used.1"/>
    <x v="4"/>
  </r>
  <r>
    <s v="P041"/>
    <n v="0.18433235867446393"/>
    <s v="Hashtags Used.1"/>
    <x v="0"/>
  </r>
  <r>
    <s v="P042"/>
    <n v="0.21840570317563188"/>
    <s v="Hashtags Used.1"/>
    <x v="4"/>
  </r>
  <r>
    <s v="P043"/>
    <n v="0.21826126954921804"/>
    <s v="Hashtags Used.1"/>
    <x v="2"/>
  </r>
  <r>
    <s v="P044"/>
    <n v="9.8558100084817649E-2"/>
    <s v="Hashtags Used.1"/>
    <x v="2"/>
  </r>
  <r>
    <s v="P045"/>
    <n v="7.5229902106199939E-2"/>
    <s v="Hashtags Used.1"/>
    <x v="0"/>
  </r>
  <r>
    <s v="P046"/>
    <n v="0.16888537906137185"/>
    <s v="Hashtags Used.1"/>
    <x v="2"/>
  </r>
  <r>
    <s v="P047"/>
    <n v="0.16683616863905326"/>
    <s v="Hashtags Used.1"/>
    <x v="0"/>
  </r>
  <r>
    <s v="P048"/>
    <n v="7.349527665317139E-2"/>
    <s v="Hashtags Used.1"/>
    <x v="2"/>
  </r>
  <r>
    <s v="P049"/>
    <n v="0.10617801791554102"/>
    <s v="Hashtags Used.1"/>
    <x v="2"/>
  </r>
  <r>
    <s v="P050"/>
    <n v="0.13498547567175018"/>
    <s v="Hashtags Used.1"/>
    <x v="2"/>
  </r>
  <r>
    <s v="P051"/>
    <n v="7.8689839572192513E-2"/>
    <s v="Hashtags Used.1"/>
    <x v="0"/>
  </r>
  <r>
    <s v="P052"/>
    <n v="0.1569549774407219"/>
    <s v="Hashtags Used.1"/>
    <x v="2"/>
  </r>
  <r>
    <s v="P053"/>
    <n v="0.36965174129353234"/>
    <s v="Hashtags Used.1"/>
    <x v="4"/>
  </r>
  <r>
    <s v="P053"/>
    <n v="0.36965174129353234"/>
    <s v="Hashtags Used.2"/>
    <x v="3"/>
  </r>
  <r>
    <s v="P054"/>
    <n v="0.16510298716704411"/>
    <s v="Hashtags Used.1"/>
    <x v="0"/>
  </r>
  <r>
    <s v="P055"/>
    <n v="9.1897770527460579E-2"/>
    <s v="Hashtags Used.1"/>
    <x v="4"/>
  </r>
  <r>
    <s v="P056"/>
    <n v="0.12936184657162253"/>
    <s v="Hashtags Used.1"/>
    <x v="0"/>
  </r>
  <r>
    <s v="P057"/>
    <n v="8.0862831858407078E-2"/>
    <s v="Hashtags Used.1"/>
    <x v="2"/>
  </r>
  <r>
    <s v="P058"/>
    <n v="0.86601941747572819"/>
    <s v="Hashtags Used.1"/>
    <x v="2"/>
  </r>
  <r>
    <s v="P059"/>
    <n v="9.2726081258191345E-2"/>
    <s v="Hashtags Used.1"/>
    <x v="4"/>
  </r>
  <r>
    <s v="P060"/>
    <n v="0.1650782845473111"/>
    <s v="Hashtags Used.1"/>
    <x v="4"/>
  </r>
  <r>
    <s v="P060"/>
    <n v="0.1650782845473111"/>
    <s v="Hashtags Used.2"/>
    <x v="2"/>
  </r>
  <r>
    <s v="P060"/>
    <n v="0.1650782845473111"/>
    <s v="Hashtags Used.3"/>
    <x v="1"/>
  </r>
  <r>
    <s v="P061"/>
    <n v="0.14276618001546368"/>
    <s v="Hashtags Used.1"/>
    <x v="2"/>
  </r>
  <r>
    <s v="P062"/>
    <n v="0.53773584905660377"/>
    <s v="Hashtags Used.1"/>
    <x v="2"/>
  </r>
  <r>
    <s v="P063"/>
    <n v="5.2551586421122697E-2"/>
    <s v="Hashtags Used.1"/>
    <x v="0"/>
  </r>
  <r>
    <s v="P064"/>
    <n v="8.2047718322909427E-2"/>
    <s v="Hashtags Used.1"/>
    <x v="0"/>
  </r>
  <r>
    <s v="P065"/>
    <n v="0.11990720603160794"/>
    <s v="Hashtags Used.1"/>
    <x v="4"/>
  </r>
  <r>
    <s v="P066"/>
    <n v="0.29199735449735448"/>
    <s v="Hashtags Used.1"/>
    <x v="4"/>
  </r>
  <r>
    <s v="P067"/>
    <n v="6.3749764195434822E-2"/>
    <s v="Hashtags Used.1"/>
    <x v="4"/>
  </r>
  <r>
    <s v="P068"/>
    <n v="0.19310344827586207"/>
    <s v="Hashtags Used.1"/>
    <x v="4"/>
  </r>
  <r>
    <s v="P069"/>
    <n v="9.3421052631578946E-2"/>
    <s v="Hashtags Used.1"/>
    <x v="0"/>
  </r>
  <r>
    <s v="P070"/>
    <n v="0.38274706867671693"/>
    <s v="Hashtags Used.1"/>
    <x v="2"/>
  </r>
  <r>
    <s v="P071"/>
    <n v="0.1199202926956749"/>
    <s v="Hashtags Used.1"/>
    <x v="2"/>
  </r>
  <r>
    <s v="P072"/>
    <n v="8.837126600284495E-2"/>
    <s v="Hashtags Used.1"/>
    <x v="4"/>
  </r>
  <r>
    <s v="P073"/>
    <n v="6.4265122330790625E-2"/>
    <s v="Hashtags Used.1"/>
    <x v="0"/>
  </r>
  <r>
    <s v="P074"/>
    <n v="0.13351302785265048"/>
    <s v="Hashtags Used.1"/>
    <x v="2"/>
  </r>
  <r>
    <s v="P075"/>
    <n v="0.12131237937689551"/>
    <s v="Hashtags Used.1"/>
    <x v="2"/>
  </r>
  <r>
    <s v="P076"/>
    <n v="8.1177520071364848E-2"/>
    <s v="Hashtags Used.1"/>
    <x v="2"/>
  </r>
  <r>
    <s v="P077"/>
    <n v="0.20416333066453163"/>
    <s v="Hashtags Used.1"/>
    <x v="2"/>
  </r>
  <r>
    <s v="P078"/>
    <n v="8.2075471698113203E-2"/>
    <s v="Hashtags Used.1"/>
    <x v="0"/>
  </r>
  <r>
    <s v="P079"/>
    <n v="8.860696018453515E-2"/>
    <s v="Hashtags Used.1"/>
    <x v="4"/>
  </r>
  <r>
    <s v="P080"/>
    <n v="7.7533348349475686E-2"/>
    <s v="Hashtags Used.1"/>
    <x v="0"/>
  </r>
  <r>
    <s v="P081"/>
    <n v="9.4413295955146179E-2"/>
    <s v="Hashtags Used.1"/>
    <x v="2"/>
  </r>
  <r>
    <s v="P082"/>
    <n v="8.558620689655172E-2"/>
    <s v="Hashtags Used.1"/>
    <x v="0"/>
  </r>
  <r>
    <s v="P082"/>
    <n v="8.558620689655172E-2"/>
    <s v="Hashtags Used.2"/>
    <x v="2"/>
  </r>
  <r>
    <s v="P082"/>
    <n v="8.558620689655172E-2"/>
    <s v="Hashtags Used.3"/>
    <x v="1"/>
  </r>
  <r>
    <s v="P083"/>
    <n v="0.16118220597196831"/>
    <s v="Hashtags Used.1"/>
    <x v="4"/>
  </r>
  <r>
    <s v="P084"/>
    <n v="8.6737756939878216E-2"/>
    <s v="Hashtags Used.1"/>
    <x v="0"/>
  </r>
  <r>
    <s v="P085"/>
    <n v="0.19156491900087783"/>
    <s v="Hashtags Used.1"/>
    <x v="0"/>
  </r>
  <r>
    <s v="P086"/>
    <n v="6.5515821264328367E-2"/>
    <s v="Hashtags Used.1"/>
    <x v="4"/>
  </r>
  <r>
    <s v="P086"/>
    <n v="6.5515821264328367E-2"/>
    <s v="Hashtags Used.2"/>
    <x v="3"/>
  </r>
  <r>
    <s v="P087"/>
    <n v="0.20868152274837512"/>
    <s v="Hashtags Used.1"/>
    <x v="0"/>
  </r>
  <r>
    <s v="P088"/>
    <n v="0.13576158940397351"/>
    <s v="Hashtags Used.1"/>
    <x v="2"/>
  </r>
  <r>
    <s v="P089"/>
    <n v="0.16873144921925409"/>
    <s v="Hashtags Used.1"/>
    <x v="4"/>
  </r>
  <r>
    <s v="P090"/>
    <n v="7.0822181933293038E-2"/>
    <s v="Hashtags Used.1"/>
    <x v="2"/>
  </r>
  <r>
    <s v="P091"/>
    <n v="7.984956452889945E-2"/>
    <s v="Hashtags Used.1"/>
    <x v="4"/>
  </r>
  <r>
    <s v="P092"/>
    <n v="0.13599052880820836"/>
    <s v="Hashtags Used.1"/>
    <x v="0"/>
  </r>
  <r>
    <s v="P093"/>
    <n v="0.28045655718611695"/>
    <s v="Hashtags Used.1"/>
    <x v="4"/>
  </r>
  <r>
    <s v="P094"/>
    <n v="0.16843866371633656"/>
    <s v="Hashtags Used.1"/>
    <x v="0"/>
  </r>
  <r>
    <s v="P095"/>
    <n v="6.8108806480899509E-2"/>
    <s v="Hashtags Used.1"/>
    <x v="0"/>
  </r>
  <r>
    <s v="P096"/>
    <n v="0.10339256865912763"/>
    <s v="Hashtags Used.1"/>
    <x v="0"/>
  </r>
  <r>
    <s v="P097"/>
    <n v="8.7668609086629767E-2"/>
    <s v="Hashtags Used.1"/>
    <x v="2"/>
  </r>
  <r>
    <s v="P097"/>
    <n v="8.7668609086629767E-2"/>
    <s v="Hashtags Used.2"/>
    <x v="1"/>
  </r>
  <r>
    <s v="P098"/>
    <n v="0.11238095238095239"/>
    <s v="Hashtags Used.1"/>
    <x v="0"/>
  </r>
  <r>
    <s v="P099"/>
    <n v="7.2000119875329657E-2"/>
    <s v="Hashtags Used.1"/>
    <x v="0"/>
  </r>
  <r>
    <s v="P100"/>
    <n v="9.2298980747451867E-2"/>
    <s v="Hashtags Used.1"/>
    <x v="4"/>
  </r>
  <r>
    <s v="P101"/>
    <n v="7.3707865168539333E-2"/>
    <s v="Hashtags Used.1"/>
    <x v="0"/>
  </r>
  <r>
    <s v="P102"/>
    <n v="0.35666666666666669"/>
    <s v="Hashtags Used.1"/>
    <x v="4"/>
  </r>
  <r>
    <s v="P103"/>
    <n v="9.9632815002833983E-2"/>
    <s v="Hashtags Used.1"/>
    <x v="4"/>
  </r>
  <r>
    <s v="P104"/>
    <n v="0.13707250341997265"/>
    <s v="Hashtags Used.1"/>
    <x v="2"/>
  </r>
  <r>
    <s v="P105"/>
    <n v="0.12896028558679162"/>
    <s v="Hashtags Used.1"/>
    <x v="0"/>
  </r>
  <r>
    <s v="P106"/>
    <n v="8.5718409468138843E-2"/>
    <s v="Hashtags Used.1"/>
    <x v="2"/>
  </r>
  <r>
    <s v="P107"/>
    <n v="6.2467323109097243E-2"/>
    <s v="Hashtags Used.1"/>
    <x v="2"/>
  </r>
  <r>
    <s v="P108"/>
    <n v="0.10005698005698006"/>
    <s v="Hashtags Used.1"/>
    <x v="2"/>
  </r>
  <r>
    <s v="P109"/>
    <n v="0.16744313510550835"/>
    <s v="Hashtags Used.1"/>
    <x v="0"/>
  </r>
  <r>
    <s v="P110"/>
    <n v="0.12277759141227776"/>
    <s v="Hashtags Used.1"/>
    <x v="4"/>
  </r>
  <r>
    <s v="P111"/>
    <n v="7.4071349760941527E-2"/>
    <s v="Hashtags Used.1"/>
    <x v="2"/>
  </r>
  <r>
    <s v="P112"/>
    <n v="0.17441662408448305"/>
    <s v="Hashtags Used.1"/>
    <x v="0"/>
  </r>
  <r>
    <s v="P113"/>
    <n v="0.11369088028965829"/>
    <s v="Hashtags Used.1"/>
    <x v="4"/>
  </r>
  <r>
    <s v="P114"/>
    <n v="0.12942500000000001"/>
    <s v="Hashtags Used.1"/>
    <x v="0"/>
  </r>
  <r>
    <s v="P115"/>
    <n v="6.2150491965739366E-2"/>
    <s v="Hashtags Used.1"/>
    <x v="2"/>
  </r>
  <r>
    <s v="P115"/>
    <n v="6.2150491965739366E-2"/>
    <s v="Hashtags Used.2"/>
    <x v="1"/>
  </r>
  <r>
    <s v="P116"/>
    <n v="0.16769515581610614"/>
    <s v="Hashtags Used.1"/>
    <x v="2"/>
  </r>
  <r>
    <s v="P117"/>
    <n v="0.11792317271769326"/>
    <s v="Hashtags Used.1"/>
    <x v="4"/>
  </r>
  <r>
    <s v="P118"/>
    <n v="8.0158206987475278E-2"/>
    <s v="Hashtags Used.1"/>
    <x v="0"/>
  </r>
  <r>
    <s v="P119"/>
    <n v="0.31705583756345179"/>
    <s v="Hashtags Used.1"/>
    <x v="0"/>
  </r>
  <r>
    <s v="P120"/>
    <n v="0.23414918414918415"/>
    <s v="Hashtags Used.1"/>
    <x v="4"/>
  </r>
  <r>
    <s v="P121"/>
    <n v="0.32349397590361445"/>
    <s v="Hashtags Used.1"/>
    <x v="0"/>
  </r>
  <r>
    <s v="P122"/>
    <n v="8.0565268065268064E-2"/>
    <s v="Hashtags Used.1"/>
    <x v="4"/>
  </r>
  <r>
    <s v="P123"/>
    <n v="0.23616777446710979"/>
    <s v="Hashtags Used.1"/>
    <x v="4"/>
  </r>
  <r>
    <s v="P124"/>
    <n v="0.33618012422360249"/>
    <s v="Hashtags Used.1"/>
    <x v="4"/>
  </r>
  <r>
    <s v="P125"/>
    <n v="0.14265722032712325"/>
    <s v="Hashtags Used.1"/>
    <x v="2"/>
  </r>
  <r>
    <s v="P126"/>
    <n v="9.9829463465827106E-2"/>
    <s v="Hashtags Used.1"/>
    <x v="0"/>
  </r>
  <r>
    <s v="P127"/>
    <n v="6.9311459413307311E-2"/>
    <s v="Hashtags Used.1"/>
    <x v="0"/>
  </r>
  <r>
    <s v="P128"/>
    <n v="0.12537731780940059"/>
    <s v="Hashtags Used.1"/>
    <x v="0"/>
  </r>
  <r>
    <s v="P129"/>
    <n v="0.17291569632044715"/>
    <s v="Hashtags Used.1"/>
    <x v="2"/>
  </r>
  <r>
    <s v="P130"/>
    <n v="8.9577656675749323E-2"/>
    <s v="Hashtags Used.1"/>
    <x v="4"/>
  </r>
  <r>
    <s v="P131"/>
    <n v="0.13106060606060607"/>
    <s v="Hashtags Used.1"/>
    <x v="0"/>
  </r>
  <r>
    <s v="P132"/>
    <n v="0.13493953401503478"/>
    <s v="Hashtags Used.1"/>
    <x v="0"/>
  </r>
  <r>
    <s v="P133"/>
    <n v="7.172350922350923E-2"/>
    <s v="Hashtags Used.1"/>
    <x v="2"/>
  </r>
  <r>
    <s v="P134"/>
    <n v="7.1133744304476013E-2"/>
    <s v="Hashtags Used.1"/>
    <x v="2"/>
  </r>
  <r>
    <s v="P135"/>
    <n v="6.461481657304112E-2"/>
    <s v="Hashtags Used.1"/>
    <x v="0"/>
  </r>
  <r>
    <s v="P136"/>
    <n v="0.20357370772176134"/>
    <s v="Hashtags Used.1"/>
    <x v="4"/>
  </r>
  <r>
    <s v="P137"/>
    <n v="0.20871010638297871"/>
    <s v="Hashtags Used.1"/>
    <x v="0"/>
  </r>
  <r>
    <s v="P138"/>
    <n v="0.16065573770491803"/>
    <s v="Hashtags Used.1"/>
    <x v="0"/>
  </r>
  <r>
    <s v="P139"/>
    <n v="9.422796795338674E-2"/>
    <s v="Hashtags Used.1"/>
    <x v="4"/>
  </r>
  <r>
    <s v="P140"/>
    <n v="0.15571802706241816"/>
    <s v="Hashtags Used.1"/>
    <x v="4"/>
  </r>
  <r>
    <s v="P140"/>
    <n v="0.15571802706241816"/>
    <s v="Hashtags Used.2"/>
    <x v="5"/>
  </r>
  <r>
    <s v="P141"/>
    <n v="0.2316508937960042"/>
    <s v="Hashtags Used.1"/>
    <x v="0"/>
  </r>
  <r>
    <s v="P142"/>
    <n v="6.9438087973557078E-2"/>
    <s v="Hashtags Used.1"/>
    <x v="0"/>
  </r>
  <r>
    <s v="P143"/>
    <n v="0.50192307692307692"/>
    <s v="Hashtags Used.1"/>
    <x v="2"/>
  </r>
  <r>
    <s v="P144"/>
    <n v="6.5455787978772245E-2"/>
    <s v="Hashtags Used.1"/>
    <x v="4"/>
  </r>
  <r>
    <s v="P145"/>
    <n v="5.6416400425985093E-2"/>
    <s v="Hashtags Used.1"/>
    <x v="2"/>
  </r>
  <r>
    <s v="P146"/>
    <n v="0.21636759108210984"/>
    <s v="Hashtags Used.1"/>
    <x v="4"/>
  </r>
  <r>
    <s v="P146"/>
    <n v="0.21636759108210984"/>
    <s v="Hashtags Used.2"/>
    <x v="1"/>
  </r>
  <r>
    <s v="P147"/>
    <n v="0.15283323095823095"/>
    <s v="Hashtags Used.1"/>
    <x v="2"/>
  </r>
  <r>
    <s v="P148"/>
    <n v="0.19864505202032423"/>
    <s v="Hashtags Used.1"/>
    <x v="4"/>
  </r>
  <r>
    <s v="P149"/>
    <n v="7.7291421856639245E-2"/>
    <s v="Hashtags Used.1"/>
    <x v="4"/>
  </r>
  <r>
    <s v="P150"/>
    <n v="6.3713620488940623E-2"/>
    <s v="Hashtags Used.1"/>
    <x v="2"/>
  </r>
  <r>
    <s v="P151"/>
    <n v="0.10977802753582468"/>
    <s v="Hashtags Used.1"/>
    <x v="4"/>
  </r>
  <r>
    <s v="P152"/>
    <n v="0.19511518179295032"/>
    <s v="Hashtags Used.1"/>
    <x v="4"/>
  </r>
  <r>
    <s v="P153"/>
    <n v="0.17801355732390214"/>
    <s v="Hashtags Used.1"/>
    <x v="2"/>
  </r>
  <r>
    <s v="P154"/>
    <n v="0.31965192168237855"/>
    <s v="Hashtags Used.1"/>
    <x v="0"/>
  </r>
  <r>
    <s v="P155"/>
    <n v="0.11489268506351293"/>
    <s v="Hashtags Used.1"/>
    <x v="0"/>
  </r>
  <r>
    <s v="P156"/>
    <n v="0.1095786671562328"/>
    <s v="Hashtags Used.1"/>
    <x v="0"/>
  </r>
  <r>
    <s v="P157"/>
    <n v="0.10793717277486911"/>
    <s v="Hashtags Used.1"/>
    <x v="0"/>
  </r>
  <r>
    <s v="P158"/>
    <n v="0.11307081114118571"/>
    <s v="Hashtags Used.1"/>
    <x v="2"/>
  </r>
  <r>
    <s v="P159"/>
    <n v="0.21745283018867925"/>
    <s v="Hashtags Used.1"/>
    <x v="0"/>
  </r>
  <r>
    <s v="P160"/>
    <n v="9.1137810638734856E-2"/>
    <s v="Hashtags Used.1"/>
    <x v="2"/>
  </r>
  <r>
    <s v="P161"/>
    <n v="0.11508145034156594"/>
    <s v="Hashtags Used.1"/>
    <x v="2"/>
  </r>
  <r>
    <s v="P162"/>
    <n v="8.6630570595585168E-2"/>
    <s v="Hashtags Used.1"/>
    <x v="0"/>
  </r>
  <r>
    <s v="P163"/>
    <n v="0.23101532992668297"/>
    <s v="Hashtags Used.1"/>
    <x v="2"/>
  </r>
  <r>
    <s v="P164"/>
    <n v="0.15355188488042157"/>
    <s v="Hashtags Used.1"/>
    <x v="2"/>
  </r>
  <r>
    <s v="P164"/>
    <n v="0.15355188488042157"/>
    <s v="Hashtags Used.2"/>
    <x v="1"/>
  </r>
  <r>
    <s v="P165"/>
    <n v="0.15405989502933004"/>
    <s v="Hashtags Used.1"/>
    <x v="2"/>
  </r>
  <r>
    <s v="P166"/>
    <n v="0.14320716458262928"/>
    <s v="Hashtags Used.1"/>
    <x v="0"/>
  </r>
  <r>
    <s v="P167"/>
    <n v="9.859917557465242E-2"/>
    <s v="Hashtags Used.1"/>
    <x v="0"/>
  </r>
  <r>
    <s v="P168"/>
    <n v="7.412002573292896E-2"/>
    <s v="Hashtags Used.1"/>
    <x v="4"/>
  </r>
  <r>
    <s v="P169"/>
    <n v="0.12490884163239112"/>
    <s v="Hashtags Used.1"/>
    <x v="4"/>
  </r>
  <r>
    <s v="P170"/>
    <n v="6.8655003457763777E-2"/>
    <s v="Hashtags Used.1"/>
    <x v="2"/>
  </r>
  <r>
    <s v="P171"/>
    <n v="9.8068107400130972E-2"/>
    <s v="Hashtags Used.1"/>
    <x v="0"/>
  </r>
  <r>
    <s v="P172"/>
    <n v="7.2739802071170159E-2"/>
    <s v="Hashtags Used.1"/>
    <x v="4"/>
  </r>
  <r>
    <s v="P173"/>
    <n v="0.14348370927318296"/>
    <s v="Hashtags Used.1"/>
    <x v="0"/>
  </r>
  <r>
    <s v="P174"/>
    <n v="0.13809430512016718"/>
    <s v="Hashtags Used.1"/>
    <x v="4"/>
  </r>
  <r>
    <s v="P175"/>
    <n v="0.6508215962441315"/>
    <s v="Hashtags Used.1"/>
    <x v="0"/>
  </r>
  <r>
    <s v="P176"/>
    <n v="5.4081095313322801E-2"/>
    <s v="Hashtags Used.1"/>
    <x v="2"/>
  </r>
  <r>
    <s v="P177"/>
    <n v="9.1365878393951966E-2"/>
    <s v="Hashtags Used.1"/>
    <x v="2"/>
  </r>
  <r>
    <s v="P178"/>
    <n v="0.70387596899224802"/>
    <s v="Hashtags Used.1"/>
    <x v="2"/>
  </r>
  <r>
    <s v="P179"/>
    <n v="7.5280481001673588E-2"/>
    <s v="Hashtags Used.1"/>
    <x v="2"/>
  </r>
  <r>
    <s v="P180"/>
    <n v="9.023070704558174E-2"/>
    <s v="Hashtags Used.1"/>
    <x v="2"/>
  </r>
  <r>
    <s v="P181"/>
    <n v="0.23673521198273673"/>
    <s v="Hashtags Used.1"/>
    <x v="4"/>
  </r>
  <r>
    <s v="P182"/>
    <n v="0.10132030477519921"/>
    <s v="Hashtags Used.1"/>
    <x v="2"/>
  </r>
  <r>
    <s v="P183"/>
    <n v="0.28696581196581195"/>
    <s v="Hashtags Used.1"/>
    <x v="0"/>
  </r>
  <r>
    <s v="P184"/>
    <n v="0.13614307931570763"/>
    <s v="Hashtags Used.1"/>
    <x v="4"/>
  </r>
  <r>
    <s v="P185"/>
    <n v="9.5290736237010829E-2"/>
    <s v="Hashtags Used.1"/>
    <x v="4"/>
  </r>
  <r>
    <s v="P186"/>
    <n v="8.4862714173059003E-2"/>
    <s v="Hashtags Used.1"/>
    <x v="4"/>
  </r>
  <r>
    <s v="P187"/>
    <n v="8.3726921425504502E-2"/>
    <s v="Hashtags Used.1"/>
    <x v="4"/>
  </r>
  <r>
    <s v="P188"/>
    <n v="8.4946236559139784E-2"/>
    <s v="Hashtags Used.1"/>
    <x v="0"/>
  </r>
  <r>
    <s v="P189"/>
    <n v="7.2503306878306875E-2"/>
    <s v="Hashtags Used.1"/>
    <x v="2"/>
  </r>
  <r>
    <s v="P190"/>
    <n v="5.5909322465613857E-2"/>
    <s v="Hashtags Used.1"/>
    <x v="0"/>
  </r>
  <r>
    <s v="P191"/>
    <n v="9.9578134817341346E-2"/>
    <s v="Hashtags Used.1"/>
    <x v="0"/>
  </r>
  <r>
    <s v="P192"/>
    <n v="0.1441326530612245"/>
    <s v="Hashtags Used.1"/>
    <x v="4"/>
  </r>
  <r>
    <s v="P193"/>
    <n v="9.9255211647142488E-2"/>
    <s v="Hashtags Used.1"/>
    <x v="4"/>
  </r>
  <r>
    <s v="P194"/>
    <n v="8.4203612479474554E-2"/>
    <s v="Hashtags Used.1"/>
    <x v="4"/>
  </r>
  <r>
    <s v="P195"/>
    <n v="0.13667732704931829"/>
    <s v="Hashtags Used.1"/>
    <x v="0"/>
  </r>
  <r>
    <s v="P195"/>
    <n v="0.13667732704931829"/>
    <s v="Hashtags Used.2"/>
    <x v="2"/>
  </r>
  <r>
    <s v="P195"/>
    <n v="0.13667732704931829"/>
    <s v="Hashtags Used.3"/>
    <x v="1"/>
  </r>
  <r>
    <s v="P196"/>
    <n v="0.12575841147269717"/>
    <s v="Hashtags Used.1"/>
    <x v="4"/>
  </r>
  <r>
    <s v="P197"/>
    <n v="6.4884520656164318E-2"/>
    <s v="Hashtags Used.1"/>
    <x v="4"/>
  </r>
  <r>
    <s v="P198"/>
    <n v="0.19847328244274809"/>
    <s v="Hashtags Used.1"/>
    <x v="2"/>
  </r>
  <r>
    <s v="P199"/>
    <n v="8.5520696919660646E-2"/>
    <s v="Hashtags Used.1"/>
    <x v="2"/>
  </r>
  <r>
    <s v="P200"/>
    <n v="6.246991874522239E-2"/>
    <s v="Hashtags Used.1"/>
    <x v="2"/>
  </r>
  <r>
    <s v="P201"/>
    <n v="9.0606816292601824E-2"/>
    <s v="Hashtags Used.1"/>
    <x v="4"/>
  </r>
  <r>
    <s v="P202"/>
    <n v="8.2108498129342594E-2"/>
    <s v="Hashtags Used.1"/>
    <x v="4"/>
  </r>
  <r>
    <s v="P203"/>
    <n v="5.7332570758993957E-2"/>
    <s v="Hashtags Used.1"/>
    <x v="0"/>
  </r>
  <r>
    <s v="P204"/>
    <n v="0.29713518352730528"/>
    <s v="Hashtags Used.1"/>
    <x v="0"/>
  </r>
  <r>
    <s v="P205"/>
    <n v="0.1043848167539267"/>
    <s v="Hashtags Used.1"/>
    <x v="2"/>
  </r>
  <r>
    <s v="P205"/>
    <n v="0.1043848167539267"/>
    <s v="Hashtags Used.2"/>
    <x v="5"/>
  </r>
  <r>
    <s v="P206"/>
    <n v="0.10768685795253277"/>
    <s v="Hashtags Used.1"/>
    <x v="4"/>
  </r>
  <r>
    <s v="P207"/>
    <n v="0.14316214319138981"/>
    <s v="Hashtags Used.1"/>
    <x v="2"/>
  </r>
  <r>
    <s v="P207"/>
    <n v="0.14316214319138981"/>
    <s v="Hashtags Used.2"/>
    <x v="5"/>
  </r>
  <r>
    <s v="P208"/>
    <n v="8.6537809426924378E-2"/>
    <s v="Hashtags Used.1"/>
    <x v="2"/>
  </r>
  <r>
    <s v="P209"/>
    <n v="8.2753164556962022E-2"/>
    <s v="Hashtags Used.1"/>
    <x v="0"/>
  </r>
  <r>
    <s v="P209"/>
    <n v="8.2753164556962022E-2"/>
    <s v="Hashtags Used.2"/>
    <x v="1"/>
  </r>
  <r>
    <s v="P210"/>
    <n v="0.48518407662376534"/>
    <s v="Hashtags Used.1"/>
    <x v="0"/>
  </r>
  <r>
    <s v="P211"/>
    <n v="0.18632075471698112"/>
    <s v="Hashtags Used.1"/>
    <x v="0"/>
  </r>
  <r>
    <s v="P212"/>
    <n v="0.123309241094476"/>
    <s v="Hashtags Used.1"/>
    <x v="2"/>
  </r>
  <r>
    <s v="P213"/>
    <n v="8.21914819340199E-2"/>
    <s v="Hashtags Used.1"/>
    <x v="4"/>
  </r>
  <r>
    <s v="P214"/>
    <n v="0.37955854126679461"/>
    <s v="Hashtags Used.1"/>
    <x v="0"/>
  </r>
  <r>
    <s v="P215"/>
    <n v="7.2116777745580993E-2"/>
    <s v="Hashtags Used.1"/>
    <x v="4"/>
  </r>
  <r>
    <s v="P216"/>
    <n v="5.8316766070245198E-2"/>
    <s v="Hashtags Used.1"/>
    <x v="4"/>
  </r>
  <r>
    <s v="P217"/>
    <n v="6.2603126356925748E-2"/>
    <s v="Hashtags Used.1"/>
    <x v="2"/>
  </r>
  <r>
    <s v="P218"/>
    <n v="0.18806848582129482"/>
    <s v="Hashtags Used.1"/>
    <x v="2"/>
  </r>
  <r>
    <s v="P219"/>
    <n v="0.25701459034792368"/>
    <s v="Hashtags Used.1"/>
    <x v="2"/>
  </r>
  <r>
    <s v="P220"/>
    <n v="1.8129251700680271"/>
    <s v="Hashtags Used.1"/>
    <x v="4"/>
  </r>
  <r>
    <s v="P221"/>
    <n v="0.15989220750056141"/>
    <s v="Hashtags Used.1"/>
    <x v="2"/>
  </r>
  <r>
    <s v="P222"/>
    <n v="0.11143487163332809"/>
    <s v="Hashtags Used.1"/>
    <x v="0"/>
  </r>
  <r>
    <s v="P222"/>
    <n v="0.11143487163332809"/>
    <s v="Hashtags Used.2"/>
    <x v="5"/>
  </r>
  <r>
    <s v="P223"/>
    <n v="6.2129685107516146E-2"/>
    <s v="Hashtags Used.1"/>
    <x v="2"/>
  </r>
  <r>
    <s v="P224"/>
    <n v="0.32083531086853345"/>
    <s v="Hashtags Used.1"/>
    <x v="2"/>
  </r>
  <r>
    <s v="P225"/>
    <n v="5.6653298485940883E-2"/>
    <s v="Hashtags Used.1"/>
    <x v="4"/>
  </r>
  <r>
    <s v="P226"/>
    <n v="0.25537047673750718"/>
    <s v="Hashtags Used.1"/>
    <x v="2"/>
  </r>
  <r>
    <s v="P227"/>
    <n v="0.11232349165596919"/>
    <s v="Hashtags Used.1"/>
    <x v="0"/>
  </r>
  <r>
    <s v="P228"/>
    <n v="8.1808097615085965E-2"/>
    <s v="Hashtags Used.1"/>
    <x v="4"/>
  </r>
  <r>
    <s v="P229"/>
    <n v="0.13387048227640017"/>
    <s v="Hashtags Used.1"/>
    <x v="2"/>
  </r>
  <r>
    <s v="P230"/>
    <n v="7.7512577512577507E-2"/>
    <s v="Hashtags Used.1"/>
    <x v="4"/>
  </r>
  <r>
    <s v="P231"/>
    <n v="8.5734265734265735E-2"/>
    <s v="Hashtags Used.1"/>
    <x v="0"/>
  </r>
  <r>
    <s v="P232"/>
    <n v="0.7168674698795181"/>
    <s v="Hashtags Used.1"/>
    <x v="4"/>
  </r>
  <r>
    <s v="P233"/>
    <n v="7.2969143576826198E-2"/>
    <s v="Hashtags Used.1"/>
    <x v="0"/>
  </r>
  <r>
    <s v="P234"/>
    <n v="7.5968222442899705E-2"/>
    <s v="Hashtags Used.1"/>
    <x v="2"/>
  </r>
  <r>
    <s v="P235"/>
    <n v="0.1283706906360223"/>
    <s v="Hashtags Used.1"/>
    <x v="2"/>
  </r>
  <r>
    <s v="P236"/>
    <n v="0.12943516308671441"/>
    <s v="Hashtags Used.1"/>
    <x v="0"/>
  </r>
  <r>
    <s v="P236"/>
    <n v="0.12943516308671441"/>
    <s v="Hashtags Used.2"/>
    <x v="1"/>
  </r>
  <r>
    <s v="P236"/>
    <n v="0.12943516308671441"/>
    <s v="Hashtags Used.3"/>
    <x v="4"/>
  </r>
  <r>
    <s v="P237"/>
    <n v="6.7234398994834563E-2"/>
    <s v="Hashtags Used.1"/>
    <x v="0"/>
  </r>
  <r>
    <s v="P238"/>
    <n v="7.2579365079365077E-2"/>
    <s v="Hashtags Used.1"/>
    <x v="0"/>
  </r>
  <r>
    <s v="P239"/>
    <n v="0.25062082139446035"/>
    <s v="Hashtags Used.1"/>
    <x v="0"/>
  </r>
  <r>
    <s v="P240"/>
    <n v="8.6293505561535699E-2"/>
    <s v="Hashtags Used.1"/>
    <x v="4"/>
  </r>
  <r>
    <s v="P240"/>
    <n v="8.6293505561535699E-2"/>
    <s v="Hashtags Used.2"/>
    <x v="2"/>
  </r>
  <r>
    <s v="P240"/>
    <n v="8.6293505561535699E-2"/>
    <s v="Hashtags Used.3"/>
    <x v="1"/>
  </r>
  <r>
    <s v="P241"/>
    <n v="0.17743908486792079"/>
    <s v="Hashtags Used.1"/>
    <x v="2"/>
  </r>
  <r>
    <s v="P242"/>
    <n v="0.18519683938186141"/>
    <s v="Hashtags Used.1"/>
    <x v="4"/>
  </r>
  <r>
    <s v="P243"/>
    <n v="9.7001272669424113E-2"/>
    <s v="Hashtags Used.1"/>
    <x v="0"/>
  </r>
  <r>
    <s v="P244"/>
    <n v="0.25869984981763572"/>
    <s v="Hashtags Used.1"/>
    <x v="0"/>
  </r>
  <r>
    <s v="P245"/>
    <n v="0.12232704402515723"/>
    <s v="Hashtags Used.1"/>
    <x v="4"/>
  </r>
  <r>
    <s v="P246"/>
    <n v="0.23656250000000001"/>
    <s v="Hashtags Used.1"/>
    <x v="0"/>
  </r>
  <r>
    <s v="P247"/>
    <n v="0.11879910213243547"/>
    <s v="Hashtags Used.1"/>
    <x v="0"/>
  </r>
  <r>
    <s v="P247"/>
    <n v="0.11879910213243547"/>
    <s v="Hashtags Used.2"/>
    <x v="4"/>
  </r>
  <r>
    <s v="P247"/>
    <n v="0.11879910213243547"/>
    <s v="Hashtags Used.3"/>
    <x v="3"/>
  </r>
  <r>
    <s v="P248"/>
    <n v="0.26297968397291194"/>
    <s v="Hashtags Used.1"/>
    <x v="4"/>
  </r>
  <r>
    <s v="P249"/>
    <n v="8.7733440816874911E-2"/>
    <s v="Hashtags Used.1"/>
    <x v="4"/>
  </r>
  <r>
    <s v="P250"/>
    <n v="7.3170731707317069E-2"/>
    <s v="Hashtags Used.1"/>
    <x v="0"/>
  </r>
  <r>
    <s v="P251"/>
    <n v="0.11619462599854757"/>
    <s v="Hashtags Used.1"/>
    <x v="0"/>
  </r>
  <r>
    <s v="P252"/>
    <n v="0.15761129727142173"/>
    <s v="Hashtags Used.1"/>
    <x v="0"/>
  </r>
  <r>
    <s v="P253"/>
    <n v="8.6897539284772202E-2"/>
    <s v="Hashtags Used.1"/>
    <x v="4"/>
  </r>
  <r>
    <s v="P254"/>
    <n v="0.13331166419019316"/>
    <s v="Hashtags Used.1"/>
    <x v="0"/>
  </r>
  <r>
    <s v="P255"/>
    <n v="0.11996283514733209"/>
    <s v="Hashtags Used.1"/>
    <x v="0"/>
  </r>
  <r>
    <s v="P256"/>
    <n v="5.7936488444630008E-2"/>
    <s v="Hashtags Used.1"/>
    <x v="4"/>
  </r>
  <r>
    <s v="P257"/>
    <n v="7.9915048543689318E-2"/>
    <s v="Hashtags Used.1"/>
    <x v="4"/>
  </r>
  <r>
    <s v="P257"/>
    <n v="7.9915048543689318E-2"/>
    <s v="Hashtags Used.2"/>
    <x v="4"/>
  </r>
  <r>
    <s v="P257"/>
    <n v="7.9915048543689318E-2"/>
    <s v="Hashtags Used.3"/>
    <x v="3"/>
  </r>
  <r>
    <s v="P258"/>
    <n v="0.2023049153013052"/>
    <s v="Hashtags Used.1"/>
    <x v="4"/>
  </r>
  <r>
    <s v="P259"/>
    <n v="0.25771055753262156"/>
    <s v="Hashtags Used.1"/>
    <x v="2"/>
  </r>
  <r>
    <s v="P260"/>
    <n v="8.7752275425405618E-2"/>
    <s v="Hashtags Used.1"/>
    <x v="2"/>
  </r>
  <r>
    <s v="P260"/>
    <n v="8.7752275425405618E-2"/>
    <s v="Hashtags Used.2"/>
    <x v="4"/>
  </r>
  <r>
    <s v="P260"/>
    <n v="8.7752275425405618E-2"/>
    <s v="Hashtags Used.3"/>
    <x v="3"/>
  </r>
  <r>
    <s v="P261"/>
    <n v="8.2835359571399134E-2"/>
    <s v="Hashtags Used.1"/>
    <x v="4"/>
  </r>
  <r>
    <s v="P262"/>
    <n v="0.15339966832504145"/>
    <s v="Hashtags Used.1"/>
    <x v="2"/>
  </r>
  <r>
    <s v="P263"/>
    <n v="0.26876680752977333"/>
    <s v="Hashtags Used.1"/>
    <x v="0"/>
  </r>
  <r>
    <s v="P264"/>
    <n v="0.53389830508474578"/>
    <s v="Hashtags Used.1"/>
    <x v="2"/>
  </r>
  <r>
    <s v="P265"/>
    <n v="0.25279701651571657"/>
    <s v="Hashtags Used.1"/>
    <x v="4"/>
  </r>
  <r>
    <s v="P266"/>
    <n v="0.10086880280567512"/>
    <s v="Hashtags Used.1"/>
    <x v="2"/>
  </r>
  <r>
    <s v="P267"/>
    <n v="6.3947934081681396E-2"/>
    <s v="Hashtags Used.1"/>
    <x v="0"/>
  </r>
  <r>
    <s v="P268"/>
    <n v="8.4062694239588759E-2"/>
    <s v="Hashtags Used.1"/>
    <x v="4"/>
  </r>
  <r>
    <s v="P269"/>
    <n v="0.22157421618066214"/>
    <s v="Hashtags Used.1"/>
    <x v="2"/>
  </r>
  <r>
    <s v="P270"/>
    <n v="6.7103868574456813E-2"/>
    <s v="Hashtags Used.1"/>
    <x v="2"/>
  </r>
  <r>
    <s v="P271"/>
    <n v="0.20675990675990677"/>
    <s v="Hashtags Used.1"/>
    <x v="4"/>
  </r>
  <r>
    <s v="P272"/>
    <n v="0.14220299534507186"/>
    <s v="Hashtags Used.1"/>
    <x v="2"/>
  </r>
  <r>
    <s v="P273"/>
    <n v="9.7700431949264685E-2"/>
    <s v="Hashtags Used.1"/>
    <x v="4"/>
  </r>
  <r>
    <s v="P274"/>
    <n v="7.8849599245638849E-2"/>
    <s v="Hashtags Used.1"/>
    <x v="2"/>
  </r>
  <r>
    <s v="P275"/>
    <n v="0.16754738655944859"/>
    <s v="Hashtags Used.1"/>
    <x v="4"/>
  </r>
  <r>
    <s v="P276"/>
    <n v="0.2015852613538989"/>
    <s v="Hashtags Used.1"/>
    <x v="2"/>
  </r>
  <r>
    <s v="P277"/>
    <n v="0.24763928234183191"/>
    <s v="Hashtags Used.1"/>
    <x v="0"/>
  </r>
  <r>
    <s v="P278"/>
    <n v="0.11114018842096787"/>
    <s v="Hashtags Used.1"/>
    <x v="4"/>
  </r>
  <r>
    <s v="P279"/>
    <n v="5.9928644240570844E-2"/>
    <s v="Hashtags Used.1"/>
    <x v="2"/>
  </r>
  <r>
    <s v="P280"/>
    <n v="8.3274853801169585E-2"/>
    <s v="Hashtags Used.1"/>
    <x v="4"/>
  </r>
  <r>
    <s v="P280"/>
    <n v="8.3274853801169585E-2"/>
    <s v="Hashtags Used.2"/>
    <x v="2"/>
  </r>
  <r>
    <s v="P280"/>
    <n v="8.3274853801169585E-2"/>
    <s v="Hashtags Used.3"/>
    <x v="1"/>
  </r>
  <r>
    <s v="P281"/>
    <n v="6.3118551273952411E-2"/>
    <s v="Hashtags Used.1"/>
    <x v="4"/>
  </r>
  <r>
    <s v="P282"/>
    <n v="0.1071650124069479"/>
    <s v="Hashtags Used.1"/>
    <x v="0"/>
  </r>
  <r>
    <s v="P283"/>
    <n v="5.8243321401216137E-2"/>
    <s v="Hashtags Used.1"/>
    <x v="0"/>
  </r>
  <r>
    <s v="P284"/>
    <n v="0.11465952405480581"/>
    <s v="Hashtags Used.1"/>
    <x v="2"/>
  </r>
  <r>
    <s v="P285"/>
    <n v="0.13517919809886983"/>
    <s v="Hashtags Used.1"/>
    <x v="4"/>
  </r>
  <r>
    <s v="P286"/>
    <n v="0.19484607062063539"/>
    <s v="Hashtags Used.1"/>
    <x v="0"/>
  </r>
  <r>
    <s v="P287"/>
    <n v="0.30126002290950743"/>
    <s v="Hashtags Used.1"/>
    <x v="4"/>
  </r>
  <r>
    <s v="P288"/>
    <n v="6.800325430032543E-2"/>
    <s v="Hashtags Used.1"/>
    <x v="0"/>
  </r>
  <r>
    <s v="P289"/>
    <n v="7.3018902217375503E-2"/>
    <s v="Hashtags Used.1"/>
    <x v="0"/>
  </r>
  <r>
    <s v="P290"/>
    <n v="8.3921940869371006E-2"/>
    <s v="Hashtags Used.1"/>
    <x v="4"/>
  </r>
  <r>
    <s v="P291"/>
    <n v="7.1956537279290869E-2"/>
    <s v="Hashtags Used.1"/>
    <x v="4"/>
  </r>
  <r>
    <s v="P292"/>
    <n v="0.12353896103896105"/>
    <s v="Hashtags Used.1"/>
    <x v="2"/>
  </r>
  <r>
    <s v="P292"/>
    <n v="0.12353896103896105"/>
    <s v="Hashtags Used.2"/>
    <x v="1"/>
  </r>
  <r>
    <s v="P293"/>
    <n v="0.12428384068475185"/>
    <s v="Hashtags Used.1"/>
    <x v="4"/>
  </r>
  <r>
    <s v="P294"/>
    <n v="0.18248432325794406"/>
    <s v="Hashtags Used.1"/>
    <x v="4"/>
  </r>
  <r>
    <s v="P295"/>
    <n v="0.16540727459016394"/>
    <s v="Hashtags Used.1"/>
    <x v="0"/>
  </r>
  <r>
    <s v="P295"/>
    <n v="0.16540727459016394"/>
    <s v="Hashtags Used.2"/>
    <x v="2"/>
  </r>
  <r>
    <s v="P295"/>
    <n v="0.16540727459016394"/>
    <s v="Hashtags Used.3"/>
    <x v="1"/>
  </r>
  <r>
    <s v="P296"/>
    <n v="5.9387824897400819E-2"/>
    <s v="Hashtags Used.1"/>
    <x v="2"/>
  </r>
  <r>
    <s v="P296"/>
    <n v="5.9387824897400819E-2"/>
    <s v="Hashtags Used.2"/>
    <x v="5"/>
  </r>
  <r>
    <s v="P297"/>
    <n v="0.24349030470914126"/>
    <s v="Hashtags Used.1"/>
    <x v="4"/>
  </r>
  <r>
    <s v="P298"/>
    <n v="5.8563792702765516E-2"/>
    <s v="Hashtags Used.1"/>
    <x v="2"/>
  </r>
  <r>
    <s v="P299"/>
    <n v="0.13840458048129492"/>
    <s v="Hashtags Used.1"/>
    <x v="0"/>
  </r>
  <r>
    <s v="P300"/>
    <n v="8.3539958039290485E-2"/>
    <s v="Hashtags Used.1"/>
    <x v="2"/>
  </r>
  <r>
    <s v="P300"/>
    <n v="8.3539958039290485E-2"/>
    <s v="Hashtags Used.2"/>
    <x v="4"/>
  </r>
  <r>
    <s v="P300"/>
    <n v="8.3539958039290485E-2"/>
    <s v="Hashtags Used.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657323-433A-41DF-8155-E5E33088D94A}"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 firstHeaderRow="1" firstDataRow="1" firstDataCol="1"/>
  <pivotFields count="1">
    <pivotField axis="axisRow" dataField="1" showAll="0">
      <items count="8">
        <item x="3"/>
        <item x="4"/>
        <item x="2"/>
        <item x="0"/>
        <item x="6"/>
        <item x="1"/>
        <item h="1" x="5"/>
        <item t="default"/>
      </items>
    </pivotField>
  </pivotFields>
  <rowFields count="1">
    <field x="0"/>
  </rowFields>
  <rowItems count="7">
    <i>
      <x/>
    </i>
    <i>
      <x v="1"/>
    </i>
    <i>
      <x v="2"/>
    </i>
    <i>
      <x v="3"/>
    </i>
    <i>
      <x v="4"/>
    </i>
    <i>
      <x v="5"/>
    </i>
    <i t="grand">
      <x/>
    </i>
  </rowItems>
  <colItems count="1">
    <i/>
  </colItems>
  <dataFields count="1">
    <dataField name="Count of hashtags " fld="0" subtotal="count" baseField="0" baseItem="0"/>
  </dataField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6A0931-C399-4B2F-9FFB-80EB8439124E}"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2:C29" firstHeaderRow="0" firstDataRow="1" firstDataCol="1"/>
  <pivotFields count="4">
    <pivotField dataField="1" showAll="0"/>
    <pivotField dataField="1" showAll="0"/>
    <pivotField showAll="0"/>
    <pivotField axis="axisRow" showAll="0">
      <items count="7">
        <item x="1"/>
        <item x="3"/>
        <item x="4"/>
        <item x="0"/>
        <item x="5"/>
        <item x="2"/>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Average of Engagement Rate " fld="1" subtotal="average" baseField="3" baseItem="0" numFmtId="10"/>
    <dataField name="Count of POST ID " fld="0" subtotal="count" baseField="0" baseItem="0"/>
  </dataFields>
  <conditionalFormats count="1">
    <conditionalFormat type="all" priority="1">
      <pivotAreas count="1">
        <pivotArea type="data" collapsedLevelsAreSubtotals="1" fieldPosition="0">
          <references count="2">
            <reference field="4294967294" count="1" selected="0">
              <x v="0"/>
            </reference>
            <reference field="3" count="1">
              <x v="2"/>
            </reference>
          </references>
        </pivotArea>
      </pivotAreas>
    </conditionalFormat>
  </conditional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8BBB08-9FD6-4755-96F7-615AC0EED424}"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7:D24" firstHeaderRow="0" firstDataRow="1" firstDataCol="1"/>
  <pivotFields count="4">
    <pivotField dataField="1" subtotalTop="0" showAll="0" defaultSubtotal="0"/>
    <pivotField axis="axisRow" allDrilled="1" subtotalTop="0" showAll="0" dataSourceSort="1" defaultSubtotal="0" defaultAttributeDrillState="1">
      <items count="4">
        <item s="1" x="0"/>
        <item s="1" x="1"/>
        <item s="1" x="2"/>
        <item s="1" x="3"/>
      </items>
    </pivotField>
    <pivotField axis="axisRow" allDrilled="1" subtotalTop="0" showAll="0" dataSourceSort="1" defaultSubtotal="0" defaultAttributeDrillState="1">
      <items count="3">
        <item s="1" x="0"/>
        <item s="1" x="1"/>
        <item s="1" x="2"/>
      </items>
    </pivotField>
    <pivotField dataField="1" subtotalTop="0" showAll="0" defaultSubtotal="0"/>
  </pivotFields>
  <rowFields count="2">
    <field x="1"/>
    <field x="2"/>
  </rowFields>
  <rowItems count="17">
    <i>
      <x/>
    </i>
    <i r="1">
      <x/>
    </i>
    <i r="1">
      <x v="1"/>
    </i>
    <i r="1">
      <x v="2"/>
    </i>
    <i>
      <x v="1"/>
    </i>
    <i r="1">
      <x/>
    </i>
    <i r="1">
      <x v="1"/>
    </i>
    <i r="1">
      <x v="2"/>
    </i>
    <i>
      <x v="2"/>
    </i>
    <i r="1">
      <x/>
    </i>
    <i r="1">
      <x v="1"/>
    </i>
    <i r="1">
      <x v="2"/>
    </i>
    <i>
      <x v="3"/>
    </i>
    <i r="1">
      <x/>
    </i>
    <i r="1">
      <x v="1"/>
    </i>
    <i r="1">
      <x v="2"/>
    </i>
    <i t="grand">
      <x/>
    </i>
  </rowItems>
  <colFields count="1">
    <field x="-2"/>
  </colFields>
  <colItems count="2">
    <i>
      <x/>
    </i>
    <i i="1">
      <x v="1"/>
    </i>
  </colItems>
  <dataFields count="2">
    <dataField name="Count of Post ID" fld="0" subtotal="count" baseField="0" baseItem="0"/>
    <dataField name="Average of Engagement Rate" fld="3" subtotal="average" baseField="1" baseItem="0" numFmtId="10"/>
  </dataFields>
  <conditionalFormats count="1">
    <conditionalFormat priority="1">
      <pivotAreas count="8">
        <pivotArea type="data" collapsedLevelsAreSubtotals="1" fieldPosition="0">
          <references count="1">
            <reference field="1" count="1">
              <x v="0"/>
            </reference>
          </references>
        </pivotArea>
        <pivotArea type="data" collapsedLevelsAreSubtotals="1" fieldPosition="0">
          <references count="2">
            <reference field="1" count="1" selected="0">
              <x v="0"/>
            </reference>
            <reference field="2" count="3">
              <x v="0"/>
              <x v="1"/>
              <x v="2"/>
            </reference>
          </references>
        </pivotArea>
        <pivotArea type="data" collapsedLevelsAreSubtotals="1" fieldPosition="0">
          <references count="1">
            <reference field="1" count="1">
              <x v="1"/>
            </reference>
          </references>
        </pivotArea>
        <pivotArea type="data" collapsedLevelsAreSubtotals="1" fieldPosition="0">
          <references count="2">
            <reference field="1" count="1" selected="0">
              <x v="1"/>
            </reference>
            <reference field="2" count="3">
              <x v="0"/>
              <x v="1"/>
              <x v="2"/>
            </reference>
          </references>
        </pivotArea>
        <pivotArea type="data" collapsedLevelsAreSubtotals="1" fieldPosition="0">
          <references count="1">
            <reference field="1" count="1">
              <x v="2"/>
            </reference>
          </references>
        </pivotArea>
        <pivotArea type="data" collapsedLevelsAreSubtotals="1" fieldPosition="0">
          <references count="2">
            <reference field="1" count="1" selected="0">
              <x v="2"/>
            </reference>
            <reference field="2" count="3">
              <x v="0"/>
              <x v="1"/>
              <x v="2"/>
            </reference>
          </references>
        </pivotArea>
        <pivotArea type="data" collapsedLevelsAreSubtotals="1" fieldPosition="0">
          <references count="1">
            <reference field="1" count="1">
              <x v="3"/>
            </reference>
          </references>
        </pivotArea>
        <pivotArea type="data" collapsedLevelsAreSubtotals="1" fieldPosition="0">
          <references count="2">
            <reference field="1" count="1" selected="0">
              <x v="3"/>
            </reference>
            <reference field="2" count="3">
              <x v="0"/>
              <x v="1"/>
              <x v="2"/>
            </reference>
          </references>
        </pivotArea>
      </pivotAreas>
    </conditionalFormat>
  </conditionalFormats>
  <pivotHierarchies count="5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Engagement Rate"/>
  </pivotHierarchies>
  <pivotTableStyleInfo name="PivotStyleDark10" showRowHeaders="1" showColHeaders="1" showRowStripes="0" showColStripes="0" showLastColumn="1"/>
  <rowHierarchiesUsage count="2">
    <rowHierarchyUsage hierarchyUsage="8"/>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 Engagement Analysis.xlsx!Posts_Cleaned">
        <x15:activeTabTopLevelEntity name="[Posts_Cleane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46036E34-ABCC-409B-B6AB-6FE94DB5A306}" autoFormatId="16" applyNumberFormats="0" applyBorderFormats="0" applyFontFormats="0" applyPatternFormats="0" applyAlignmentFormats="0" applyWidthHeightFormats="0">
  <queryTableRefresh nextId="19" unboundColumnsRight="2">
    <queryTableFields count="17">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1" tableColumnId="12"/>
      <queryTableField id="13" name="Hashtags Used.2" tableColumnId="13"/>
      <queryTableField id="14" name="Hashtags Used.3" tableColumnId="14"/>
      <queryTableField id="15" name="Campaign_Name"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623D69D5-4415-43F9-9E92-8F31046455E0}" sourceName="[Posts_Cleaned].[Platform]">
  <pivotTables>
    <pivotTable tabId="14" name="PivotTable4"/>
  </pivotTables>
  <data>
    <olap pivotCacheId="600137492">
      <levels count="2">
        <level uniqueName="[Posts_Cleaned].[Platform].[(All)]" sourceCaption="(All)" count="0"/>
        <level uniqueName="[Posts_Cleaned].[Platform].[Platform]" sourceCaption="Platform" count="5">
          <ranges>
            <range startItem="0">
              <i n="[Posts_Cleaned].[Platform].&amp;[Facebook]" c="Facebook"/>
              <i n="[Posts_Cleaned].[Platform].&amp;[Instagram]" c="Instagram"/>
              <i n="[Posts_Cleaned].[Platform].&amp;[X]" c="X"/>
              <i n="[Posts_Cleaned].[Platform].&amp;[YouTube]" c="YouTube"/>
              <i n="[Posts_Cleaned].[Platform].&amp;" c="(blank)" nd="1"/>
            </range>
          </ranges>
        </level>
      </levels>
      <selections count="4">
        <selection n="[Posts_Cleaned].[Platform].&amp;[Facebook]"/>
        <selection n="[Posts_Cleaned].[Platform].&amp;[Instagram]"/>
        <selection n="[Posts_Cleaned].[Platform].&amp;[X]"/>
        <selection n="[Posts_Cleaned].[Platform].&amp;[YouTub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4B34A561-D5F4-4596-A8DF-2D9B377EAAC3}" sourceName="[Posts_Cleaned].[Content Type]">
  <pivotTables>
    <pivotTable tabId="14" name="PivotTable4"/>
  </pivotTables>
  <data>
    <olap pivotCacheId="600137492">
      <levels count="2">
        <level uniqueName="[Posts_Cleaned].[Content Type].[(All)]" sourceCaption="(All)" count="0"/>
        <level uniqueName="[Posts_Cleaned].[Content Type].[Content Type]" sourceCaption="Content Type" count="7">
          <ranges>
            <range startItem="0">
              <i n="[Posts_Cleaned].[Content Type].&amp;[Carousel]" c="Carousel"/>
              <i n="[Posts_Cleaned].[Content Type].&amp;[Image]" c="Image"/>
              <i n="[Posts_Cleaned].[Content Type].&amp;[Reel]" c="Reel"/>
              <i n="[Posts_Cleaned].[Content Type].&amp;[Story]" c="Story"/>
              <i n="[Posts_Cleaned].[Content Type].&amp;[Text]" c="Text"/>
              <i n="[Posts_Cleaned].[Content Type].&amp;[Video]" c="Video"/>
              <i n="[Posts_Cleaned].[Content Type].&amp;" c="(blank)" nd="1"/>
            </range>
          </ranges>
        </level>
      </levels>
      <selections count="3">
        <selection n="[Posts_Cleaned].[Content Type].&amp;[Carousel]"/>
        <selection n="[Posts_Cleaned].[Content Type].&amp;[Image]"/>
        <selection n="[Posts_Cleaned].[Content Type].&amp;[Vide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BF5B3943-7AF7-4CDD-B647-E35BBBE63B44}" cache="Slicer_Platform" caption="Platform" level="1" style="SlicerStyleLight2" rowHeight="241300"/>
  <slicer name="Content Type" xr10:uid="{BE929D2F-D22A-4542-8D7F-8F7C295061AF}" cache="Slicer_Content_Type" caption="Content Type" level="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145C4A-9135-4347-8584-1C269BCCD125}" name="Posts_Cleaned" displayName="Posts_Cleaned" ref="A1:Q302" tableType="queryTable" totalsRowShown="0">
  <autoFilter ref="A1:Q302" xr:uid="{3D145C4A-9135-4347-8584-1C269BCCD125}"/>
  <sortState xmlns:xlrd2="http://schemas.microsoft.com/office/spreadsheetml/2017/richdata2" ref="A2:Q302">
    <sortCondition ref="A1:A302"/>
  </sortState>
  <tableColumns count="17">
    <tableColumn id="1" xr3:uid="{2D1BD169-29C6-4E0F-98BF-85499D7E47E3}" uniqueName="1" name="Post ID" queryTableFieldId="1"/>
    <tableColumn id="2" xr3:uid="{A0C52E51-BB6D-44FE-913A-99455FD36144}" uniqueName="2" name="Platform" queryTableFieldId="2" dataDxfId="14"/>
    <tableColumn id="3" xr3:uid="{701FAD3A-1BD8-4B73-8DB0-05AD5BD97463}" uniqueName="3" name="Date" queryTableFieldId="3" dataDxfId="13"/>
    <tableColumn id="4" xr3:uid="{CA7BF1A8-EF32-46E3-8EA8-5519EDA98BAD}" uniqueName="4" name="Content Type" queryTableFieldId="4" dataDxfId="12"/>
    <tableColumn id="5" xr3:uid="{073D9931-E78C-452C-8012-0620A03F0B13}" uniqueName="5" name="Post Text" queryTableFieldId="5" dataDxfId="11"/>
    <tableColumn id="6" xr3:uid="{E2F1E57B-05C3-45B9-AAAC-09BC77E94C1C}" uniqueName="6" name="Likes" queryTableFieldId="6"/>
    <tableColumn id="7" xr3:uid="{2AEBB120-F883-4EEF-8CB0-D5BD1EB4B7E0}" uniqueName="7" name="Shares" queryTableFieldId="7"/>
    <tableColumn id="8" xr3:uid="{5E1EA9DF-1AA0-4B4B-9EF9-B7E4EF486F3B}" uniqueName="8" name="Comments" queryTableFieldId="8"/>
    <tableColumn id="9" xr3:uid="{E7C93F3F-5550-4059-B6A6-55E2363BD07F}" uniqueName="9" name="Impressions" queryTableFieldId="9"/>
    <tableColumn id="10" xr3:uid="{E6A57DDA-6CD9-4CDD-9136-948C6D0F9BF9}" uniqueName="10" name="Reach" queryTableFieldId="10"/>
    <tableColumn id="11" xr3:uid="{49185AFE-E8C9-45EA-ACC6-ADDDB6177581}" uniqueName="11" name="Clicks" queryTableFieldId="11"/>
    <tableColumn id="12" xr3:uid="{CE12593D-C7CB-4D3E-A319-4A61D1FAC7C6}" uniqueName="12" name="Hashtags Used.1" queryTableFieldId="12" dataDxfId="10"/>
    <tableColumn id="13" xr3:uid="{1B19F2EB-7852-45B7-ADCB-33089F7BF211}" uniqueName="13" name="Hashtags Used.2" queryTableFieldId="13" dataDxfId="9"/>
    <tableColumn id="14" xr3:uid="{65385A0D-D207-4478-836F-579AADFBB56E}" uniqueName="14" name="Hashtags Used.3" queryTableFieldId="14" dataDxfId="8"/>
    <tableColumn id="15" xr3:uid="{4081FF19-E605-4FA7-AFBC-FAE966E14E58}" uniqueName="15" name="Campaign_Name" queryTableFieldId="15" dataDxfId="7"/>
    <tableColumn id="16" xr3:uid="{D696F87B-FE61-4D3E-9F52-DC05D1BA1865}" uniqueName="16" name="Engagement Rate " queryTableFieldId="16" dataDxfId="6">
      <calculatedColumnFormula>IFERROR(((Posts_Cleaned[[#This Row],[Likes]]+Posts_Cleaned[[#This Row],[Shares]]+Posts_Cleaned[[#This Row],[Comments]])/Posts_Cleaned[[#This Row],[Impressions]]),0)</calculatedColumnFormula>
    </tableColumn>
    <tableColumn id="17" xr3:uid="{E91AEB09-8852-4C67-BFAE-D1FD303E0C9F}" uniqueName="17" name="Hashtags " queryTableFieldId="17" dataDxfId="5">
      <calculatedColumnFormula>_xlfn.TEXTJOIN(", ", TRUE, Posts_Cleaned[[#This Row],[Hashtags Used.1]], Posts_Cleaned[[#This Row],[Hashtags Used.2]], Posts_Cleaned[[#This Row],[Hashtags Used.3]])</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39F659-E57F-4F02-BED7-11F856E08256}" name="Table2" displayName="Table2" ref="A1:D340" totalsRowShown="0">
  <autoFilter ref="A1:D340" xr:uid="{7E39F659-E57F-4F02-BED7-11F856E08256}"/>
  <tableColumns count="4">
    <tableColumn id="1" xr3:uid="{93A32650-9F95-441B-95AF-3F8A3011F2A6}" name="POST ID "/>
    <tableColumn id="2" xr3:uid="{3BD40561-769E-4244-927E-7272C9A31059}" name="Engagement Rate "/>
    <tableColumn id="3" xr3:uid="{F283852C-375F-4141-95F0-15A1B04276CF}" name="Attribute"/>
    <tableColumn id="4" xr3:uid="{7397B985-44AD-4AA1-B72F-E8BE315ABFAB}" name="Value"/>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993A-276F-49CB-9B90-D4727062EF49}">
  <dimension ref="A1:R302"/>
  <sheetViews>
    <sheetView topLeftCell="L1" zoomScale="87" zoomScaleNormal="100" workbookViewId="0">
      <selection activeCell="L15" sqref="L15"/>
    </sheetView>
  </sheetViews>
  <sheetFormatPr defaultRowHeight="15" x14ac:dyDescent="0.25"/>
  <cols>
    <col min="1" max="1" width="10" bestFit="1" customWidth="1"/>
    <col min="2" max="3" width="11.42578125" bestFit="1" customWidth="1"/>
    <col min="4" max="4" width="15.5703125" bestFit="1" customWidth="1"/>
    <col min="5" max="5" width="40" bestFit="1" customWidth="1"/>
    <col min="6" max="6" width="8.42578125" bestFit="1" customWidth="1"/>
    <col min="7" max="7" width="9.7109375" bestFit="1" customWidth="1"/>
    <col min="8" max="8" width="13.28515625" bestFit="1" customWidth="1"/>
    <col min="9" max="9" width="14.28515625" bestFit="1" customWidth="1"/>
    <col min="10" max="10" width="9.28515625" bestFit="1" customWidth="1"/>
    <col min="11" max="11" width="9" bestFit="1" customWidth="1"/>
    <col min="12" max="12" width="18.7109375" bestFit="1" customWidth="1"/>
    <col min="13" max="13" width="22" bestFit="1" customWidth="1"/>
    <col min="14" max="14" width="20.28515625" bestFit="1" customWidth="1"/>
    <col min="15" max="15" width="18.42578125" customWidth="1"/>
    <col min="16" max="16" width="19.42578125" bestFit="1" customWidth="1"/>
    <col min="17" max="17" width="56.28515625" style="7" bestFit="1" customWidth="1"/>
    <col min="18" max="18" width="24.1406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359</v>
      </c>
      <c r="Q1" s="7" t="s">
        <v>362</v>
      </c>
      <c r="R1" s="6"/>
    </row>
    <row r="2" spans="1:18" x14ac:dyDescent="0.25">
      <c r="A2" t="s">
        <v>15</v>
      </c>
      <c r="B2" s="1" t="s">
        <v>16</v>
      </c>
      <c r="C2" s="2">
        <v>45649</v>
      </c>
      <c r="D2" s="1" t="s">
        <v>17</v>
      </c>
      <c r="E2" s="1" t="s">
        <v>18</v>
      </c>
      <c r="F2">
        <v>1461</v>
      </c>
      <c r="G2">
        <v>184</v>
      </c>
      <c r="H2">
        <v>344</v>
      </c>
      <c r="I2">
        <v>21915</v>
      </c>
      <c r="J2">
        <v>21675</v>
      </c>
      <c r="K2">
        <v>15</v>
      </c>
      <c r="L2" s="1" t="s">
        <v>19</v>
      </c>
      <c r="M2" s="1" t="s">
        <v>20</v>
      </c>
      <c r="N2" s="1"/>
      <c r="O2" s="1" t="s">
        <v>21</v>
      </c>
      <c r="P2" s="1">
        <f>IFERROR(((Posts_Cleaned[[#This Row],[Likes]]+Posts_Cleaned[[#This Row],[Shares]]+Posts_Cleaned[[#This Row],[Comments]])/Posts_Cleaned[[#This Row],[Impressions]]),0)</f>
        <v>9.0759753593429152E-2</v>
      </c>
      <c r="Q2" s="7" t="str">
        <f>_xlfn.TEXTJOIN(", ", TRUE, Posts_Cleaned[[#This Row],[Hashtags Used.1]], Posts_Cleaned[[#This Row],[Hashtags Used.2]], Posts_Cleaned[[#This Row],[Hashtags Used.3]])</f>
        <v>#FutureOfDriving, #AnytimeIsTeslaTime</v>
      </c>
      <c r="R2" s="6"/>
    </row>
    <row r="3" spans="1:18" x14ac:dyDescent="0.25">
      <c r="A3" t="s">
        <v>22</v>
      </c>
      <c r="B3" s="1" t="s">
        <v>16</v>
      </c>
      <c r="C3" s="2">
        <v>45750</v>
      </c>
      <c r="D3" s="1" t="s">
        <v>23</v>
      </c>
      <c r="E3" s="1" t="s">
        <v>24</v>
      </c>
      <c r="F3">
        <v>4054</v>
      </c>
      <c r="G3">
        <v>389</v>
      </c>
      <c r="H3">
        <v>493</v>
      </c>
      <c r="I3">
        <v>64864</v>
      </c>
      <c r="J3">
        <v>64383</v>
      </c>
      <c r="K3">
        <v>117</v>
      </c>
      <c r="L3" s="1" t="s">
        <v>25</v>
      </c>
      <c r="M3" s="1" t="s">
        <v>26</v>
      </c>
      <c r="N3" s="1"/>
      <c r="O3" s="1" t="s">
        <v>27</v>
      </c>
      <c r="P3" s="1">
        <f>IFERROR(((Posts_Cleaned[[#This Row],[Likes]]+Posts_Cleaned[[#This Row],[Shares]]+Posts_Cleaned[[#This Row],[Comments]])/Posts_Cleaned[[#This Row],[Impressions]]),0)</f>
        <v>7.6097681302417369E-2</v>
      </c>
      <c r="Q3" s="7" t="str">
        <f>_xlfn.TEXTJOIN(", ", TRUE, Posts_Cleaned[[#This Row],[Hashtags Used.1]], Posts_Cleaned[[#This Row],[Hashtags Used.2]], Posts_Cleaned[[#This Row],[Hashtags Used.3]])</f>
        <v>#TeslaCoInnovation, #BetterWithTesla</v>
      </c>
      <c r="R3" s="6"/>
    </row>
    <row r="4" spans="1:18" x14ac:dyDescent="0.25">
      <c r="A4" t="s">
        <v>28</v>
      </c>
      <c r="B4" s="1" t="s">
        <v>29</v>
      </c>
      <c r="C4" s="2">
        <v>45789</v>
      </c>
      <c r="D4" s="1" t="s">
        <v>17</v>
      </c>
      <c r="E4" s="1" t="s">
        <v>30</v>
      </c>
      <c r="F4">
        <v>2795</v>
      </c>
      <c r="G4">
        <v>105</v>
      </c>
      <c r="H4">
        <v>49</v>
      </c>
      <c r="I4">
        <v>53105</v>
      </c>
      <c r="J4">
        <v>52307</v>
      </c>
      <c r="K4">
        <v>204</v>
      </c>
      <c r="L4" s="1" t="s">
        <v>25</v>
      </c>
      <c r="M4" s="1"/>
      <c r="N4" s="1"/>
      <c r="O4" s="1" t="s">
        <v>31</v>
      </c>
      <c r="P4" s="1">
        <f>IFERROR(((Posts_Cleaned[[#This Row],[Likes]]+Posts_Cleaned[[#This Row],[Shares]]+Posts_Cleaned[[#This Row],[Comments]])/Posts_Cleaned[[#This Row],[Impressions]]),0)</f>
        <v>5.5531494209584788E-2</v>
      </c>
      <c r="Q4" s="7" t="str">
        <f>_xlfn.TEXTJOIN(", ", TRUE, Posts_Cleaned[[#This Row],[Hashtags Used.1]], Posts_Cleaned[[#This Row],[Hashtags Used.2]], Posts_Cleaned[[#This Row],[Hashtags Used.3]])</f>
        <v>#TeslaCoInnovation</v>
      </c>
      <c r="R4" s="6"/>
    </row>
    <row r="5" spans="1:18" x14ac:dyDescent="0.25">
      <c r="A5" t="s">
        <v>32</v>
      </c>
      <c r="B5" s="1" t="s">
        <v>33</v>
      </c>
      <c r="C5" s="2">
        <v>45516</v>
      </c>
      <c r="D5" s="1" t="s">
        <v>34</v>
      </c>
      <c r="E5" s="1" t="s">
        <v>35</v>
      </c>
      <c r="F5">
        <v>2404</v>
      </c>
      <c r="G5">
        <v>363</v>
      </c>
      <c r="H5">
        <v>138</v>
      </c>
      <c r="I5">
        <v>19232</v>
      </c>
      <c r="J5">
        <v>18636</v>
      </c>
      <c r="K5">
        <v>128</v>
      </c>
      <c r="L5" s="1" t="s">
        <v>36</v>
      </c>
      <c r="M5" s="1"/>
      <c r="N5" s="1"/>
      <c r="O5" s="1" t="s">
        <v>37</v>
      </c>
      <c r="P5" s="1">
        <f>IFERROR(((Posts_Cleaned[[#This Row],[Likes]]+Posts_Cleaned[[#This Row],[Shares]]+Posts_Cleaned[[#This Row],[Comments]])/Posts_Cleaned[[#This Row],[Impressions]]),0)</f>
        <v>0.15105033277870217</v>
      </c>
      <c r="Q5" s="7" t="str">
        <f>_xlfn.TEXTJOIN(", ", TRUE, Posts_Cleaned[[#This Row],[Hashtags Used.1]], Posts_Cleaned[[#This Row],[Hashtags Used.2]], Posts_Cleaned[[#This Row],[Hashtags Used.3]])</f>
        <v>#EVRevolution</v>
      </c>
      <c r="R5" s="6"/>
    </row>
    <row r="6" spans="1:18" x14ac:dyDescent="0.25">
      <c r="A6" t="s">
        <v>38</v>
      </c>
      <c r="B6" s="1" t="s">
        <v>29</v>
      </c>
      <c r="C6" s="2">
        <v>45469</v>
      </c>
      <c r="D6" s="1" t="s">
        <v>17</v>
      </c>
      <c r="E6" s="1" t="s">
        <v>30</v>
      </c>
      <c r="F6">
        <v>3557</v>
      </c>
      <c r="G6">
        <v>687</v>
      </c>
      <c r="H6">
        <v>424</v>
      </c>
      <c r="I6">
        <v>71140</v>
      </c>
      <c r="J6">
        <v>70701</v>
      </c>
      <c r="K6">
        <v>224</v>
      </c>
      <c r="L6" s="1" t="s">
        <v>36</v>
      </c>
      <c r="M6" s="1" t="s">
        <v>25</v>
      </c>
      <c r="N6" s="1"/>
      <c r="O6" s="1" t="s">
        <v>21</v>
      </c>
      <c r="P6" s="1">
        <f>IFERROR(((Posts_Cleaned[[#This Row],[Likes]]+Posts_Cleaned[[#This Row],[Shares]]+Posts_Cleaned[[#This Row],[Comments]])/Posts_Cleaned[[#This Row],[Impressions]]),0)</f>
        <v>6.5617093055946027E-2</v>
      </c>
      <c r="Q6" s="7" t="str">
        <f>_xlfn.TEXTJOIN(", ", TRUE, Posts_Cleaned[[#This Row],[Hashtags Used.1]], Posts_Cleaned[[#This Row],[Hashtags Used.2]], Posts_Cleaned[[#This Row],[Hashtags Used.3]])</f>
        <v>#EVRevolution, #TeslaCoInnovation</v>
      </c>
      <c r="R6" s="6"/>
    </row>
    <row r="7" spans="1:18" x14ac:dyDescent="0.25">
      <c r="A7" t="s">
        <v>39</v>
      </c>
      <c r="B7" s="1" t="s">
        <v>40</v>
      </c>
      <c r="C7" s="2">
        <v>45596</v>
      </c>
      <c r="D7" s="1" t="s">
        <v>41</v>
      </c>
      <c r="E7" s="1" t="s">
        <v>42</v>
      </c>
      <c r="F7">
        <v>2945</v>
      </c>
      <c r="G7">
        <v>930</v>
      </c>
      <c r="H7">
        <v>355</v>
      </c>
      <c r="I7">
        <v>23560</v>
      </c>
      <c r="J7">
        <v>23275</v>
      </c>
      <c r="K7">
        <v>256</v>
      </c>
      <c r="L7" s="1" t="s">
        <v>25</v>
      </c>
      <c r="M7" s="1"/>
      <c r="N7" s="1"/>
      <c r="O7" s="1" t="s">
        <v>27</v>
      </c>
      <c r="P7" s="1">
        <f>IFERROR(((Posts_Cleaned[[#This Row],[Likes]]+Posts_Cleaned[[#This Row],[Shares]]+Posts_Cleaned[[#This Row],[Comments]])/Posts_Cleaned[[#This Row],[Impressions]]),0)</f>
        <v>0.17954159592529711</v>
      </c>
      <c r="Q7" s="7" t="str">
        <f>_xlfn.TEXTJOIN(", ", TRUE, Posts_Cleaned[[#This Row],[Hashtags Used.1]], Posts_Cleaned[[#This Row],[Hashtags Used.2]], Posts_Cleaned[[#This Row],[Hashtags Used.3]])</f>
        <v>#TeslaCoInnovation</v>
      </c>
      <c r="R7" s="6"/>
    </row>
    <row r="8" spans="1:18" x14ac:dyDescent="0.25">
      <c r="A8" t="s">
        <v>43</v>
      </c>
      <c r="B8" s="1" t="s">
        <v>16</v>
      </c>
      <c r="C8" s="2">
        <v>45467</v>
      </c>
      <c r="D8" s="1" t="s">
        <v>41</v>
      </c>
      <c r="E8" s="1" t="s">
        <v>44</v>
      </c>
      <c r="F8">
        <v>3860</v>
      </c>
      <c r="G8">
        <v>201</v>
      </c>
      <c r="H8">
        <v>279</v>
      </c>
      <c r="I8">
        <v>61760</v>
      </c>
      <c r="J8">
        <v>61660</v>
      </c>
      <c r="K8">
        <v>235</v>
      </c>
      <c r="L8" s="1" t="s">
        <v>25</v>
      </c>
      <c r="M8" s="1"/>
      <c r="N8" s="1"/>
      <c r="O8" s="1" t="s">
        <v>27</v>
      </c>
      <c r="P8" s="1">
        <f>IFERROR(((Posts_Cleaned[[#This Row],[Likes]]+Posts_Cleaned[[#This Row],[Shares]]+Posts_Cleaned[[#This Row],[Comments]])/Posts_Cleaned[[#This Row],[Impressions]]),0)</f>
        <v>7.0272020725388601E-2</v>
      </c>
      <c r="Q8" s="7" t="str">
        <f>_xlfn.TEXTJOIN(", ", TRUE, Posts_Cleaned[[#This Row],[Hashtags Used.1]], Posts_Cleaned[[#This Row],[Hashtags Used.2]], Posts_Cleaned[[#This Row],[Hashtags Used.3]])</f>
        <v>#TeslaCoInnovation</v>
      </c>
      <c r="R8" s="6"/>
    </row>
    <row r="9" spans="1:18" x14ac:dyDescent="0.25">
      <c r="A9" t="s">
        <v>45</v>
      </c>
      <c r="B9" s="1" t="s">
        <v>29</v>
      </c>
      <c r="C9" s="2">
        <v>45486</v>
      </c>
      <c r="D9" s="1" t="s">
        <v>46</v>
      </c>
      <c r="E9" s="1" t="s">
        <v>47</v>
      </c>
      <c r="F9">
        <v>3929</v>
      </c>
      <c r="G9">
        <v>262</v>
      </c>
      <c r="H9">
        <v>278</v>
      </c>
      <c r="I9">
        <v>43219</v>
      </c>
      <c r="J9">
        <v>42841</v>
      </c>
      <c r="K9">
        <v>39</v>
      </c>
      <c r="L9" s="1" t="s">
        <v>36</v>
      </c>
      <c r="M9" s="1"/>
      <c r="N9" s="1"/>
      <c r="O9" s="1" t="s">
        <v>37</v>
      </c>
      <c r="P9" s="1">
        <f>IFERROR(((Posts_Cleaned[[#This Row],[Likes]]+Posts_Cleaned[[#This Row],[Shares]]+Posts_Cleaned[[#This Row],[Comments]])/Posts_Cleaned[[#This Row],[Impressions]]),0)</f>
        <v>0.10340359564080613</v>
      </c>
      <c r="Q9" s="7" t="str">
        <f>_xlfn.TEXTJOIN(", ", TRUE, Posts_Cleaned[[#This Row],[Hashtags Used.1]], Posts_Cleaned[[#This Row],[Hashtags Used.2]], Posts_Cleaned[[#This Row],[Hashtags Used.3]])</f>
        <v>#EVRevolution</v>
      </c>
      <c r="R9" s="6"/>
    </row>
    <row r="10" spans="1:18" x14ac:dyDescent="0.25">
      <c r="A10" t="s">
        <v>48</v>
      </c>
      <c r="B10" s="1" t="s">
        <v>40</v>
      </c>
      <c r="C10" s="2">
        <v>45534</v>
      </c>
      <c r="D10" s="1" t="s">
        <v>23</v>
      </c>
      <c r="E10" s="1" t="s">
        <v>49</v>
      </c>
      <c r="F10">
        <v>3784</v>
      </c>
      <c r="G10">
        <v>808</v>
      </c>
      <c r="H10">
        <v>404</v>
      </c>
      <c r="I10">
        <v>56760</v>
      </c>
      <c r="J10">
        <v>56343</v>
      </c>
      <c r="K10">
        <v>131</v>
      </c>
      <c r="L10" s="1" t="s">
        <v>25</v>
      </c>
      <c r="M10" s="1"/>
      <c r="N10" s="1"/>
      <c r="O10" s="1" t="s">
        <v>27</v>
      </c>
      <c r="P10" s="1">
        <f>IFERROR(((Posts_Cleaned[[#This Row],[Likes]]+Posts_Cleaned[[#This Row],[Shares]]+Posts_Cleaned[[#This Row],[Comments]])/Posts_Cleaned[[#This Row],[Impressions]]),0)</f>
        <v>8.8019732205778717E-2</v>
      </c>
      <c r="Q10" s="7" t="str">
        <f>_xlfn.TEXTJOIN(", ", TRUE, Posts_Cleaned[[#This Row],[Hashtags Used.1]], Posts_Cleaned[[#This Row],[Hashtags Used.2]], Posts_Cleaned[[#This Row],[Hashtags Used.3]])</f>
        <v>#TeslaCoInnovation</v>
      </c>
      <c r="R10" s="6"/>
    </row>
    <row r="11" spans="1:18" x14ac:dyDescent="0.25">
      <c r="A11" t="s">
        <v>50</v>
      </c>
      <c r="B11" s="1" t="s">
        <v>40</v>
      </c>
      <c r="C11" s="2">
        <v>45727</v>
      </c>
      <c r="D11" s="1" t="s">
        <v>46</v>
      </c>
      <c r="E11" s="1" t="s">
        <v>51</v>
      </c>
      <c r="F11">
        <v>4241</v>
      </c>
      <c r="G11">
        <v>902</v>
      </c>
      <c r="H11">
        <v>47</v>
      </c>
      <c r="I11">
        <v>72097</v>
      </c>
      <c r="J11">
        <v>71598</v>
      </c>
      <c r="K11">
        <v>167</v>
      </c>
      <c r="L11" s="1" t="s">
        <v>25</v>
      </c>
      <c r="M11" s="1"/>
      <c r="N11" s="1"/>
      <c r="O11" s="1" t="s">
        <v>27</v>
      </c>
      <c r="P11" s="1">
        <f>IFERROR(((Posts_Cleaned[[#This Row],[Likes]]+Posts_Cleaned[[#This Row],[Shares]]+Posts_Cleaned[[#This Row],[Comments]])/Posts_Cleaned[[#This Row],[Impressions]]),0)</f>
        <v>7.198635172059864E-2</v>
      </c>
      <c r="Q11" s="7" t="str">
        <f>_xlfn.TEXTJOIN(", ", TRUE, Posts_Cleaned[[#This Row],[Hashtags Used.1]], Posts_Cleaned[[#This Row],[Hashtags Used.2]], Posts_Cleaned[[#This Row],[Hashtags Used.3]])</f>
        <v>#TeslaCoInnovation</v>
      </c>
      <c r="R11" s="6"/>
    </row>
    <row r="12" spans="1:18" x14ac:dyDescent="0.25">
      <c r="A12" t="s">
        <v>52</v>
      </c>
      <c r="B12" s="1" t="s">
        <v>33</v>
      </c>
      <c r="C12" s="2">
        <v>45690</v>
      </c>
      <c r="D12" s="1" t="s">
        <v>34</v>
      </c>
      <c r="E12" s="1" t="s">
        <v>35</v>
      </c>
      <c r="F12">
        <v>1792</v>
      </c>
      <c r="G12">
        <v>614</v>
      </c>
      <c r="H12">
        <v>497</v>
      </c>
      <c r="I12">
        <v>25088</v>
      </c>
      <c r="J12">
        <v>24675</v>
      </c>
      <c r="K12">
        <v>65</v>
      </c>
      <c r="L12" s="1" t="s">
        <v>19</v>
      </c>
      <c r="M12" s="1"/>
      <c r="N12" s="1"/>
      <c r="O12" s="1" t="s">
        <v>37</v>
      </c>
      <c r="P12" s="1">
        <f>IFERROR(((Posts_Cleaned[[#This Row],[Likes]]+Posts_Cleaned[[#This Row],[Shares]]+Posts_Cleaned[[#This Row],[Comments]])/Posts_Cleaned[[#This Row],[Impressions]]),0)</f>
        <v>0.11571269132653061</v>
      </c>
      <c r="Q12" s="7" t="str">
        <f>_xlfn.TEXTJOIN(", ", TRUE, Posts_Cleaned[[#This Row],[Hashtags Used.1]], Posts_Cleaned[[#This Row],[Hashtags Used.2]], Posts_Cleaned[[#This Row],[Hashtags Used.3]])</f>
        <v>#FutureOfDriving</v>
      </c>
      <c r="R12" s="6"/>
    </row>
    <row r="13" spans="1:18" x14ac:dyDescent="0.25">
      <c r="A13" t="s">
        <v>53</v>
      </c>
      <c r="B13" s="1" t="s">
        <v>40</v>
      </c>
      <c r="C13" s="2">
        <v>45494</v>
      </c>
      <c r="D13" s="1" t="s">
        <v>17</v>
      </c>
      <c r="E13" s="1" t="s">
        <v>54</v>
      </c>
      <c r="F13">
        <v>1946</v>
      </c>
      <c r="G13">
        <v>686</v>
      </c>
      <c r="H13">
        <v>377</v>
      </c>
      <c r="I13">
        <v>23352</v>
      </c>
      <c r="J13">
        <v>22982</v>
      </c>
      <c r="K13">
        <v>213</v>
      </c>
      <c r="L13" s="1" t="s">
        <v>19</v>
      </c>
      <c r="M13" s="1"/>
      <c r="N13" s="1"/>
      <c r="O13" s="1" t="s">
        <v>31</v>
      </c>
      <c r="P13" s="1">
        <f>IFERROR(((Posts_Cleaned[[#This Row],[Likes]]+Posts_Cleaned[[#This Row],[Shares]]+Posts_Cleaned[[#This Row],[Comments]])/Posts_Cleaned[[#This Row],[Impressions]]),0)</f>
        <v>0.12885405960945528</v>
      </c>
      <c r="Q13" s="7" t="str">
        <f>_xlfn.TEXTJOIN(", ", TRUE, Posts_Cleaned[[#This Row],[Hashtags Used.1]], Posts_Cleaned[[#This Row],[Hashtags Used.2]], Posts_Cleaned[[#This Row],[Hashtags Used.3]])</f>
        <v>#FutureOfDriving</v>
      </c>
      <c r="R13" s="6"/>
    </row>
    <row r="14" spans="1:18" x14ac:dyDescent="0.25">
      <c r="A14" t="s">
        <v>55</v>
      </c>
      <c r="B14" s="1" t="s">
        <v>29</v>
      </c>
      <c r="C14" s="2">
        <v>45614</v>
      </c>
      <c r="D14" s="1" t="s">
        <v>41</v>
      </c>
      <c r="E14" s="1" t="s">
        <v>56</v>
      </c>
      <c r="F14">
        <v>1171</v>
      </c>
      <c r="G14">
        <v>286</v>
      </c>
      <c r="H14">
        <v>231</v>
      </c>
      <c r="I14">
        <v>22249</v>
      </c>
      <c r="J14">
        <v>21282</v>
      </c>
      <c r="K14">
        <v>114</v>
      </c>
      <c r="L14" s="1" t="s">
        <v>36</v>
      </c>
      <c r="M14" s="1"/>
      <c r="N14" s="1"/>
      <c r="O14" s="1" t="s">
        <v>21</v>
      </c>
      <c r="P14" s="1">
        <f>IFERROR(((Posts_Cleaned[[#This Row],[Likes]]+Posts_Cleaned[[#This Row],[Shares]]+Posts_Cleaned[[#This Row],[Comments]])/Posts_Cleaned[[#This Row],[Impressions]]),0)</f>
        <v>7.5868578363072495E-2</v>
      </c>
      <c r="Q14" s="7" t="str">
        <f>_xlfn.TEXTJOIN(", ", TRUE, Posts_Cleaned[[#This Row],[Hashtags Used.1]], Posts_Cleaned[[#This Row],[Hashtags Used.2]], Posts_Cleaned[[#This Row],[Hashtags Used.3]])</f>
        <v>#EVRevolution</v>
      </c>
    </row>
    <row r="15" spans="1:18" x14ac:dyDescent="0.25">
      <c r="A15" t="s">
        <v>57</v>
      </c>
      <c r="B15" s="1" t="s">
        <v>40</v>
      </c>
      <c r="C15" s="2">
        <v>45704</v>
      </c>
      <c r="D15" s="1" t="s">
        <v>34</v>
      </c>
      <c r="E15" s="1" t="s">
        <v>58</v>
      </c>
      <c r="F15">
        <v>4242</v>
      </c>
      <c r="G15">
        <v>555</v>
      </c>
      <c r="H15">
        <v>131</v>
      </c>
      <c r="I15">
        <v>33936</v>
      </c>
      <c r="J15">
        <v>33802</v>
      </c>
      <c r="K15">
        <v>265</v>
      </c>
      <c r="L15" s="1" t="s">
        <v>19</v>
      </c>
      <c r="M15" s="1"/>
      <c r="N15" s="1"/>
      <c r="O15" s="1"/>
      <c r="P15" s="1">
        <f>IFERROR(((Posts_Cleaned[[#This Row],[Likes]]+Posts_Cleaned[[#This Row],[Shares]]+Posts_Cleaned[[#This Row],[Comments]])/Posts_Cleaned[[#This Row],[Impressions]]),0)</f>
        <v>0.14521452145214522</v>
      </c>
      <c r="Q15" s="7" t="str">
        <f>_xlfn.TEXTJOIN(", ", TRUE, Posts_Cleaned[[#This Row],[Hashtags Used.1]], Posts_Cleaned[[#This Row],[Hashtags Used.2]], Posts_Cleaned[[#This Row],[Hashtags Used.3]])</f>
        <v>#FutureOfDriving</v>
      </c>
    </row>
    <row r="16" spans="1:18" x14ac:dyDescent="0.25">
      <c r="A16" t="s">
        <v>59</v>
      </c>
      <c r="B16" s="1" t="s">
        <v>40</v>
      </c>
      <c r="C16" s="2">
        <v>45589</v>
      </c>
      <c r="D16" s="1" t="s">
        <v>60</v>
      </c>
      <c r="E16" s="1" t="s">
        <v>61</v>
      </c>
      <c r="F16">
        <v>3888</v>
      </c>
      <c r="G16">
        <v>604</v>
      </c>
      <c r="H16">
        <v>128</v>
      </c>
      <c r="I16">
        <v>77760</v>
      </c>
      <c r="J16">
        <v>77167</v>
      </c>
      <c r="K16">
        <v>20</v>
      </c>
      <c r="L16" s="1" t="s">
        <v>19</v>
      </c>
      <c r="M16" s="1"/>
      <c r="N16" s="1"/>
      <c r="O16" s="1" t="s">
        <v>21</v>
      </c>
      <c r="P16" s="1">
        <f>IFERROR(((Posts_Cleaned[[#This Row],[Likes]]+Posts_Cleaned[[#This Row],[Shares]]+Posts_Cleaned[[#This Row],[Comments]])/Posts_Cleaned[[#This Row],[Impressions]]),0)</f>
        <v>5.941358024691358E-2</v>
      </c>
      <c r="Q16" s="7" t="str">
        <f>_xlfn.TEXTJOIN(", ", TRUE, Posts_Cleaned[[#This Row],[Hashtags Used.1]], Posts_Cleaned[[#This Row],[Hashtags Used.2]], Posts_Cleaned[[#This Row],[Hashtags Used.3]])</f>
        <v>#FutureOfDriving</v>
      </c>
    </row>
    <row r="17" spans="1:17" x14ac:dyDescent="0.25">
      <c r="A17" t="s">
        <v>62</v>
      </c>
      <c r="B17" s="1" t="s">
        <v>40</v>
      </c>
      <c r="C17" s="2">
        <v>45530</v>
      </c>
      <c r="D17" s="1" t="s">
        <v>23</v>
      </c>
      <c r="E17" s="1" t="s">
        <v>49</v>
      </c>
      <c r="F17">
        <v>3452</v>
      </c>
      <c r="G17">
        <v>377</v>
      </c>
      <c r="H17">
        <v>360</v>
      </c>
      <c r="I17">
        <v>55232</v>
      </c>
      <c r="J17">
        <v>55075</v>
      </c>
      <c r="K17">
        <v>87</v>
      </c>
      <c r="L17" s="1" t="s">
        <v>19</v>
      </c>
      <c r="M17" s="1"/>
      <c r="N17" s="1"/>
      <c r="O17" s="1" t="s">
        <v>31</v>
      </c>
      <c r="P17" s="1">
        <f>IFERROR(((Posts_Cleaned[[#This Row],[Likes]]+Posts_Cleaned[[#This Row],[Shares]]+Posts_Cleaned[[#This Row],[Comments]])/Posts_Cleaned[[#This Row],[Impressions]]),0)</f>
        <v>7.5843713789107758E-2</v>
      </c>
      <c r="Q17" s="7" t="str">
        <f>_xlfn.TEXTJOIN(", ", TRUE, Posts_Cleaned[[#This Row],[Hashtags Used.1]], Posts_Cleaned[[#This Row],[Hashtags Used.2]], Posts_Cleaned[[#This Row],[Hashtags Used.3]])</f>
        <v>#FutureOfDriving</v>
      </c>
    </row>
    <row r="18" spans="1:17" x14ac:dyDescent="0.25">
      <c r="A18" t="s">
        <v>63</v>
      </c>
      <c r="B18" s="1" t="s">
        <v>40</v>
      </c>
      <c r="C18" s="2">
        <v>45782</v>
      </c>
      <c r="D18" s="1" t="s">
        <v>23</v>
      </c>
      <c r="E18" s="1" t="s">
        <v>49</v>
      </c>
      <c r="F18">
        <v>4441</v>
      </c>
      <c r="G18">
        <v>511</v>
      </c>
      <c r="H18">
        <v>70</v>
      </c>
      <c r="I18">
        <v>53292</v>
      </c>
      <c r="J18">
        <v>53082</v>
      </c>
      <c r="K18">
        <v>159</v>
      </c>
      <c r="L18" s="1" t="s">
        <v>36</v>
      </c>
      <c r="M18" s="1"/>
      <c r="N18" s="1"/>
      <c r="O18" s="1" t="s">
        <v>37</v>
      </c>
      <c r="P18" s="1">
        <f>IFERROR(((Posts_Cleaned[[#This Row],[Likes]]+Posts_Cleaned[[#This Row],[Shares]]+Posts_Cleaned[[#This Row],[Comments]])/Posts_Cleaned[[#This Row],[Impressions]]),0)</f>
        <v>9.4235532537716729E-2</v>
      </c>
      <c r="Q18" s="7" t="str">
        <f>_xlfn.TEXTJOIN(", ", TRUE, Posts_Cleaned[[#This Row],[Hashtags Used.1]], Posts_Cleaned[[#This Row],[Hashtags Used.2]], Posts_Cleaned[[#This Row],[Hashtags Used.3]])</f>
        <v>#EVRevolution</v>
      </c>
    </row>
    <row r="19" spans="1:17" x14ac:dyDescent="0.25">
      <c r="A19" t="s">
        <v>64</v>
      </c>
      <c r="B19" s="1" t="s">
        <v>33</v>
      </c>
      <c r="C19" s="2">
        <v>45523</v>
      </c>
      <c r="D19" s="1" t="s">
        <v>17</v>
      </c>
      <c r="E19" s="1" t="s">
        <v>65</v>
      </c>
      <c r="F19">
        <v>3000</v>
      </c>
      <c r="G19">
        <v>382</v>
      </c>
      <c r="H19">
        <v>325</v>
      </c>
      <c r="I19">
        <v>36000</v>
      </c>
      <c r="J19">
        <v>35819</v>
      </c>
      <c r="K19">
        <v>19</v>
      </c>
      <c r="L19" s="1" t="s">
        <v>19</v>
      </c>
      <c r="M19" s="1"/>
      <c r="N19" s="1"/>
      <c r="O19" s="1" t="s">
        <v>21</v>
      </c>
      <c r="P19" s="1">
        <f>IFERROR(((Posts_Cleaned[[#This Row],[Likes]]+Posts_Cleaned[[#This Row],[Shares]]+Posts_Cleaned[[#This Row],[Comments]])/Posts_Cleaned[[#This Row],[Impressions]]),0)</f>
        <v>0.10297222222222223</v>
      </c>
      <c r="Q19" s="7" t="str">
        <f>_xlfn.TEXTJOIN(", ", TRUE, Posts_Cleaned[[#This Row],[Hashtags Used.1]], Posts_Cleaned[[#This Row],[Hashtags Used.2]], Posts_Cleaned[[#This Row],[Hashtags Used.3]])</f>
        <v>#FutureOfDriving</v>
      </c>
    </row>
    <row r="20" spans="1:17" x14ac:dyDescent="0.25">
      <c r="A20" t="s">
        <v>66</v>
      </c>
      <c r="B20" s="1" t="s">
        <v>33</v>
      </c>
      <c r="C20" s="2">
        <v>45466</v>
      </c>
      <c r="D20" s="1" t="s">
        <v>60</v>
      </c>
      <c r="E20" s="1" t="s">
        <v>67</v>
      </c>
      <c r="F20">
        <v>1071</v>
      </c>
      <c r="G20">
        <v>519</v>
      </c>
      <c r="H20">
        <v>22</v>
      </c>
      <c r="I20">
        <v>16065</v>
      </c>
      <c r="J20">
        <v>15865</v>
      </c>
      <c r="K20">
        <v>103</v>
      </c>
      <c r="L20" s="1" t="s">
        <v>25</v>
      </c>
      <c r="M20" s="1"/>
      <c r="N20" s="1"/>
      <c r="O20" s="1" t="s">
        <v>37</v>
      </c>
      <c r="P20" s="1">
        <f>IFERROR(((Posts_Cleaned[[#This Row],[Likes]]+Posts_Cleaned[[#This Row],[Shares]]+Posts_Cleaned[[#This Row],[Comments]])/Posts_Cleaned[[#This Row],[Impressions]]),0)</f>
        <v>0.10034235916588857</v>
      </c>
      <c r="Q20" s="7" t="str">
        <f>_xlfn.TEXTJOIN(", ", TRUE, Posts_Cleaned[[#This Row],[Hashtags Used.1]], Posts_Cleaned[[#This Row],[Hashtags Used.2]], Posts_Cleaned[[#This Row],[Hashtags Used.3]])</f>
        <v>#TeslaCoInnovation</v>
      </c>
    </row>
    <row r="21" spans="1:17" x14ac:dyDescent="0.25">
      <c r="A21" t="s">
        <v>68</v>
      </c>
      <c r="B21" s="1" t="s">
        <v>33</v>
      </c>
      <c r="C21" s="2">
        <v>45544</v>
      </c>
      <c r="D21" s="1" t="s">
        <v>41</v>
      </c>
      <c r="E21" s="1" t="s">
        <v>69</v>
      </c>
      <c r="F21">
        <v>4054</v>
      </c>
      <c r="G21">
        <v>488</v>
      </c>
      <c r="H21">
        <v>373</v>
      </c>
      <c r="I21">
        <v>77026</v>
      </c>
      <c r="J21">
        <v>76881</v>
      </c>
      <c r="K21">
        <v>25</v>
      </c>
      <c r="L21" s="1" t="s">
        <v>25</v>
      </c>
      <c r="M21" s="1"/>
      <c r="N21" s="1"/>
      <c r="O21" s="1" t="s">
        <v>21</v>
      </c>
      <c r="P21" s="1">
        <f>IFERROR(((Posts_Cleaned[[#This Row],[Likes]]+Posts_Cleaned[[#This Row],[Shares]]+Posts_Cleaned[[#This Row],[Comments]])/Posts_Cleaned[[#This Row],[Impressions]]),0)</f>
        <v>6.3809622724794221E-2</v>
      </c>
      <c r="Q21" s="7" t="str">
        <f>_xlfn.TEXTJOIN(", ", TRUE, Posts_Cleaned[[#This Row],[Hashtags Used.1]], Posts_Cleaned[[#This Row],[Hashtags Used.2]], Posts_Cleaned[[#This Row],[Hashtags Used.3]])</f>
        <v>#TeslaCoInnovation</v>
      </c>
    </row>
    <row r="22" spans="1:17" x14ac:dyDescent="0.25">
      <c r="A22" t="s">
        <v>70</v>
      </c>
      <c r="B22" s="1" t="s">
        <v>33</v>
      </c>
      <c r="C22" s="2">
        <v>45661</v>
      </c>
      <c r="D22" s="1" t="s">
        <v>17</v>
      </c>
      <c r="E22" s="1" t="s">
        <v>65</v>
      </c>
      <c r="F22">
        <v>4838</v>
      </c>
      <c r="G22">
        <v>640</v>
      </c>
      <c r="H22">
        <v>128</v>
      </c>
      <c r="I22">
        <v>72570</v>
      </c>
      <c r="J22">
        <v>72396</v>
      </c>
      <c r="K22">
        <v>83</v>
      </c>
      <c r="L22" s="1" t="s">
        <v>19</v>
      </c>
      <c r="M22" s="1"/>
      <c r="N22" s="1"/>
      <c r="O22" s="1" t="s">
        <v>37</v>
      </c>
      <c r="P22" s="1">
        <f>IFERROR(((Posts_Cleaned[[#This Row],[Likes]]+Posts_Cleaned[[#This Row],[Shares]]+Posts_Cleaned[[#This Row],[Comments]])/Posts_Cleaned[[#This Row],[Impressions]]),0)</f>
        <v>7.7249552156538517E-2</v>
      </c>
      <c r="Q22" s="7" t="str">
        <f>_xlfn.TEXTJOIN(", ", TRUE, Posts_Cleaned[[#This Row],[Hashtags Used.1]], Posts_Cleaned[[#This Row],[Hashtags Used.2]], Posts_Cleaned[[#This Row],[Hashtags Used.3]])</f>
        <v>#FutureOfDriving</v>
      </c>
    </row>
    <row r="23" spans="1:17" x14ac:dyDescent="0.25">
      <c r="A23" t="s">
        <v>71</v>
      </c>
      <c r="B23" s="1" t="s">
        <v>40</v>
      </c>
      <c r="C23" s="2">
        <v>45715</v>
      </c>
      <c r="D23" s="1" t="s">
        <v>23</v>
      </c>
      <c r="E23" s="1" t="s">
        <v>49</v>
      </c>
      <c r="F23">
        <v>1570</v>
      </c>
      <c r="G23">
        <v>187</v>
      </c>
      <c r="H23">
        <v>260</v>
      </c>
      <c r="I23">
        <v>25120</v>
      </c>
      <c r="J23">
        <v>24613</v>
      </c>
      <c r="K23">
        <v>133</v>
      </c>
      <c r="L23" s="1" t="s">
        <v>25</v>
      </c>
      <c r="M23" s="1"/>
      <c r="N23" s="1"/>
      <c r="O23" s="1" t="s">
        <v>37</v>
      </c>
      <c r="P23" s="1">
        <f>IFERROR(((Posts_Cleaned[[#This Row],[Likes]]+Posts_Cleaned[[#This Row],[Shares]]+Posts_Cleaned[[#This Row],[Comments]])/Posts_Cleaned[[#This Row],[Impressions]]),0)</f>
        <v>8.0294585987261149E-2</v>
      </c>
      <c r="Q23" s="7" t="str">
        <f>_xlfn.TEXTJOIN(", ", TRUE, Posts_Cleaned[[#This Row],[Hashtags Used.1]], Posts_Cleaned[[#This Row],[Hashtags Used.2]], Posts_Cleaned[[#This Row],[Hashtags Used.3]])</f>
        <v>#TeslaCoInnovation</v>
      </c>
    </row>
    <row r="24" spans="1:17" x14ac:dyDescent="0.25">
      <c r="A24" t="s">
        <v>72</v>
      </c>
      <c r="B24" s="1" t="s">
        <v>40</v>
      </c>
      <c r="C24" s="2">
        <v>45602</v>
      </c>
      <c r="D24" s="1" t="s">
        <v>60</v>
      </c>
      <c r="E24" s="1" t="s">
        <v>61</v>
      </c>
      <c r="F24">
        <v>1606</v>
      </c>
      <c r="G24">
        <v>547</v>
      </c>
      <c r="H24">
        <v>316</v>
      </c>
      <c r="I24">
        <v>32120</v>
      </c>
      <c r="J24">
        <v>31736</v>
      </c>
      <c r="K24">
        <v>225</v>
      </c>
      <c r="L24" s="1" t="s">
        <v>25</v>
      </c>
      <c r="M24" s="1" t="s">
        <v>20</v>
      </c>
      <c r="N24" s="1"/>
      <c r="O24" s="1" t="s">
        <v>27</v>
      </c>
      <c r="P24" s="1">
        <f>IFERROR(((Posts_Cleaned[[#This Row],[Likes]]+Posts_Cleaned[[#This Row],[Shares]]+Posts_Cleaned[[#This Row],[Comments]])/Posts_Cleaned[[#This Row],[Impressions]]),0)</f>
        <v>7.6867995018679955E-2</v>
      </c>
      <c r="Q24" s="7" t="str">
        <f>_xlfn.TEXTJOIN(", ", TRUE, Posts_Cleaned[[#This Row],[Hashtags Used.1]], Posts_Cleaned[[#This Row],[Hashtags Used.2]], Posts_Cleaned[[#This Row],[Hashtags Used.3]])</f>
        <v>#TeslaCoInnovation, #AnytimeIsTeslaTime</v>
      </c>
    </row>
    <row r="25" spans="1:17" x14ac:dyDescent="0.25">
      <c r="A25" t="s">
        <v>73</v>
      </c>
      <c r="B25" s="1" t="s">
        <v>40</v>
      </c>
      <c r="C25" s="2">
        <v>45680</v>
      </c>
      <c r="D25" s="1" t="s">
        <v>60</v>
      </c>
      <c r="E25" s="1" t="s">
        <v>61</v>
      </c>
      <c r="F25">
        <v>3961</v>
      </c>
      <c r="G25">
        <v>761</v>
      </c>
      <c r="H25">
        <v>131</v>
      </c>
      <c r="I25">
        <v>67337</v>
      </c>
      <c r="J25">
        <v>66615</v>
      </c>
      <c r="K25">
        <v>161</v>
      </c>
      <c r="L25" s="1" t="s">
        <v>19</v>
      </c>
      <c r="M25" s="1"/>
      <c r="N25" s="1"/>
      <c r="O25" s="1" t="s">
        <v>31</v>
      </c>
      <c r="P25" s="1">
        <f>IFERROR(((Posts_Cleaned[[#This Row],[Likes]]+Posts_Cleaned[[#This Row],[Shares]]+Posts_Cleaned[[#This Row],[Comments]])/Posts_Cleaned[[#This Row],[Impressions]]),0)</f>
        <v>7.2070332803659209E-2</v>
      </c>
      <c r="Q25" s="7" t="str">
        <f>_xlfn.TEXTJOIN(", ", TRUE, Posts_Cleaned[[#This Row],[Hashtags Used.1]], Posts_Cleaned[[#This Row],[Hashtags Used.2]], Posts_Cleaned[[#This Row],[Hashtags Used.3]])</f>
        <v>#FutureOfDriving</v>
      </c>
    </row>
    <row r="26" spans="1:17" x14ac:dyDescent="0.25">
      <c r="A26" t="s">
        <v>74</v>
      </c>
      <c r="B26" s="1" t="s">
        <v>16</v>
      </c>
      <c r="C26" s="2">
        <v>45757</v>
      </c>
      <c r="D26" s="1" t="s">
        <v>41</v>
      </c>
      <c r="E26" s="1" t="s">
        <v>44</v>
      </c>
      <c r="F26">
        <v>3128</v>
      </c>
      <c r="G26">
        <v>211</v>
      </c>
      <c r="H26">
        <v>197</v>
      </c>
      <c r="I26">
        <v>59432</v>
      </c>
      <c r="J26">
        <v>59182</v>
      </c>
      <c r="K26">
        <v>238</v>
      </c>
      <c r="L26" s="1" t="s">
        <v>36</v>
      </c>
      <c r="M26" s="1"/>
      <c r="N26" s="1"/>
      <c r="O26" s="1"/>
      <c r="P26" s="1">
        <f>IFERROR(((Posts_Cleaned[[#This Row],[Likes]]+Posts_Cleaned[[#This Row],[Shares]]+Posts_Cleaned[[#This Row],[Comments]])/Posts_Cleaned[[#This Row],[Impressions]]),0)</f>
        <v>5.9496567505720827E-2</v>
      </c>
      <c r="Q26" s="7" t="str">
        <f>_xlfn.TEXTJOIN(", ", TRUE, Posts_Cleaned[[#This Row],[Hashtags Used.1]], Posts_Cleaned[[#This Row],[Hashtags Used.2]], Posts_Cleaned[[#This Row],[Hashtags Used.3]])</f>
        <v>#EVRevolution</v>
      </c>
    </row>
    <row r="27" spans="1:17" x14ac:dyDescent="0.25">
      <c r="A27" t="s">
        <v>75</v>
      </c>
      <c r="B27" s="1" t="s">
        <v>29</v>
      </c>
      <c r="C27" s="2">
        <v>45752</v>
      </c>
      <c r="D27" s="1" t="s">
        <v>17</v>
      </c>
      <c r="E27" s="1" t="s">
        <v>30</v>
      </c>
      <c r="F27">
        <v>3009</v>
      </c>
      <c r="G27">
        <v>413</v>
      </c>
      <c r="H27">
        <v>358</v>
      </c>
      <c r="I27">
        <v>42126</v>
      </c>
      <c r="J27">
        <v>41309</v>
      </c>
      <c r="K27">
        <v>211</v>
      </c>
      <c r="L27" s="1" t="s">
        <v>19</v>
      </c>
      <c r="M27" s="1"/>
      <c r="N27" s="1"/>
      <c r="O27" s="1" t="s">
        <v>27</v>
      </c>
      <c r="P27" s="1">
        <f>IFERROR(((Posts_Cleaned[[#This Row],[Likes]]+Posts_Cleaned[[#This Row],[Shares]]+Posts_Cleaned[[#This Row],[Comments]])/Posts_Cleaned[[#This Row],[Impressions]]),0)</f>
        <v>8.9730807577268201E-2</v>
      </c>
      <c r="Q27" s="7" t="str">
        <f>_xlfn.TEXTJOIN(", ", TRUE, Posts_Cleaned[[#This Row],[Hashtags Used.1]], Posts_Cleaned[[#This Row],[Hashtags Used.2]], Posts_Cleaned[[#This Row],[Hashtags Used.3]])</f>
        <v>#FutureOfDriving</v>
      </c>
    </row>
    <row r="28" spans="1:17" x14ac:dyDescent="0.25">
      <c r="A28" t="s">
        <v>76</v>
      </c>
      <c r="B28" s="1" t="s">
        <v>29</v>
      </c>
      <c r="C28" s="2">
        <v>45552</v>
      </c>
      <c r="D28" s="1" t="s">
        <v>23</v>
      </c>
      <c r="E28" s="1" t="s">
        <v>77</v>
      </c>
      <c r="F28">
        <v>2076</v>
      </c>
      <c r="G28">
        <v>195</v>
      </c>
      <c r="H28">
        <v>104</v>
      </c>
      <c r="I28">
        <v>33216</v>
      </c>
      <c r="J28">
        <v>32244</v>
      </c>
      <c r="K28">
        <v>51</v>
      </c>
      <c r="L28" s="1" t="s">
        <v>19</v>
      </c>
      <c r="M28" s="1"/>
      <c r="N28" s="1"/>
      <c r="O28" s="1" t="s">
        <v>37</v>
      </c>
      <c r="P28" s="1">
        <f>IFERROR(((Posts_Cleaned[[#This Row],[Likes]]+Posts_Cleaned[[#This Row],[Shares]]+Posts_Cleaned[[#This Row],[Comments]])/Posts_Cleaned[[#This Row],[Impressions]]),0)</f>
        <v>7.1501685934489398E-2</v>
      </c>
      <c r="Q28" s="7" t="str">
        <f>_xlfn.TEXTJOIN(", ", TRUE, Posts_Cleaned[[#This Row],[Hashtags Used.1]], Posts_Cleaned[[#This Row],[Hashtags Used.2]], Posts_Cleaned[[#This Row],[Hashtags Used.3]])</f>
        <v>#FutureOfDriving</v>
      </c>
    </row>
    <row r="29" spans="1:17" x14ac:dyDescent="0.25">
      <c r="A29" t="s">
        <v>78</v>
      </c>
      <c r="B29" s="1" t="s">
        <v>33</v>
      </c>
      <c r="C29" s="2">
        <v>45720</v>
      </c>
      <c r="D29" s="1" t="s">
        <v>60</v>
      </c>
      <c r="E29" s="1" t="s">
        <v>67</v>
      </c>
      <c r="F29">
        <v>432</v>
      </c>
      <c r="G29">
        <v>624</v>
      </c>
      <c r="H29">
        <v>123</v>
      </c>
      <c r="I29">
        <v>6912</v>
      </c>
      <c r="J29">
        <v>6259</v>
      </c>
      <c r="K29">
        <v>79</v>
      </c>
      <c r="L29" s="1" t="s">
        <v>19</v>
      </c>
      <c r="M29" s="1"/>
      <c r="N29" s="1"/>
      <c r="O29" s="1" t="s">
        <v>37</v>
      </c>
      <c r="P29" s="1">
        <f>IFERROR(((Posts_Cleaned[[#This Row],[Likes]]+Posts_Cleaned[[#This Row],[Shares]]+Posts_Cleaned[[#This Row],[Comments]])/Posts_Cleaned[[#This Row],[Impressions]]),0)</f>
        <v>0.17057291666666666</v>
      </c>
      <c r="Q29" s="7" t="str">
        <f>_xlfn.TEXTJOIN(", ", TRUE, Posts_Cleaned[[#This Row],[Hashtags Used.1]], Posts_Cleaned[[#This Row],[Hashtags Used.2]], Posts_Cleaned[[#This Row],[Hashtags Used.3]])</f>
        <v>#FutureOfDriving</v>
      </c>
    </row>
    <row r="30" spans="1:17" x14ac:dyDescent="0.25">
      <c r="A30" t="s">
        <v>79</v>
      </c>
      <c r="B30" s="1" t="s">
        <v>33</v>
      </c>
      <c r="C30" s="2">
        <v>45688</v>
      </c>
      <c r="D30" s="1" t="s">
        <v>41</v>
      </c>
      <c r="E30" s="1" t="s">
        <v>69</v>
      </c>
      <c r="F30">
        <v>2566</v>
      </c>
      <c r="G30">
        <v>118</v>
      </c>
      <c r="H30">
        <v>37</v>
      </c>
      <c r="I30">
        <v>12830</v>
      </c>
      <c r="J30">
        <v>12264</v>
      </c>
      <c r="K30">
        <v>221</v>
      </c>
      <c r="L30" s="1" t="s">
        <v>19</v>
      </c>
      <c r="M30" s="1"/>
      <c r="N30" s="1"/>
      <c r="O30" s="1" t="s">
        <v>31</v>
      </c>
      <c r="P30" s="1">
        <f>IFERROR(((Posts_Cleaned[[#This Row],[Likes]]+Posts_Cleaned[[#This Row],[Shares]]+Posts_Cleaned[[#This Row],[Comments]])/Posts_Cleaned[[#This Row],[Impressions]]),0)</f>
        <v>0.21208106001558846</v>
      </c>
      <c r="Q30" s="7" t="str">
        <f>_xlfn.TEXTJOIN(", ", TRUE, Posts_Cleaned[[#This Row],[Hashtags Used.1]], Posts_Cleaned[[#This Row],[Hashtags Used.2]], Posts_Cleaned[[#This Row],[Hashtags Used.3]])</f>
        <v>#FutureOfDriving</v>
      </c>
    </row>
    <row r="31" spans="1:17" x14ac:dyDescent="0.25">
      <c r="A31" t="s">
        <v>80</v>
      </c>
      <c r="B31" s="1" t="s">
        <v>33</v>
      </c>
      <c r="C31" s="2">
        <v>45713</v>
      </c>
      <c r="D31" s="1" t="s">
        <v>60</v>
      </c>
      <c r="E31" s="1" t="s">
        <v>67</v>
      </c>
      <c r="F31">
        <v>3095</v>
      </c>
      <c r="G31">
        <v>39</v>
      </c>
      <c r="H31">
        <v>78</v>
      </c>
      <c r="I31">
        <v>55710</v>
      </c>
      <c r="J31">
        <v>54808</v>
      </c>
      <c r="K31">
        <v>93</v>
      </c>
      <c r="L31" s="1" t="s">
        <v>36</v>
      </c>
      <c r="M31" s="1"/>
      <c r="N31" s="1"/>
      <c r="O31" s="1"/>
      <c r="P31" s="1">
        <f>IFERROR(((Posts_Cleaned[[#This Row],[Likes]]+Posts_Cleaned[[#This Row],[Shares]]+Posts_Cleaned[[#This Row],[Comments]])/Posts_Cleaned[[#This Row],[Impressions]]),0)</f>
        <v>5.7655717106444085E-2</v>
      </c>
      <c r="Q31" s="7" t="str">
        <f>_xlfn.TEXTJOIN(", ", TRUE, Posts_Cleaned[[#This Row],[Hashtags Used.1]], Posts_Cleaned[[#This Row],[Hashtags Used.2]], Posts_Cleaned[[#This Row],[Hashtags Used.3]])</f>
        <v>#EVRevolution</v>
      </c>
    </row>
    <row r="32" spans="1:17" x14ac:dyDescent="0.25">
      <c r="A32" t="s">
        <v>81</v>
      </c>
      <c r="B32" s="1" t="s">
        <v>33</v>
      </c>
      <c r="C32" s="2">
        <v>45642</v>
      </c>
      <c r="D32" s="1" t="s">
        <v>23</v>
      </c>
      <c r="E32" s="1" t="s">
        <v>82</v>
      </c>
      <c r="F32">
        <v>438</v>
      </c>
      <c r="G32">
        <v>153</v>
      </c>
      <c r="H32">
        <v>275</v>
      </c>
      <c r="I32">
        <v>3066</v>
      </c>
      <c r="J32">
        <v>2701</v>
      </c>
      <c r="K32">
        <v>282</v>
      </c>
      <c r="L32" s="1" t="s">
        <v>25</v>
      </c>
      <c r="M32" s="1"/>
      <c r="N32" s="1"/>
      <c r="O32" s="1" t="s">
        <v>27</v>
      </c>
      <c r="P32" s="1">
        <f>IFERROR(((Posts_Cleaned[[#This Row],[Likes]]+Posts_Cleaned[[#This Row],[Shares]]+Posts_Cleaned[[#This Row],[Comments]])/Posts_Cleaned[[#This Row],[Impressions]]),0)</f>
        <v>0.28245270711024134</v>
      </c>
      <c r="Q32" s="7" t="str">
        <f>_xlfn.TEXTJOIN(", ", TRUE, Posts_Cleaned[[#This Row],[Hashtags Used.1]], Posts_Cleaned[[#This Row],[Hashtags Used.2]], Posts_Cleaned[[#This Row],[Hashtags Used.3]])</f>
        <v>#TeslaCoInnovation</v>
      </c>
    </row>
    <row r="33" spans="1:17" x14ac:dyDescent="0.25">
      <c r="A33" t="s">
        <v>83</v>
      </c>
      <c r="B33" s="1" t="s">
        <v>16</v>
      </c>
      <c r="C33" s="2">
        <v>45504</v>
      </c>
      <c r="D33" s="1" t="s">
        <v>41</v>
      </c>
      <c r="E33" s="1" t="s">
        <v>44</v>
      </c>
      <c r="F33">
        <v>2278</v>
      </c>
      <c r="G33">
        <v>10</v>
      </c>
      <c r="H33">
        <v>321</v>
      </c>
      <c r="I33">
        <v>13668</v>
      </c>
      <c r="J33">
        <v>12676</v>
      </c>
      <c r="K33">
        <v>275</v>
      </c>
      <c r="L33" s="1" t="s">
        <v>36</v>
      </c>
      <c r="M33" s="1"/>
      <c r="N33" s="1"/>
      <c r="O33" s="1" t="s">
        <v>21</v>
      </c>
      <c r="P33" s="1">
        <f>IFERROR(((Posts_Cleaned[[#This Row],[Likes]]+Posts_Cleaned[[#This Row],[Shares]]+Posts_Cleaned[[#This Row],[Comments]])/Posts_Cleaned[[#This Row],[Impressions]]),0)</f>
        <v>0.19088381621305239</v>
      </c>
      <c r="Q33" s="7" t="str">
        <f>_xlfn.TEXTJOIN(", ", TRUE, Posts_Cleaned[[#This Row],[Hashtags Used.1]], Posts_Cleaned[[#This Row],[Hashtags Used.2]], Posts_Cleaned[[#This Row],[Hashtags Used.3]])</f>
        <v>#EVRevolution</v>
      </c>
    </row>
    <row r="34" spans="1:17" x14ac:dyDescent="0.25">
      <c r="A34" t="s">
        <v>84</v>
      </c>
      <c r="B34" s="1" t="s">
        <v>40</v>
      </c>
      <c r="C34" s="2">
        <v>45525</v>
      </c>
      <c r="D34" s="1" t="s">
        <v>46</v>
      </c>
      <c r="E34" s="1" t="s">
        <v>51</v>
      </c>
      <c r="F34">
        <v>1407</v>
      </c>
      <c r="G34">
        <v>400</v>
      </c>
      <c r="H34">
        <v>351</v>
      </c>
      <c r="I34">
        <v>16884</v>
      </c>
      <c r="J34">
        <v>15954</v>
      </c>
      <c r="K34">
        <v>113</v>
      </c>
      <c r="L34" s="1" t="s">
        <v>25</v>
      </c>
      <c r="M34" s="1"/>
      <c r="N34" s="1"/>
      <c r="O34" s="1" t="s">
        <v>21</v>
      </c>
      <c r="P34" s="1">
        <f>IFERROR(((Posts_Cleaned[[#This Row],[Likes]]+Posts_Cleaned[[#This Row],[Shares]]+Posts_Cleaned[[#This Row],[Comments]])/Posts_Cleaned[[#This Row],[Impressions]]),0)</f>
        <v>0.12781331438047855</v>
      </c>
      <c r="Q34" s="7" t="str">
        <f>_xlfn.TEXTJOIN(", ", TRUE, Posts_Cleaned[[#This Row],[Hashtags Used.1]], Posts_Cleaned[[#This Row],[Hashtags Used.2]], Posts_Cleaned[[#This Row],[Hashtags Used.3]])</f>
        <v>#TeslaCoInnovation</v>
      </c>
    </row>
    <row r="35" spans="1:17" x14ac:dyDescent="0.25">
      <c r="A35" t="s">
        <v>85</v>
      </c>
      <c r="B35" s="1" t="s">
        <v>40</v>
      </c>
      <c r="C35" s="2">
        <v>45742</v>
      </c>
      <c r="D35" s="1" t="s">
        <v>23</v>
      </c>
      <c r="E35" s="1" t="s">
        <v>49</v>
      </c>
      <c r="F35">
        <v>1652</v>
      </c>
      <c r="G35">
        <v>89</v>
      </c>
      <c r="H35">
        <v>357</v>
      </c>
      <c r="I35">
        <v>29736</v>
      </c>
      <c r="J35">
        <v>28771</v>
      </c>
      <c r="K35">
        <v>215</v>
      </c>
      <c r="L35" s="1" t="s">
        <v>25</v>
      </c>
      <c r="M35" s="1"/>
      <c r="N35" s="1"/>
      <c r="O35" s="1" t="s">
        <v>31</v>
      </c>
      <c r="P35" s="1">
        <f>IFERROR(((Posts_Cleaned[[#This Row],[Likes]]+Posts_Cleaned[[#This Row],[Shares]]+Posts_Cleaned[[#This Row],[Comments]])/Posts_Cleaned[[#This Row],[Impressions]]),0)</f>
        <v>7.055421038471886E-2</v>
      </c>
      <c r="Q35" s="7" t="str">
        <f>_xlfn.TEXTJOIN(", ", TRUE, Posts_Cleaned[[#This Row],[Hashtags Used.1]], Posts_Cleaned[[#This Row],[Hashtags Used.2]], Posts_Cleaned[[#This Row],[Hashtags Used.3]])</f>
        <v>#TeslaCoInnovation</v>
      </c>
    </row>
    <row r="36" spans="1:17" x14ac:dyDescent="0.25">
      <c r="A36" t="s">
        <v>86</v>
      </c>
      <c r="B36" s="1" t="s">
        <v>33</v>
      </c>
      <c r="C36" s="2">
        <v>45626</v>
      </c>
      <c r="D36" s="1" t="s">
        <v>60</v>
      </c>
      <c r="E36" s="1" t="s">
        <v>67</v>
      </c>
      <c r="F36">
        <v>3775</v>
      </c>
      <c r="G36">
        <v>16</v>
      </c>
      <c r="H36">
        <v>239</v>
      </c>
      <c r="I36">
        <v>33975</v>
      </c>
      <c r="J36">
        <v>33310</v>
      </c>
      <c r="K36">
        <v>271</v>
      </c>
      <c r="L36" s="1" t="s">
        <v>19</v>
      </c>
      <c r="M36" s="1"/>
      <c r="N36" s="1"/>
      <c r="O36" s="1" t="s">
        <v>27</v>
      </c>
      <c r="P36" s="1">
        <f>IFERROR(((Posts_Cleaned[[#This Row],[Likes]]+Posts_Cleaned[[#This Row],[Shares]]+Posts_Cleaned[[#This Row],[Comments]])/Posts_Cleaned[[#This Row],[Impressions]]),0)</f>
        <v>0.11861662987490802</v>
      </c>
      <c r="Q36" s="7" t="str">
        <f>_xlfn.TEXTJOIN(", ", TRUE, Posts_Cleaned[[#This Row],[Hashtags Used.1]], Posts_Cleaned[[#This Row],[Hashtags Used.2]], Posts_Cleaned[[#This Row],[Hashtags Used.3]])</f>
        <v>#FutureOfDriving</v>
      </c>
    </row>
    <row r="37" spans="1:17" x14ac:dyDescent="0.25">
      <c r="A37" t="s">
        <v>87</v>
      </c>
      <c r="B37" s="1" t="s">
        <v>33</v>
      </c>
      <c r="C37" s="2">
        <v>45766</v>
      </c>
      <c r="D37" s="1" t="s">
        <v>34</v>
      </c>
      <c r="E37" s="1" t="s">
        <v>35</v>
      </c>
      <c r="F37">
        <v>4518</v>
      </c>
      <c r="G37">
        <v>285</v>
      </c>
      <c r="H37">
        <v>383</v>
      </c>
      <c r="I37">
        <v>67770</v>
      </c>
      <c r="J37">
        <v>67621</v>
      </c>
      <c r="K37">
        <v>31</v>
      </c>
      <c r="L37" s="1" t="s">
        <v>36</v>
      </c>
      <c r="M37" s="1"/>
      <c r="N37" s="1"/>
      <c r="O37" s="1" t="s">
        <v>27</v>
      </c>
      <c r="P37" s="1">
        <f>IFERROR(((Posts_Cleaned[[#This Row],[Likes]]+Posts_Cleaned[[#This Row],[Shares]]+Posts_Cleaned[[#This Row],[Comments]])/Posts_Cleaned[[#This Row],[Impressions]]),0)</f>
        <v>7.6523535487678915E-2</v>
      </c>
      <c r="Q37" s="7" t="str">
        <f>_xlfn.TEXTJOIN(", ", TRUE, Posts_Cleaned[[#This Row],[Hashtags Used.1]], Posts_Cleaned[[#This Row],[Hashtags Used.2]], Posts_Cleaned[[#This Row],[Hashtags Used.3]])</f>
        <v>#EVRevolution</v>
      </c>
    </row>
    <row r="38" spans="1:17" x14ac:dyDescent="0.25">
      <c r="A38" t="s">
        <v>88</v>
      </c>
      <c r="B38" s="1" t="s">
        <v>40</v>
      </c>
      <c r="C38" s="2">
        <v>45663</v>
      </c>
      <c r="D38" s="1" t="s">
        <v>41</v>
      </c>
      <c r="E38" s="1" t="s">
        <v>42</v>
      </c>
      <c r="F38">
        <v>3024</v>
      </c>
      <c r="G38">
        <v>925</v>
      </c>
      <c r="H38">
        <v>350</v>
      </c>
      <c r="I38">
        <v>24192</v>
      </c>
      <c r="J38">
        <v>23518</v>
      </c>
      <c r="K38">
        <v>36</v>
      </c>
      <c r="L38" s="1" t="s">
        <v>36</v>
      </c>
      <c r="M38" s="1"/>
      <c r="N38" s="1"/>
      <c r="O38" s="1" t="s">
        <v>27</v>
      </c>
      <c r="P38" s="1">
        <f>IFERROR(((Posts_Cleaned[[#This Row],[Likes]]+Posts_Cleaned[[#This Row],[Shares]]+Posts_Cleaned[[#This Row],[Comments]])/Posts_Cleaned[[#This Row],[Impressions]]),0)</f>
        <v>0.17770337301587302</v>
      </c>
      <c r="Q38" s="7" t="str">
        <f>_xlfn.TEXTJOIN(", ", TRUE, Posts_Cleaned[[#This Row],[Hashtags Used.1]], Posts_Cleaned[[#This Row],[Hashtags Used.2]], Posts_Cleaned[[#This Row],[Hashtags Used.3]])</f>
        <v>#EVRevolution</v>
      </c>
    </row>
    <row r="39" spans="1:17" x14ac:dyDescent="0.25">
      <c r="A39" t="s">
        <v>89</v>
      </c>
      <c r="B39" s="1" t="s">
        <v>29</v>
      </c>
      <c r="C39" s="2">
        <v>45705</v>
      </c>
      <c r="D39" s="1" t="s">
        <v>17</v>
      </c>
      <c r="E39" s="1" t="s">
        <v>30</v>
      </c>
      <c r="F39">
        <v>3138</v>
      </c>
      <c r="G39">
        <v>123</v>
      </c>
      <c r="H39">
        <v>291</v>
      </c>
      <c r="I39">
        <v>28242</v>
      </c>
      <c r="J39">
        <v>27550</v>
      </c>
      <c r="K39">
        <v>87</v>
      </c>
      <c r="L39" s="1" t="s">
        <v>25</v>
      </c>
      <c r="M39" s="1"/>
      <c r="N39" s="1"/>
      <c r="O39" s="1" t="s">
        <v>37</v>
      </c>
      <c r="P39" s="1">
        <f>IFERROR(((Posts_Cleaned[[#This Row],[Likes]]+Posts_Cleaned[[#This Row],[Shares]]+Posts_Cleaned[[#This Row],[Comments]])/Posts_Cleaned[[#This Row],[Impressions]]),0)</f>
        <v>0.12577012959422137</v>
      </c>
      <c r="Q39" s="7" t="str">
        <f>_xlfn.TEXTJOIN(", ", TRUE, Posts_Cleaned[[#This Row],[Hashtags Used.1]], Posts_Cleaned[[#This Row],[Hashtags Used.2]], Posts_Cleaned[[#This Row],[Hashtags Used.3]])</f>
        <v>#TeslaCoInnovation</v>
      </c>
    </row>
    <row r="40" spans="1:17" x14ac:dyDescent="0.25">
      <c r="A40" t="s">
        <v>90</v>
      </c>
      <c r="B40" s="1" t="s">
        <v>40</v>
      </c>
      <c r="C40" s="2">
        <v>45621</v>
      </c>
      <c r="D40" s="1" t="s">
        <v>46</v>
      </c>
      <c r="E40" s="1" t="s">
        <v>51</v>
      </c>
      <c r="F40">
        <v>3564</v>
      </c>
      <c r="G40">
        <v>629</v>
      </c>
      <c r="H40">
        <v>177</v>
      </c>
      <c r="I40">
        <v>60588</v>
      </c>
      <c r="J40">
        <v>59627</v>
      </c>
      <c r="K40">
        <v>92</v>
      </c>
      <c r="L40" s="1" t="s">
        <v>25</v>
      </c>
      <c r="M40" s="1"/>
      <c r="N40" s="1"/>
      <c r="O40" s="1"/>
      <c r="P40" s="1">
        <f>IFERROR(((Posts_Cleaned[[#This Row],[Likes]]+Posts_Cleaned[[#This Row],[Shares]]+Posts_Cleaned[[#This Row],[Comments]])/Posts_Cleaned[[#This Row],[Impressions]]),0)</f>
        <v>7.2126493695121141E-2</v>
      </c>
      <c r="Q40" s="7" t="str">
        <f>_xlfn.TEXTJOIN(", ", TRUE, Posts_Cleaned[[#This Row],[Hashtags Used.1]], Posts_Cleaned[[#This Row],[Hashtags Used.2]], Posts_Cleaned[[#This Row],[Hashtags Used.3]])</f>
        <v>#TeslaCoInnovation</v>
      </c>
    </row>
    <row r="41" spans="1:17" x14ac:dyDescent="0.25">
      <c r="A41" t="s">
        <v>91</v>
      </c>
      <c r="B41" s="1" t="s">
        <v>16</v>
      </c>
      <c r="C41" s="2">
        <v>45723</v>
      </c>
      <c r="D41" s="1" t="s">
        <v>46</v>
      </c>
      <c r="E41" s="1" t="s">
        <v>92</v>
      </c>
      <c r="F41">
        <v>4750</v>
      </c>
      <c r="G41">
        <v>151</v>
      </c>
      <c r="H41">
        <v>415</v>
      </c>
      <c r="I41">
        <v>38000</v>
      </c>
      <c r="J41">
        <v>37792</v>
      </c>
      <c r="K41">
        <v>299</v>
      </c>
      <c r="L41" s="1" t="s">
        <v>36</v>
      </c>
      <c r="M41" s="1"/>
      <c r="N41" s="1"/>
      <c r="O41" s="1" t="s">
        <v>37</v>
      </c>
      <c r="P41" s="1">
        <f>IFERROR(((Posts_Cleaned[[#This Row],[Likes]]+Posts_Cleaned[[#This Row],[Shares]]+Posts_Cleaned[[#This Row],[Comments]])/Posts_Cleaned[[#This Row],[Impressions]]),0)</f>
        <v>0.13989473684210527</v>
      </c>
      <c r="Q41" s="7" t="str">
        <f>_xlfn.TEXTJOIN(", ", TRUE, Posts_Cleaned[[#This Row],[Hashtags Used.1]], Posts_Cleaned[[#This Row],[Hashtags Used.2]], Posts_Cleaned[[#This Row],[Hashtags Used.3]])</f>
        <v>#EVRevolution</v>
      </c>
    </row>
    <row r="42" spans="1:17" x14ac:dyDescent="0.25">
      <c r="A42" t="s">
        <v>93</v>
      </c>
      <c r="B42" s="1" t="s">
        <v>33</v>
      </c>
      <c r="C42" s="2">
        <v>45724</v>
      </c>
      <c r="D42" s="1" t="s">
        <v>17</v>
      </c>
      <c r="E42" s="1" t="s">
        <v>65</v>
      </c>
      <c r="F42">
        <v>456</v>
      </c>
      <c r="G42">
        <v>629</v>
      </c>
      <c r="H42">
        <v>428</v>
      </c>
      <c r="I42">
        <v>8208</v>
      </c>
      <c r="J42">
        <v>7377</v>
      </c>
      <c r="K42">
        <v>205</v>
      </c>
      <c r="L42" s="1" t="s">
        <v>19</v>
      </c>
      <c r="M42" s="1"/>
      <c r="N42" s="1"/>
      <c r="O42" s="1" t="s">
        <v>37</v>
      </c>
      <c r="P42" s="1">
        <f>IFERROR(((Posts_Cleaned[[#This Row],[Likes]]+Posts_Cleaned[[#This Row],[Shares]]+Posts_Cleaned[[#This Row],[Comments]])/Posts_Cleaned[[#This Row],[Impressions]]),0)</f>
        <v>0.18433235867446393</v>
      </c>
      <c r="Q42" s="7" t="str">
        <f>_xlfn.TEXTJOIN(", ", TRUE, Posts_Cleaned[[#This Row],[Hashtags Used.1]], Posts_Cleaned[[#This Row],[Hashtags Used.2]], Posts_Cleaned[[#This Row],[Hashtags Used.3]])</f>
        <v>#FutureOfDriving</v>
      </c>
    </row>
    <row r="43" spans="1:17" x14ac:dyDescent="0.25">
      <c r="A43" t="s">
        <v>94</v>
      </c>
      <c r="B43" s="1" t="s">
        <v>29</v>
      </c>
      <c r="C43" s="2">
        <v>45721</v>
      </c>
      <c r="D43" s="1" t="s">
        <v>17</v>
      </c>
      <c r="E43" s="1" t="s">
        <v>30</v>
      </c>
      <c r="F43">
        <v>1543</v>
      </c>
      <c r="G43">
        <v>820</v>
      </c>
      <c r="H43">
        <v>333</v>
      </c>
      <c r="I43">
        <v>12344</v>
      </c>
      <c r="J43">
        <v>11496</v>
      </c>
      <c r="K43">
        <v>241</v>
      </c>
      <c r="L43" s="1" t="s">
        <v>36</v>
      </c>
      <c r="M43" s="1"/>
      <c r="N43" s="1"/>
      <c r="O43" s="1"/>
      <c r="P43" s="1">
        <f>IFERROR(((Posts_Cleaned[[#This Row],[Likes]]+Posts_Cleaned[[#This Row],[Shares]]+Posts_Cleaned[[#This Row],[Comments]])/Posts_Cleaned[[#This Row],[Impressions]]),0)</f>
        <v>0.21840570317563188</v>
      </c>
      <c r="Q43" s="7" t="str">
        <f>_xlfn.TEXTJOIN(", ", TRUE, Posts_Cleaned[[#This Row],[Hashtags Used.1]], Posts_Cleaned[[#This Row],[Hashtags Used.2]], Posts_Cleaned[[#This Row],[Hashtags Used.3]])</f>
        <v>#EVRevolution</v>
      </c>
    </row>
    <row r="44" spans="1:17" x14ac:dyDescent="0.25">
      <c r="A44" t="s">
        <v>95</v>
      </c>
      <c r="B44" s="1" t="s">
        <v>33</v>
      </c>
      <c r="C44" s="2">
        <v>45640</v>
      </c>
      <c r="D44" s="1" t="s">
        <v>41</v>
      </c>
      <c r="E44" s="1" t="s">
        <v>69</v>
      </c>
      <c r="F44">
        <v>2174</v>
      </c>
      <c r="G44">
        <v>658</v>
      </c>
      <c r="H44">
        <v>15</v>
      </c>
      <c r="I44">
        <v>13044</v>
      </c>
      <c r="J44">
        <v>12206</v>
      </c>
      <c r="K44">
        <v>137</v>
      </c>
      <c r="L44" s="1" t="s">
        <v>25</v>
      </c>
      <c r="M44" s="1"/>
      <c r="N44" s="1"/>
      <c r="O44" s="1" t="s">
        <v>31</v>
      </c>
      <c r="P44" s="1">
        <f>IFERROR(((Posts_Cleaned[[#This Row],[Likes]]+Posts_Cleaned[[#This Row],[Shares]]+Posts_Cleaned[[#This Row],[Comments]])/Posts_Cleaned[[#This Row],[Impressions]]),0)</f>
        <v>0.21826126954921804</v>
      </c>
      <c r="Q44" s="7" t="str">
        <f>_xlfn.TEXTJOIN(", ", TRUE, Posts_Cleaned[[#This Row],[Hashtags Used.1]], Posts_Cleaned[[#This Row],[Hashtags Used.2]], Posts_Cleaned[[#This Row],[Hashtags Used.3]])</f>
        <v>#TeslaCoInnovation</v>
      </c>
    </row>
    <row r="45" spans="1:17" x14ac:dyDescent="0.25">
      <c r="A45" t="s">
        <v>96</v>
      </c>
      <c r="B45" s="1" t="s">
        <v>16</v>
      </c>
      <c r="C45" s="2">
        <v>45718</v>
      </c>
      <c r="D45" s="1" t="s">
        <v>46</v>
      </c>
      <c r="E45" s="1" t="s">
        <v>92</v>
      </c>
      <c r="F45">
        <v>2358</v>
      </c>
      <c r="G45">
        <v>784</v>
      </c>
      <c r="H45">
        <v>344</v>
      </c>
      <c r="I45">
        <v>35370</v>
      </c>
      <c r="J45">
        <v>34475</v>
      </c>
      <c r="K45">
        <v>216</v>
      </c>
      <c r="L45" s="1" t="s">
        <v>25</v>
      </c>
      <c r="M45" s="1"/>
      <c r="N45" s="1"/>
      <c r="O45" s="1"/>
      <c r="P45" s="1">
        <f>IFERROR(((Posts_Cleaned[[#This Row],[Likes]]+Posts_Cleaned[[#This Row],[Shares]]+Posts_Cleaned[[#This Row],[Comments]])/Posts_Cleaned[[#This Row],[Impressions]]),0)</f>
        <v>9.8558100084817649E-2</v>
      </c>
      <c r="Q45" s="7" t="str">
        <f>_xlfn.TEXTJOIN(", ", TRUE, Posts_Cleaned[[#This Row],[Hashtags Used.1]], Posts_Cleaned[[#This Row],[Hashtags Used.2]], Posts_Cleaned[[#This Row],[Hashtags Used.3]])</f>
        <v>#TeslaCoInnovation</v>
      </c>
    </row>
    <row r="46" spans="1:17" x14ac:dyDescent="0.25">
      <c r="A46" t="s">
        <v>97</v>
      </c>
      <c r="B46" s="1" t="s">
        <v>40</v>
      </c>
      <c r="C46" s="2">
        <v>45597</v>
      </c>
      <c r="D46" s="1" t="s">
        <v>60</v>
      </c>
      <c r="E46" s="1" t="s">
        <v>61</v>
      </c>
      <c r="F46">
        <v>3371</v>
      </c>
      <c r="G46">
        <v>106</v>
      </c>
      <c r="H46">
        <v>327</v>
      </c>
      <c r="I46">
        <v>50565</v>
      </c>
      <c r="J46">
        <v>49816</v>
      </c>
      <c r="K46">
        <v>176</v>
      </c>
      <c r="L46" s="1" t="s">
        <v>19</v>
      </c>
      <c r="M46" s="1"/>
      <c r="N46" s="1"/>
      <c r="O46" s="1" t="s">
        <v>21</v>
      </c>
      <c r="P46" s="1">
        <f>IFERROR(((Posts_Cleaned[[#This Row],[Likes]]+Posts_Cleaned[[#This Row],[Shares]]+Posts_Cleaned[[#This Row],[Comments]])/Posts_Cleaned[[#This Row],[Impressions]]),0)</f>
        <v>7.5229902106199939E-2</v>
      </c>
      <c r="Q46" s="7" t="str">
        <f>_xlfn.TEXTJOIN(", ", TRUE, Posts_Cleaned[[#This Row],[Hashtags Used.1]], Posts_Cleaned[[#This Row],[Hashtags Used.2]], Posts_Cleaned[[#This Row],[Hashtags Used.3]])</f>
        <v>#FutureOfDriving</v>
      </c>
    </row>
    <row r="47" spans="1:17" x14ac:dyDescent="0.25">
      <c r="A47" t="s">
        <v>98</v>
      </c>
      <c r="B47" s="1" t="s">
        <v>16</v>
      </c>
      <c r="C47" s="2">
        <v>45779</v>
      </c>
      <c r="D47" s="1" t="s">
        <v>60</v>
      </c>
      <c r="E47" s="1" t="s">
        <v>99</v>
      </c>
      <c r="F47">
        <v>1108</v>
      </c>
      <c r="G47">
        <v>177</v>
      </c>
      <c r="H47">
        <v>212</v>
      </c>
      <c r="I47">
        <v>8864</v>
      </c>
      <c r="J47">
        <v>8710</v>
      </c>
      <c r="K47">
        <v>97</v>
      </c>
      <c r="L47" s="1" t="s">
        <v>25</v>
      </c>
      <c r="M47" s="1"/>
      <c r="N47" s="1"/>
      <c r="O47" s="1" t="s">
        <v>37</v>
      </c>
      <c r="P47" s="1">
        <f>IFERROR(((Posts_Cleaned[[#This Row],[Likes]]+Posts_Cleaned[[#This Row],[Shares]]+Posts_Cleaned[[#This Row],[Comments]])/Posts_Cleaned[[#This Row],[Impressions]]),0)</f>
        <v>0.16888537906137185</v>
      </c>
      <c r="Q47" s="7" t="str">
        <f>_xlfn.TEXTJOIN(", ", TRUE, Posts_Cleaned[[#This Row],[Hashtags Used.1]], Posts_Cleaned[[#This Row],[Hashtags Used.2]], Posts_Cleaned[[#This Row],[Hashtags Used.3]])</f>
        <v>#TeslaCoInnovation</v>
      </c>
    </row>
    <row r="48" spans="1:17" x14ac:dyDescent="0.25">
      <c r="A48" t="s">
        <v>100</v>
      </c>
      <c r="B48" s="1" t="s">
        <v>16</v>
      </c>
      <c r="C48" s="2">
        <v>45712</v>
      </c>
      <c r="D48" s="1" t="s">
        <v>41</v>
      </c>
      <c r="E48" s="1" t="s">
        <v>44</v>
      </c>
      <c r="F48">
        <v>2704</v>
      </c>
      <c r="G48">
        <v>752</v>
      </c>
      <c r="H48">
        <v>153</v>
      </c>
      <c r="I48">
        <v>21632</v>
      </c>
      <c r="J48">
        <v>20792</v>
      </c>
      <c r="K48">
        <v>127</v>
      </c>
      <c r="L48" s="1" t="s">
        <v>19</v>
      </c>
      <c r="M48" s="1"/>
      <c r="N48" s="1"/>
      <c r="O48" s="1"/>
      <c r="P48" s="1">
        <f>IFERROR(((Posts_Cleaned[[#This Row],[Likes]]+Posts_Cleaned[[#This Row],[Shares]]+Posts_Cleaned[[#This Row],[Comments]])/Posts_Cleaned[[#This Row],[Impressions]]),0)</f>
        <v>0.16683616863905326</v>
      </c>
      <c r="Q48" s="7" t="str">
        <f>_xlfn.TEXTJOIN(", ", TRUE, Posts_Cleaned[[#This Row],[Hashtags Used.1]], Posts_Cleaned[[#This Row],[Hashtags Used.2]], Posts_Cleaned[[#This Row],[Hashtags Used.3]])</f>
        <v>#FutureOfDriving</v>
      </c>
    </row>
    <row r="49" spans="1:17" x14ac:dyDescent="0.25">
      <c r="A49" t="s">
        <v>101</v>
      </c>
      <c r="B49" s="1" t="s">
        <v>16</v>
      </c>
      <c r="C49" s="2">
        <v>45727</v>
      </c>
      <c r="D49" s="1" t="s">
        <v>34</v>
      </c>
      <c r="E49" s="1" t="s">
        <v>102</v>
      </c>
      <c r="F49">
        <v>1950</v>
      </c>
      <c r="G49">
        <v>295</v>
      </c>
      <c r="H49">
        <v>478</v>
      </c>
      <c r="I49">
        <v>37050</v>
      </c>
      <c r="J49">
        <v>36272</v>
      </c>
      <c r="K49">
        <v>119</v>
      </c>
      <c r="L49" s="1" t="s">
        <v>25</v>
      </c>
      <c r="M49" s="1"/>
      <c r="N49" s="1"/>
      <c r="O49" s="1"/>
      <c r="P49" s="1">
        <f>IFERROR(((Posts_Cleaned[[#This Row],[Likes]]+Posts_Cleaned[[#This Row],[Shares]]+Posts_Cleaned[[#This Row],[Comments]])/Posts_Cleaned[[#This Row],[Impressions]]),0)</f>
        <v>7.349527665317139E-2</v>
      </c>
      <c r="Q49" s="7" t="str">
        <f>_xlfn.TEXTJOIN(", ", TRUE, Posts_Cleaned[[#This Row],[Hashtags Used.1]], Posts_Cleaned[[#This Row],[Hashtags Used.2]], Posts_Cleaned[[#This Row],[Hashtags Used.3]])</f>
        <v>#TeslaCoInnovation</v>
      </c>
    </row>
    <row r="50" spans="1:17" x14ac:dyDescent="0.25">
      <c r="A50" t="s">
        <v>103</v>
      </c>
      <c r="B50" s="1" t="s">
        <v>16</v>
      </c>
      <c r="C50" s="2">
        <v>45453</v>
      </c>
      <c r="D50" s="1" t="s">
        <v>34</v>
      </c>
      <c r="E50" s="1" t="s">
        <v>102</v>
      </c>
      <c r="F50">
        <v>2164</v>
      </c>
      <c r="G50">
        <v>549</v>
      </c>
      <c r="H50">
        <v>274</v>
      </c>
      <c r="I50">
        <v>28132</v>
      </c>
      <c r="J50">
        <v>27361</v>
      </c>
      <c r="K50">
        <v>177</v>
      </c>
      <c r="L50" s="1" t="s">
        <v>25</v>
      </c>
      <c r="M50" s="1"/>
      <c r="N50" s="1"/>
      <c r="O50" s="1" t="s">
        <v>37</v>
      </c>
      <c r="P50" s="1">
        <f>IFERROR(((Posts_Cleaned[[#This Row],[Likes]]+Posts_Cleaned[[#This Row],[Shares]]+Posts_Cleaned[[#This Row],[Comments]])/Posts_Cleaned[[#This Row],[Impressions]]),0)</f>
        <v>0.10617801791554102</v>
      </c>
      <c r="Q50" s="7" t="str">
        <f>_xlfn.TEXTJOIN(", ", TRUE, Posts_Cleaned[[#This Row],[Hashtags Used.1]], Posts_Cleaned[[#This Row],[Hashtags Used.2]], Posts_Cleaned[[#This Row],[Hashtags Used.3]])</f>
        <v>#TeslaCoInnovation</v>
      </c>
    </row>
    <row r="51" spans="1:17" x14ac:dyDescent="0.25">
      <c r="A51" t="s">
        <v>104</v>
      </c>
      <c r="B51" s="1" t="s">
        <v>29</v>
      </c>
      <c r="C51" s="2">
        <v>45476</v>
      </c>
      <c r="D51" s="1" t="s">
        <v>34</v>
      </c>
      <c r="E51" s="1" t="s">
        <v>105</v>
      </c>
      <c r="F51">
        <v>2754</v>
      </c>
      <c r="G51">
        <v>130</v>
      </c>
      <c r="H51">
        <v>90</v>
      </c>
      <c r="I51">
        <v>22032</v>
      </c>
      <c r="J51">
        <v>21288</v>
      </c>
      <c r="K51">
        <v>112</v>
      </c>
      <c r="L51" s="1" t="s">
        <v>25</v>
      </c>
      <c r="M51" s="1"/>
      <c r="N51" s="1"/>
      <c r="O51" s="1" t="s">
        <v>31</v>
      </c>
      <c r="P51" s="1">
        <f>IFERROR(((Posts_Cleaned[[#This Row],[Likes]]+Posts_Cleaned[[#This Row],[Shares]]+Posts_Cleaned[[#This Row],[Comments]])/Posts_Cleaned[[#This Row],[Impressions]]),0)</f>
        <v>0.13498547567175018</v>
      </c>
      <c r="Q51" s="7" t="str">
        <f>_xlfn.TEXTJOIN(", ", TRUE, Posts_Cleaned[[#This Row],[Hashtags Used.1]], Posts_Cleaned[[#This Row],[Hashtags Used.2]], Posts_Cleaned[[#This Row],[Hashtags Used.3]])</f>
        <v>#TeslaCoInnovation</v>
      </c>
    </row>
    <row r="52" spans="1:17" x14ac:dyDescent="0.25">
      <c r="A52" t="s">
        <v>106</v>
      </c>
      <c r="B52" s="1" t="s">
        <v>40</v>
      </c>
      <c r="C52" s="2">
        <v>45456</v>
      </c>
      <c r="D52" s="1" t="s">
        <v>41</v>
      </c>
      <c r="E52" s="1" t="s">
        <v>42</v>
      </c>
      <c r="F52">
        <v>2200</v>
      </c>
      <c r="G52">
        <v>504</v>
      </c>
      <c r="H52">
        <v>239</v>
      </c>
      <c r="I52">
        <v>37400</v>
      </c>
      <c r="J52">
        <v>36938</v>
      </c>
      <c r="K52">
        <v>225</v>
      </c>
      <c r="L52" s="1" t="s">
        <v>19</v>
      </c>
      <c r="M52" s="1"/>
      <c r="N52" s="1"/>
      <c r="O52" s="1" t="s">
        <v>27</v>
      </c>
      <c r="P52" s="1">
        <f>IFERROR(((Posts_Cleaned[[#This Row],[Likes]]+Posts_Cleaned[[#This Row],[Shares]]+Posts_Cleaned[[#This Row],[Comments]])/Posts_Cleaned[[#This Row],[Impressions]]),0)</f>
        <v>7.8689839572192513E-2</v>
      </c>
      <c r="Q52" s="7" t="str">
        <f>_xlfn.TEXTJOIN(", ", TRUE, Posts_Cleaned[[#This Row],[Hashtags Used.1]], Posts_Cleaned[[#This Row],[Hashtags Used.2]], Posts_Cleaned[[#This Row],[Hashtags Used.3]])</f>
        <v>#FutureOfDriving</v>
      </c>
    </row>
    <row r="53" spans="1:17" x14ac:dyDescent="0.25">
      <c r="A53" t="s">
        <v>107</v>
      </c>
      <c r="B53" s="1" t="s">
        <v>40</v>
      </c>
      <c r="C53" s="2">
        <v>45660</v>
      </c>
      <c r="D53" s="1" t="s">
        <v>46</v>
      </c>
      <c r="E53" s="1" t="s">
        <v>51</v>
      </c>
      <c r="F53">
        <v>947</v>
      </c>
      <c r="G53">
        <v>338</v>
      </c>
      <c r="H53">
        <v>350</v>
      </c>
      <c r="I53">
        <v>10417</v>
      </c>
      <c r="J53">
        <v>9730</v>
      </c>
      <c r="K53">
        <v>34</v>
      </c>
      <c r="L53" s="1" t="s">
        <v>25</v>
      </c>
      <c r="M53" s="1"/>
      <c r="N53" s="1"/>
      <c r="O53" s="1" t="s">
        <v>37</v>
      </c>
      <c r="P53" s="1">
        <f>IFERROR(((Posts_Cleaned[[#This Row],[Likes]]+Posts_Cleaned[[#This Row],[Shares]]+Posts_Cleaned[[#This Row],[Comments]])/Posts_Cleaned[[#This Row],[Impressions]]),0)</f>
        <v>0.1569549774407219</v>
      </c>
      <c r="Q53" s="7" t="str">
        <f>_xlfn.TEXTJOIN(", ", TRUE, Posts_Cleaned[[#This Row],[Hashtags Used.1]], Posts_Cleaned[[#This Row],[Hashtags Used.2]], Posts_Cleaned[[#This Row],[Hashtags Used.3]])</f>
        <v>#TeslaCoInnovation</v>
      </c>
    </row>
    <row r="54" spans="1:17" x14ac:dyDescent="0.25">
      <c r="A54" t="s">
        <v>108</v>
      </c>
      <c r="B54" s="1" t="s">
        <v>29</v>
      </c>
      <c r="C54" s="2">
        <v>45712</v>
      </c>
      <c r="D54" s="1" t="s">
        <v>41</v>
      </c>
      <c r="E54" s="1" t="s">
        <v>56</v>
      </c>
      <c r="F54">
        <v>804</v>
      </c>
      <c r="G54">
        <v>639</v>
      </c>
      <c r="H54">
        <v>43</v>
      </c>
      <c r="I54">
        <v>4020</v>
      </c>
      <c r="J54">
        <v>3144</v>
      </c>
      <c r="K54">
        <v>11</v>
      </c>
      <c r="L54" s="1" t="s">
        <v>36</v>
      </c>
      <c r="M54" s="1" t="s">
        <v>26</v>
      </c>
      <c r="N54" s="1"/>
      <c r="O54" s="1"/>
      <c r="P54" s="1">
        <f>IFERROR(((Posts_Cleaned[[#This Row],[Likes]]+Posts_Cleaned[[#This Row],[Shares]]+Posts_Cleaned[[#This Row],[Comments]])/Posts_Cleaned[[#This Row],[Impressions]]),0)</f>
        <v>0.36965174129353234</v>
      </c>
      <c r="Q54" s="7" t="str">
        <f>_xlfn.TEXTJOIN(", ", TRUE, Posts_Cleaned[[#This Row],[Hashtags Used.1]], Posts_Cleaned[[#This Row],[Hashtags Used.2]], Posts_Cleaned[[#This Row],[Hashtags Used.3]])</f>
        <v>#EVRevolution, #BetterWithTesla</v>
      </c>
    </row>
    <row r="55" spans="1:17" x14ac:dyDescent="0.25">
      <c r="A55" t="s">
        <v>109</v>
      </c>
      <c r="B55" s="1" t="s">
        <v>29</v>
      </c>
      <c r="C55" s="2">
        <v>45729</v>
      </c>
      <c r="D55" s="1" t="s">
        <v>41</v>
      </c>
      <c r="E55" s="1" t="s">
        <v>56</v>
      </c>
      <c r="F55">
        <v>1686</v>
      </c>
      <c r="G55">
        <v>904</v>
      </c>
      <c r="H55">
        <v>472</v>
      </c>
      <c r="I55">
        <v>18546</v>
      </c>
      <c r="J55">
        <v>18171</v>
      </c>
      <c r="K55">
        <v>52</v>
      </c>
      <c r="L55" s="1" t="s">
        <v>19</v>
      </c>
      <c r="M55" s="1"/>
      <c r="N55" s="1"/>
      <c r="O55" s="1" t="s">
        <v>27</v>
      </c>
      <c r="P55" s="1">
        <f>IFERROR(((Posts_Cleaned[[#This Row],[Likes]]+Posts_Cleaned[[#This Row],[Shares]]+Posts_Cleaned[[#This Row],[Comments]])/Posts_Cleaned[[#This Row],[Impressions]]),0)</f>
        <v>0.16510298716704411</v>
      </c>
      <c r="Q55" s="7" t="str">
        <f>_xlfn.TEXTJOIN(", ", TRUE, Posts_Cleaned[[#This Row],[Hashtags Used.1]], Posts_Cleaned[[#This Row],[Hashtags Used.2]], Posts_Cleaned[[#This Row],[Hashtags Used.3]])</f>
        <v>#FutureOfDriving</v>
      </c>
    </row>
    <row r="56" spans="1:17" x14ac:dyDescent="0.25">
      <c r="A56" t="s">
        <v>110</v>
      </c>
      <c r="B56" s="1" t="s">
        <v>40</v>
      </c>
      <c r="C56" s="2">
        <v>45460</v>
      </c>
      <c r="D56" s="1" t="s">
        <v>46</v>
      </c>
      <c r="E56" s="1" t="s">
        <v>51</v>
      </c>
      <c r="F56">
        <v>1226</v>
      </c>
      <c r="G56">
        <v>119</v>
      </c>
      <c r="H56">
        <v>7</v>
      </c>
      <c r="I56">
        <v>14712</v>
      </c>
      <c r="J56">
        <v>14049</v>
      </c>
      <c r="K56">
        <v>123</v>
      </c>
      <c r="L56" s="1" t="s">
        <v>36</v>
      </c>
      <c r="M56" s="1"/>
      <c r="N56" s="1"/>
      <c r="O56" s="1" t="s">
        <v>37</v>
      </c>
      <c r="P56" s="1">
        <f>IFERROR(((Posts_Cleaned[[#This Row],[Likes]]+Posts_Cleaned[[#This Row],[Shares]]+Posts_Cleaned[[#This Row],[Comments]])/Posts_Cleaned[[#This Row],[Impressions]]),0)</f>
        <v>9.1897770527460579E-2</v>
      </c>
      <c r="Q56" s="7" t="str">
        <f>_xlfn.TEXTJOIN(", ", TRUE, Posts_Cleaned[[#This Row],[Hashtags Used.1]], Posts_Cleaned[[#This Row],[Hashtags Used.2]], Posts_Cleaned[[#This Row],[Hashtags Used.3]])</f>
        <v>#EVRevolution</v>
      </c>
    </row>
    <row r="57" spans="1:17" x14ac:dyDescent="0.25">
      <c r="A57" t="s">
        <v>111</v>
      </c>
      <c r="B57" s="1" t="s">
        <v>40</v>
      </c>
      <c r="C57" s="2">
        <v>45644</v>
      </c>
      <c r="D57" s="1" t="s">
        <v>41</v>
      </c>
      <c r="E57" s="1" t="s">
        <v>42</v>
      </c>
      <c r="F57">
        <v>2946</v>
      </c>
      <c r="G57">
        <v>498</v>
      </c>
      <c r="H57">
        <v>367</v>
      </c>
      <c r="I57">
        <v>29460</v>
      </c>
      <c r="J57">
        <v>28527</v>
      </c>
      <c r="K57">
        <v>60</v>
      </c>
      <c r="L57" s="1" t="s">
        <v>19</v>
      </c>
      <c r="M57" s="1"/>
      <c r="N57" s="1"/>
      <c r="O57" s="1" t="s">
        <v>31</v>
      </c>
      <c r="P57" s="1">
        <f>IFERROR(((Posts_Cleaned[[#This Row],[Likes]]+Posts_Cleaned[[#This Row],[Shares]]+Posts_Cleaned[[#This Row],[Comments]])/Posts_Cleaned[[#This Row],[Impressions]]),0)</f>
        <v>0.12936184657162253</v>
      </c>
      <c r="Q57" s="7" t="str">
        <f>_xlfn.TEXTJOIN(", ", TRUE, Posts_Cleaned[[#This Row],[Hashtags Used.1]], Posts_Cleaned[[#This Row],[Hashtags Used.2]], Posts_Cleaned[[#This Row],[Hashtags Used.3]])</f>
        <v>#FutureOfDriving</v>
      </c>
    </row>
    <row r="58" spans="1:17" x14ac:dyDescent="0.25">
      <c r="A58" t="s">
        <v>112</v>
      </c>
      <c r="B58" s="1" t="s">
        <v>16</v>
      </c>
      <c r="C58" s="2">
        <v>45586</v>
      </c>
      <c r="D58" s="1" t="s">
        <v>60</v>
      </c>
      <c r="E58" s="1" t="s">
        <v>99</v>
      </c>
      <c r="F58">
        <v>2825</v>
      </c>
      <c r="G58">
        <v>535</v>
      </c>
      <c r="H58">
        <v>295</v>
      </c>
      <c r="I58">
        <v>45200</v>
      </c>
      <c r="J58">
        <v>44739</v>
      </c>
      <c r="K58">
        <v>169</v>
      </c>
      <c r="L58" s="1" t="s">
        <v>25</v>
      </c>
      <c r="M58" s="1"/>
      <c r="N58" s="1"/>
      <c r="O58" s="1" t="s">
        <v>21</v>
      </c>
      <c r="P58" s="1">
        <f>IFERROR(((Posts_Cleaned[[#This Row],[Likes]]+Posts_Cleaned[[#This Row],[Shares]]+Posts_Cleaned[[#This Row],[Comments]])/Posts_Cleaned[[#This Row],[Impressions]]),0)</f>
        <v>8.0862831858407078E-2</v>
      </c>
      <c r="Q58" s="7" t="str">
        <f>_xlfn.TEXTJOIN(", ", TRUE, Posts_Cleaned[[#This Row],[Hashtags Used.1]], Posts_Cleaned[[#This Row],[Hashtags Used.2]], Posts_Cleaned[[#This Row],[Hashtags Used.3]])</f>
        <v>#TeslaCoInnovation</v>
      </c>
    </row>
    <row r="59" spans="1:17" x14ac:dyDescent="0.25">
      <c r="A59" t="s">
        <v>113</v>
      </c>
      <c r="B59" s="1" t="s">
        <v>33</v>
      </c>
      <c r="C59" s="2">
        <v>45762</v>
      </c>
      <c r="D59" s="1" t="s">
        <v>17</v>
      </c>
      <c r="E59" s="1" t="s">
        <v>65</v>
      </c>
      <c r="F59">
        <v>103</v>
      </c>
      <c r="G59">
        <v>770</v>
      </c>
      <c r="H59">
        <v>19</v>
      </c>
      <c r="I59">
        <v>1030</v>
      </c>
      <c r="J59">
        <v>410</v>
      </c>
      <c r="K59">
        <v>262</v>
      </c>
      <c r="L59" s="1" t="s">
        <v>25</v>
      </c>
      <c r="M59" s="1"/>
      <c r="N59" s="1"/>
      <c r="O59" s="1" t="s">
        <v>37</v>
      </c>
      <c r="P59" s="1">
        <f>IFERROR(((Posts_Cleaned[[#This Row],[Likes]]+Posts_Cleaned[[#This Row],[Shares]]+Posts_Cleaned[[#This Row],[Comments]])/Posts_Cleaned[[#This Row],[Impressions]]),0)</f>
        <v>0.86601941747572819</v>
      </c>
      <c r="Q59" s="7" t="str">
        <f>_xlfn.TEXTJOIN(", ", TRUE, Posts_Cleaned[[#This Row],[Hashtags Used.1]], Posts_Cleaned[[#This Row],[Hashtags Used.2]], Posts_Cleaned[[#This Row],[Hashtags Used.3]])</f>
        <v>#TeslaCoInnovation</v>
      </c>
    </row>
    <row r="60" spans="1:17" x14ac:dyDescent="0.25">
      <c r="A60" t="s">
        <v>114</v>
      </c>
      <c r="B60" s="1" t="s">
        <v>33</v>
      </c>
      <c r="C60" s="2">
        <v>45465</v>
      </c>
      <c r="D60" s="1" t="s">
        <v>23</v>
      </c>
      <c r="E60" s="1" t="s">
        <v>82</v>
      </c>
      <c r="F60">
        <v>2180</v>
      </c>
      <c r="G60">
        <v>263</v>
      </c>
      <c r="H60">
        <v>387</v>
      </c>
      <c r="I60">
        <v>30520</v>
      </c>
      <c r="J60">
        <v>30059</v>
      </c>
      <c r="K60">
        <v>174</v>
      </c>
      <c r="L60" s="1" t="s">
        <v>36</v>
      </c>
      <c r="M60" s="1"/>
      <c r="N60" s="1"/>
      <c r="O60" s="1"/>
      <c r="P60" s="1">
        <f>IFERROR(((Posts_Cleaned[[#This Row],[Likes]]+Posts_Cleaned[[#This Row],[Shares]]+Posts_Cleaned[[#This Row],[Comments]])/Posts_Cleaned[[#This Row],[Impressions]]),0)</f>
        <v>9.2726081258191345E-2</v>
      </c>
      <c r="Q60" s="7" t="str">
        <f>_xlfn.TEXTJOIN(", ", TRUE, Posts_Cleaned[[#This Row],[Hashtags Used.1]], Posts_Cleaned[[#This Row],[Hashtags Used.2]], Posts_Cleaned[[#This Row],[Hashtags Used.3]])</f>
        <v>#EVRevolution</v>
      </c>
    </row>
    <row r="61" spans="1:17" x14ac:dyDescent="0.25">
      <c r="A61" t="s">
        <v>115</v>
      </c>
      <c r="B61" s="1" t="s">
        <v>33</v>
      </c>
      <c r="C61" s="2">
        <v>45685</v>
      </c>
      <c r="D61" s="1" t="s">
        <v>60</v>
      </c>
      <c r="E61" s="1" t="s">
        <v>67</v>
      </c>
      <c r="F61">
        <v>904</v>
      </c>
      <c r="G61">
        <v>973</v>
      </c>
      <c r="H61">
        <v>63</v>
      </c>
      <c r="I61">
        <v>11752</v>
      </c>
      <c r="J61">
        <v>11580</v>
      </c>
      <c r="K61">
        <v>84</v>
      </c>
      <c r="L61" s="1" t="s">
        <v>36</v>
      </c>
      <c r="M61" s="1" t="s">
        <v>25</v>
      </c>
      <c r="N61" s="1" t="s">
        <v>20</v>
      </c>
      <c r="O61" s="1" t="s">
        <v>31</v>
      </c>
      <c r="P61" s="1">
        <f>IFERROR(((Posts_Cleaned[[#This Row],[Likes]]+Posts_Cleaned[[#This Row],[Shares]]+Posts_Cleaned[[#This Row],[Comments]])/Posts_Cleaned[[#This Row],[Impressions]]),0)</f>
        <v>0.1650782845473111</v>
      </c>
      <c r="Q61" s="7" t="str">
        <f>_xlfn.TEXTJOIN(", ", TRUE, Posts_Cleaned[[#This Row],[Hashtags Used.1]], Posts_Cleaned[[#This Row],[Hashtags Used.2]], Posts_Cleaned[[#This Row],[Hashtags Used.3]])</f>
        <v>#EVRevolution, #TeslaCoInnovation, #AnytimeIsTeslaTime</v>
      </c>
    </row>
    <row r="62" spans="1:17" x14ac:dyDescent="0.25">
      <c r="A62" t="s">
        <v>116</v>
      </c>
      <c r="B62" s="1" t="s">
        <v>16</v>
      </c>
      <c r="C62" s="2">
        <v>45540</v>
      </c>
      <c r="D62" s="1" t="s">
        <v>60</v>
      </c>
      <c r="E62" s="1" t="s">
        <v>99</v>
      </c>
      <c r="F62">
        <v>4886</v>
      </c>
      <c r="G62">
        <v>983</v>
      </c>
      <c r="H62">
        <v>409</v>
      </c>
      <c r="I62">
        <v>43974</v>
      </c>
      <c r="J62">
        <v>43239</v>
      </c>
      <c r="K62">
        <v>65</v>
      </c>
      <c r="L62" s="1" t="s">
        <v>25</v>
      </c>
      <c r="M62" s="1"/>
      <c r="N62" s="1"/>
      <c r="O62" s="1" t="s">
        <v>21</v>
      </c>
      <c r="P62" s="1">
        <f>IFERROR(((Posts_Cleaned[[#This Row],[Likes]]+Posts_Cleaned[[#This Row],[Shares]]+Posts_Cleaned[[#This Row],[Comments]])/Posts_Cleaned[[#This Row],[Impressions]]),0)</f>
        <v>0.14276618001546368</v>
      </c>
      <c r="Q62" s="7" t="str">
        <f>_xlfn.TEXTJOIN(", ", TRUE, Posts_Cleaned[[#This Row],[Hashtags Used.1]], Posts_Cleaned[[#This Row],[Hashtags Used.2]], Posts_Cleaned[[#This Row],[Hashtags Used.3]])</f>
        <v>#TeslaCoInnovation</v>
      </c>
    </row>
    <row r="63" spans="1:17" x14ac:dyDescent="0.25">
      <c r="A63" t="s">
        <v>117</v>
      </c>
      <c r="B63" s="1" t="s">
        <v>16</v>
      </c>
      <c r="C63" s="2">
        <v>45618</v>
      </c>
      <c r="D63" s="1" t="s">
        <v>41</v>
      </c>
      <c r="E63" s="1" t="s">
        <v>44</v>
      </c>
      <c r="F63">
        <v>53</v>
      </c>
      <c r="G63">
        <v>81</v>
      </c>
      <c r="H63">
        <v>379</v>
      </c>
      <c r="I63">
        <v>954</v>
      </c>
      <c r="J63">
        <v>7</v>
      </c>
      <c r="K63">
        <v>148</v>
      </c>
      <c r="L63" s="1" t="s">
        <v>25</v>
      </c>
      <c r="M63" s="1"/>
      <c r="N63" s="1"/>
      <c r="O63" s="1" t="s">
        <v>31</v>
      </c>
      <c r="P63" s="1">
        <f>IFERROR(((Posts_Cleaned[[#This Row],[Likes]]+Posts_Cleaned[[#This Row],[Shares]]+Posts_Cleaned[[#This Row],[Comments]])/Posts_Cleaned[[#This Row],[Impressions]]),0)</f>
        <v>0.53773584905660377</v>
      </c>
      <c r="Q63" s="7" t="str">
        <f>_xlfn.TEXTJOIN(", ", TRUE, Posts_Cleaned[[#This Row],[Hashtags Used.1]], Posts_Cleaned[[#This Row],[Hashtags Used.2]], Posts_Cleaned[[#This Row],[Hashtags Used.3]])</f>
        <v>#TeslaCoInnovation</v>
      </c>
    </row>
    <row r="64" spans="1:17" x14ac:dyDescent="0.25">
      <c r="A64" t="s">
        <v>118</v>
      </c>
      <c r="B64" s="1" t="s">
        <v>16</v>
      </c>
      <c r="C64" s="2">
        <v>45504</v>
      </c>
      <c r="D64" s="1" t="s">
        <v>41</v>
      </c>
      <c r="E64" s="1" t="s">
        <v>44</v>
      </c>
      <c r="F64">
        <v>4507</v>
      </c>
      <c r="G64">
        <v>217</v>
      </c>
      <c r="H64">
        <v>13</v>
      </c>
      <c r="I64">
        <v>90140</v>
      </c>
      <c r="J64">
        <v>89591</v>
      </c>
      <c r="K64">
        <v>125</v>
      </c>
      <c r="L64" s="1" t="s">
        <v>19</v>
      </c>
      <c r="M64" s="1"/>
      <c r="N64" s="1"/>
      <c r="O64" s="1" t="s">
        <v>31</v>
      </c>
      <c r="P64" s="1">
        <f>IFERROR(((Posts_Cleaned[[#This Row],[Likes]]+Posts_Cleaned[[#This Row],[Shares]]+Posts_Cleaned[[#This Row],[Comments]])/Posts_Cleaned[[#This Row],[Impressions]]),0)</f>
        <v>5.2551586421122697E-2</v>
      </c>
      <c r="Q64" s="7" t="str">
        <f>_xlfn.TEXTJOIN(", ", TRUE, Posts_Cleaned[[#This Row],[Hashtags Used.1]], Posts_Cleaned[[#This Row],[Hashtags Used.2]], Posts_Cleaned[[#This Row],[Hashtags Used.3]])</f>
        <v>#FutureOfDriving</v>
      </c>
    </row>
    <row r="65" spans="1:17" x14ac:dyDescent="0.25">
      <c r="A65" t="s">
        <v>119</v>
      </c>
      <c r="B65" s="1" t="s">
        <v>40</v>
      </c>
      <c r="C65" s="2">
        <v>45521</v>
      </c>
      <c r="D65" s="1" t="s">
        <v>46</v>
      </c>
      <c r="E65" s="1" t="s">
        <v>51</v>
      </c>
      <c r="F65">
        <v>2878</v>
      </c>
      <c r="G65">
        <v>248</v>
      </c>
      <c r="H65">
        <v>416</v>
      </c>
      <c r="I65">
        <v>43170</v>
      </c>
      <c r="J65">
        <v>42667</v>
      </c>
      <c r="K65">
        <v>75</v>
      </c>
      <c r="L65" s="1" t="s">
        <v>19</v>
      </c>
      <c r="M65" s="1"/>
      <c r="N65" s="1"/>
      <c r="O65" s="1" t="s">
        <v>31</v>
      </c>
      <c r="P65" s="1">
        <f>IFERROR(((Posts_Cleaned[[#This Row],[Likes]]+Posts_Cleaned[[#This Row],[Shares]]+Posts_Cleaned[[#This Row],[Comments]])/Posts_Cleaned[[#This Row],[Impressions]]),0)</f>
        <v>8.2047718322909427E-2</v>
      </c>
      <c r="Q65" s="7" t="str">
        <f>_xlfn.TEXTJOIN(", ", TRUE, Posts_Cleaned[[#This Row],[Hashtags Used.1]], Posts_Cleaned[[#This Row],[Hashtags Used.2]], Posts_Cleaned[[#This Row],[Hashtags Used.3]])</f>
        <v>#FutureOfDriving</v>
      </c>
    </row>
    <row r="66" spans="1:17" x14ac:dyDescent="0.25">
      <c r="A66" t="s">
        <v>120</v>
      </c>
      <c r="B66" s="1" t="s">
        <v>33</v>
      </c>
      <c r="C66" s="2">
        <v>45744</v>
      </c>
      <c r="D66" s="1" t="s">
        <v>34</v>
      </c>
      <c r="E66" s="1" t="s">
        <v>35</v>
      </c>
      <c r="F66">
        <v>1881</v>
      </c>
      <c r="G66">
        <v>501</v>
      </c>
      <c r="H66">
        <v>99</v>
      </c>
      <c r="I66">
        <v>20691</v>
      </c>
      <c r="J66">
        <v>19987</v>
      </c>
      <c r="K66">
        <v>289</v>
      </c>
      <c r="L66" s="1" t="s">
        <v>36</v>
      </c>
      <c r="M66" s="1"/>
      <c r="N66" s="1"/>
      <c r="O66" s="1"/>
      <c r="P66" s="1">
        <f>IFERROR(((Posts_Cleaned[[#This Row],[Likes]]+Posts_Cleaned[[#This Row],[Shares]]+Posts_Cleaned[[#This Row],[Comments]])/Posts_Cleaned[[#This Row],[Impressions]]),0)</f>
        <v>0.11990720603160794</v>
      </c>
      <c r="Q66" s="7" t="str">
        <f>_xlfn.TEXTJOIN(", ", TRUE, Posts_Cleaned[[#This Row],[Hashtags Used.1]], Posts_Cleaned[[#This Row],[Hashtags Used.2]], Posts_Cleaned[[#This Row],[Hashtags Used.3]])</f>
        <v>#EVRevolution</v>
      </c>
    </row>
    <row r="67" spans="1:17" x14ac:dyDescent="0.25">
      <c r="A67" t="s">
        <v>121</v>
      </c>
      <c r="B67" s="1" t="s">
        <v>16</v>
      </c>
      <c r="C67" s="2">
        <v>45499</v>
      </c>
      <c r="D67" s="1" t="s">
        <v>41</v>
      </c>
      <c r="E67" s="1" t="s">
        <v>44</v>
      </c>
      <c r="F67">
        <v>432</v>
      </c>
      <c r="G67">
        <v>171</v>
      </c>
      <c r="H67">
        <v>280</v>
      </c>
      <c r="I67">
        <v>3024</v>
      </c>
      <c r="J67">
        <v>2285</v>
      </c>
      <c r="K67">
        <v>184</v>
      </c>
      <c r="L67" s="1" t="s">
        <v>36</v>
      </c>
      <c r="M67" s="1"/>
      <c r="N67" s="1"/>
      <c r="O67" s="1" t="s">
        <v>21</v>
      </c>
      <c r="P67" s="1">
        <f>IFERROR(((Posts_Cleaned[[#This Row],[Likes]]+Posts_Cleaned[[#This Row],[Shares]]+Posts_Cleaned[[#This Row],[Comments]])/Posts_Cleaned[[#This Row],[Impressions]]),0)</f>
        <v>0.29199735449735448</v>
      </c>
      <c r="Q67" s="7" t="str">
        <f>_xlfn.TEXTJOIN(", ", TRUE, Posts_Cleaned[[#This Row],[Hashtags Used.1]], Posts_Cleaned[[#This Row],[Hashtags Used.2]], Posts_Cleaned[[#This Row],[Hashtags Used.3]])</f>
        <v>#EVRevolution</v>
      </c>
    </row>
    <row r="68" spans="1:17" x14ac:dyDescent="0.25">
      <c r="A68" t="s">
        <v>122</v>
      </c>
      <c r="B68" s="1" t="s">
        <v>40</v>
      </c>
      <c r="C68" s="2">
        <v>45745</v>
      </c>
      <c r="D68" s="1" t="s">
        <v>41</v>
      </c>
      <c r="E68" s="1" t="s">
        <v>42</v>
      </c>
      <c r="F68">
        <v>4712</v>
      </c>
      <c r="G68">
        <v>568</v>
      </c>
      <c r="H68">
        <v>127</v>
      </c>
      <c r="I68">
        <v>84816</v>
      </c>
      <c r="J68">
        <v>84691</v>
      </c>
      <c r="K68">
        <v>100</v>
      </c>
      <c r="L68" s="1" t="s">
        <v>36</v>
      </c>
      <c r="M68" s="1"/>
      <c r="N68" s="1"/>
      <c r="O68" s="1" t="s">
        <v>31</v>
      </c>
      <c r="P68" s="1">
        <f>IFERROR(((Posts_Cleaned[[#This Row],[Likes]]+Posts_Cleaned[[#This Row],[Shares]]+Posts_Cleaned[[#This Row],[Comments]])/Posts_Cleaned[[#This Row],[Impressions]]),0)</f>
        <v>6.3749764195434822E-2</v>
      </c>
      <c r="Q68" s="7" t="str">
        <f>_xlfn.TEXTJOIN(", ", TRUE, Posts_Cleaned[[#This Row],[Hashtags Used.1]], Posts_Cleaned[[#This Row],[Hashtags Used.2]], Posts_Cleaned[[#This Row],[Hashtags Used.3]])</f>
        <v>#EVRevolution</v>
      </c>
    </row>
    <row r="69" spans="1:17" x14ac:dyDescent="0.25">
      <c r="A69" t="s">
        <v>123</v>
      </c>
      <c r="B69" s="1" t="s">
        <v>33</v>
      </c>
      <c r="C69" s="2">
        <v>45634</v>
      </c>
      <c r="D69" s="1" t="s">
        <v>34</v>
      </c>
      <c r="E69" s="1" t="s">
        <v>35</v>
      </c>
      <c r="F69">
        <v>2610</v>
      </c>
      <c r="G69">
        <v>126</v>
      </c>
      <c r="H69">
        <v>288</v>
      </c>
      <c r="I69">
        <v>15660</v>
      </c>
      <c r="J69">
        <v>15145</v>
      </c>
      <c r="K69">
        <v>73</v>
      </c>
      <c r="L69" s="1" t="s">
        <v>36</v>
      </c>
      <c r="M69" s="1"/>
      <c r="N69" s="1"/>
      <c r="O69" s="1"/>
      <c r="P69" s="1">
        <f>IFERROR(((Posts_Cleaned[[#This Row],[Likes]]+Posts_Cleaned[[#This Row],[Shares]]+Posts_Cleaned[[#This Row],[Comments]])/Posts_Cleaned[[#This Row],[Impressions]]),0)</f>
        <v>0.19310344827586207</v>
      </c>
      <c r="Q69" s="7" t="str">
        <f>_xlfn.TEXTJOIN(", ", TRUE, Posts_Cleaned[[#This Row],[Hashtags Used.1]], Posts_Cleaned[[#This Row],[Hashtags Used.2]], Posts_Cleaned[[#This Row],[Hashtags Used.3]])</f>
        <v>#EVRevolution</v>
      </c>
    </row>
    <row r="70" spans="1:17" x14ac:dyDescent="0.25">
      <c r="A70" t="s">
        <v>124</v>
      </c>
      <c r="B70" s="1" t="s">
        <v>16</v>
      </c>
      <c r="C70" s="2">
        <v>45724</v>
      </c>
      <c r="D70" s="1" t="s">
        <v>23</v>
      </c>
      <c r="E70" s="1" t="s">
        <v>24</v>
      </c>
      <c r="F70">
        <v>1292</v>
      </c>
      <c r="G70">
        <v>626</v>
      </c>
      <c r="H70">
        <v>496</v>
      </c>
      <c r="I70">
        <v>25840</v>
      </c>
      <c r="J70">
        <v>24916</v>
      </c>
      <c r="K70">
        <v>149</v>
      </c>
      <c r="L70" s="1" t="s">
        <v>19</v>
      </c>
      <c r="M70" s="1"/>
      <c r="N70" s="1"/>
      <c r="O70" s="1" t="s">
        <v>31</v>
      </c>
      <c r="P70" s="1">
        <f>IFERROR(((Posts_Cleaned[[#This Row],[Likes]]+Posts_Cleaned[[#This Row],[Shares]]+Posts_Cleaned[[#This Row],[Comments]])/Posts_Cleaned[[#This Row],[Impressions]]),0)</f>
        <v>9.3421052631578946E-2</v>
      </c>
      <c r="Q70" s="7" t="str">
        <f>_xlfn.TEXTJOIN(", ", TRUE, Posts_Cleaned[[#This Row],[Hashtags Used.1]], Posts_Cleaned[[#This Row],[Hashtags Used.2]], Posts_Cleaned[[#This Row],[Hashtags Used.3]])</f>
        <v>#FutureOfDriving</v>
      </c>
    </row>
    <row r="71" spans="1:17" x14ac:dyDescent="0.25">
      <c r="A71" t="s">
        <v>125</v>
      </c>
      <c r="B71" s="1" t="s">
        <v>40</v>
      </c>
      <c r="C71" s="2">
        <v>45749</v>
      </c>
      <c r="D71" s="1" t="s">
        <v>60</v>
      </c>
      <c r="E71" s="1" t="s">
        <v>61</v>
      </c>
      <c r="F71">
        <v>199</v>
      </c>
      <c r="G71">
        <v>772</v>
      </c>
      <c r="H71">
        <v>400</v>
      </c>
      <c r="I71">
        <v>3582</v>
      </c>
      <c r="J71">
        <v>2988</v>
      </c>
      <c r="K71">
        <v>43</v>
      </c>
      <c r="L71" s="1" t="s">
        <v>25</v>
      </c>
      <c r="M71" s="1"/>
      <c r="N71" s="1"/>
      <c r="O71" s="1"/>
      <c r="P71" s="1">
        <f>IFERROR(((Posts_Cleaned[[#This Row],[Likes]]+Posts_Cleaned[[#This Row],[Shares]]+Posts_Cleaned[[#This Row],[Comments]])/Posts_Cleaned[[#This Row],[Impressions]]),0)</f>
        <v>0.38274706867671693</v>
      </c>
      <c r="Q71" s="7" t="str">
        <f>_xlfn.TEXTJOIN(", ", TRUE, Posts_Cleaned[[#This Row],[Hashtags Used.1]], Posts_Cleaned[[#This Row],[Hashtags Used.2]], Posts_Cleaned[[#This Row],[Hashtags Used.3]])</f>
        <v>#TeslaCoInnovation</v>
      </c>
    </row>
    <row r="72" spans="1:17" x14ac:dyDescent="0.25">
      <c r="A72" t="s">
        <v>126</v>
      </c>
      <c r="B72" s="1" t="s">
        <v>29</v>
      </c>
      <c r="C72" s="2">
        <v>45537</v>
      </c>
      <c r="D72" s="1" t="s">
        <v>41</v>
      </c>
      <c r="E72" s="1" t="s">
        <v>56</v>
      </c>
      <c r="F72">
        <v>2551</v>
      </c>
      <c r="G72">
        <v>915</v>
      </c>
      <c r="H72">
        <v>205</v>
      </c>
      <c r="I72">
        <v>30612</v>
      </c>
      <c r="J72">
        <v>30360</v>
      </c>
      <c r="K72">
        <v>227</v>
      </c>
      <c r="L72" s="1" t="s">
        <v>25</v>
      </c>
      <c r="M72" s="1"/>
      <c r="N72" s="1"/>
      <c r="O72" s="1" t="s">
        <v>27</v>
      </c>
      <c r="P72" s="1">
        <f>IFERROR(((Posts_Cleaned[[#This Row],[Likes]]+Posts_Cleaned[[#This Row],[Shares]]+Posts_Cleaned[[#This Row],[Comments]])/Posts_Cleaned[[#This Row],[Impressions]]),0)</f>
        <v>0.1199202926956749</v>
      </c>
      <c r="Q72" s="7" t="str">
        <f>_xlfn.TEXTJOIN(", ", TRUE, Posts_Cleaned[[#This Row],[Hashtags Used.1]], Posts_Cleaned[[#This Row],[Hashtags Used.2]], Posts_Cleaned[[#This Row],[Hashtags Used.3]])</f>
        <v>#TeslaCoInnovation</v>
      </c>
    </row>
    <row r="73" spans="1:17" x14ac:dyDescent="0.25">
      <c r="A73" t="s">
        <v>127</v>
      </c>
      <c r="B73" s="1" t="s">
        <v>29</v>
      </c>
      <c r="C73" s="2">
        <v>45719</v>
      </c>
      <c r="D73" s="1" t="s">
        <v>17</v>
      </c>
      <c r="E73" s="1" t="s">
        <v>30</v>
      </c>
      <c r="F73">
        <v>296</v>
      </c>
      <c r="G73">
        <v>60</v>
      </c>
      <c r="H73">
        <v>141</v>
      </c>
      <c r="I73">
        <v>5624</v>
      </c>
      <c r="J73">
        <v>5239</v>
      </c>
      <c r="K73">
        <v>88</v>
      </c>
      <c r="L73" s="1" t="s">
        <v>36</v>
      </c>
      <c r="M73" s="1"/>
      <c r="N73" s="1"/>
      <c r="O73" s="1" t="s">
        <v>27</v>
      </c>
      <c r="P73" s="1">
        <f>IFERROR(((Posts_Cleaned[[#This Row],[Likes]]+Posts_Cleaned[[#This Row],[Shares]]+Posts_Cleaned[[#This Row],[Comments]])/Posts_Cleaned[[#This Row],[Impressions]]),0)</f>
        <v>8.837126600284495E-2</v>
      </c>
      <c r="Q73" s="7" t="str">
        <f>_xlfn.TEXTJOIN(", ", TRUE, Posts_Cleaned[[#This Row],[Hashtags Used.1]], Posts_Cleaned[[#This Row],[Hashtags Used.2]], Posts_Cleaned[[#This Row],[Hashtags Used.3]])</f>
        <v>#EVRevolution</v>
      </c>
    </row>
    <row r="74" spans="1:17" x14ac:dyDescent="0.25">
      <c r="A74" t="s">
        <v>128</v>
      </c>
      <c r="B74" s="1" t="s">
        <v>40</v>
      </c>
      <c r="C74" s="2">
        <v>45583</v>
      </c>
      <c r="D74" s="1" t="s">
        <v>34</v>
      </c>
      <c r="E74" s="1" t="s">
        <v>58</v>
      </c>
      <c r="F74">
        <v>4126</v>
      </c>
      <c r="G74">
        <v>426</v>
      </c>
      <c r="H74">
        <v>486</v>
      </c>
      <c r="I74">
        <v>78394</v>
      </c>
      <c r="J74">
        <v>77798</v>
      </c>
      <c r="K74">
        <v>88</v>
      </c>
      <c r="L74" s="1" t="s">
        <v>19</v>
      </c>
      <c r="M74" s="1"/>
      <c r="N74" s="1"/>
      <c r="O74" s="1" t="s">
        <v>37</v>
      </c>
      <c r="P74" s="1">
        <f>IFERROR(((Posts_Cleaned[[#This Row],[Likes]]+Posts_Cleaned[[#This Row],[Shares]]+Posts_Cleaned[[#This Row],[Comments]])/Posts_Cleaned[[#This Row],[Impressions]]),0)</f>
        <v>6.4265122330790625E-2</v>
      </c>
      <c r="Q74" s="7" t="str">
        <f>_xlfn.TEXTJOIN(", ", TRUE, Posts_Cleaned[[#This Row],[Hashtags Used.1]], Posts_Cleaned[[#This Row],[Hashtags Used.2]], Posts_Cleaned[[#This Row],[Hashtags Used.3]])</f>
        <v>#FutureOfDriving</v>
      </c>
    </row>
    <row r="75" spans="1:17" x14ac:dyDescent="0.25">
      <c r="A75" t="s">
        <v>129</v>
      </c>
      <c r="B75" s="1" t="s">
        <v>29</v>
      </c>
      <c r="C75" s="2">
        <v>45593</v>
      </c>
      <c r="D75" s="1" t="s">
        <v>17</v>
      </c>
      <c r="E75" s="1" t="s">
        <v>30</v>
      </c>
      <c r="F75">
        <v>1855</v>
      </c>
      <c r="G75">
        <v>200</v>
      </c>
      <c r="H75">
        <v>174</v>
      </c>
      <c r="I75">
        <v>16695</v>
      </c>
      <c r="J75">
        <v>16330</v>
      </c>
      <c r="K75">
        <v>123</v>
      </c>
      <c r="L75" s="1" t="s">
        <v>25</v>
      </c>
      <c r="M75" s="1"/>
      <c r="N75" s="1"/>
      <c r="O75" s="1" t="s">
        <v>31</v>
      </c>
      <c r="P75" s="1">
        <f>IFERROR(((Posts_Cleaned[[#This Row],[Likes]]+Posts_Cleaned[[#This Row],[Shares]]+Posts_Cleaned[[#This Row],[Comments]])/Posts_Cleaned[[#This Row],[Impressions]]),0)</f>
        <v>0.13351302785265048</v>
      </c>
      <c r="Q75" s="7" t="str">
        <f>_xlfn.TEXTJOIN(", ", TRUE, Posts_Cleaned[[#This Row],[Hashtags Used.1]], Posts_Cleaned[[#This Row],[Hashtags Used.2]], Posts_Cleaned[[#This Row],[Hashtags Used.3]])</f>
        <v>#TeslaCoInnovation</v>
      </c>
    </row>
    <row r="76" spans="1:17" x14ac:dyDescent="0.25">
      <c r="A76" t="s">
        <v>130</v>
      </c>
      <c r="B76" s="1" t="s">
        <v>33</v>
      </c>
      <c r="C76" s="2">
        <v>45505</v>
      </c>
      <c r="D76" s="1" t="s">
        <v>17</v>
      </c>
      <c r="E76" s="1" t="s">
        <v>65</v>
      </c>
      <c r="F76">
        <v>1674</v>
      </c>
      <c r="G76">
        <v>929</v>
      </c>
      <c r="H76">
        <v>37</v>
      </c>
      <c r="I76">
        <v>21762</v>
      </c>
      <c r="J76">
        <v>20998</v>
      </c>
      <c r="K76">
        <v>255</v>
      </c>
      <c r="L76" s="1" t="s">
        <v>25</v>
      </c>
      <c r="M76" s="1"/>
      <c r="N76" s="1"/>
      <c r="O76" s="1" t="s">
        <v>37</v>
      </c>
      <c r="P76" s="1">
        <f>IFERROR(((Posts_Cleaned[[#This Row],[Likes]]+Posts_Cleaned[[#This Row],[Shares]]+Posts_Cleaned[[#This Row],[Comments]])/Posts_Cleaned[[#This Row],[Impressions]]),0)</f>
        <v>0.12131237937689551</v>
      </c>
      <c r="Q76" s="7" t="str">
        <f>_xlfn.TEXTJOIN(", ", TRUE, Posts_Cleaned[[#This Row],[Hashtags Used.1]], Posts_Cleaned[[#This Row],[Hashtags Used.2]], Posts_Cleaned[[#This Row],[Hashtags Used.3]])</f>
        <v>#TeslaCoInnovation</v>
      </c>
    </row>
    <row r="77" spans="1:17" x14ac:dyDescent="0.25">
      <c r="A77" t="s">
        <v>131</v>
      </c>
      <c r="B77" s="1" t="s">
        <v>16</v>
      </c>
      <c r="C77" s="2">
        <v>45603</v>
      </c>
      <c r="D77" s="1" t="s">
        <v>34</v>
      </c>
      <c r="E77" s="1" t="s">
        <v>102</v>
      </c>
      <c r="F77">
        <v>1121</v>
      </c>
      <c r="G77">
        <v>135</v>
      </c>
      <c r="H77">
        <v>18</v>
      </c>
      <c r="I77">
        <v>15694</v>
      </c>
      <c r="J77">
        <v>14957</v>
      </c>
      <c r="K77">
        <v>99</v>
      </c>
      <c r="L77" s="1" t="s">
        <v>25</v>
      </c>
      <c r="M77" s="1"/>
      <c r="N77" s="1"/>
      <c r="O77" s="1" t="s">
        <v>37</v>
      </c>
      <c r="P77" s="1">
        <f>IFERROR(((Posts_Cleaned[[#This Row],[Likes]]+Posts_Cleaned[[#This Row],[Shares]]+Posts_Cleaned[[#This Row],[Comments]])/Posts_Cleaned[[#This Row],[Impressions]]),0)</f>
        <v>8.1177520071364848E-2</v>
      </c>
      <c r="Q77" s="7" t="str">
        <f>_xlfn.TEXTJOIN(", ", TRUE, Posts_Cleaned[[#This Row],[Hashtags Used.1]], Posts_Cleaned[[#This Row],[Hashtags Used.2]], Posts_Cleaned[[#This Row],[Hashtags Used.3]])</f>
        <v>#TeslaCoInnovation</v>
      </c>
    </row>
    <row r="78" spans="1:17" x14ac:dyDescent="0.25">
      <c r="A78" t="s">
        <v>132</v>
      </c>
      <c r="B78" s="1" t="s">
        <v>40</v>
      </c>
      <c r="C78" s="2">
        <v>45720</v>
      </c>
      <c r="D78" s="1" t="s">
        <v>34</v>
      </c>
      <c r="E78" s="1" t="s">
        <v>58</v>
      </c>
      <c r="F78">
        <v>1249</v>
      </c>
      <c r="G78">
        <v>116</v>
      </c>
      <c r="H78">
        <v>420</v>
      </c>
      <c r="I78">
        <v>8743</v>
      </c>
      <c r="J78">
        <v>8538</v>
      </c>
      <c r="K78">
        <v>63</v>
      </c>
      <c r="L78" s="1" t="s">
        <v>25</v>
      </c>
      <c r="M78" s="1"/>
      <c r="N78" s="1"/>
      <c r="O78" s="1"/>
      <c r="P78" s="1">
        <f>IFERROR(((Posts_Cleaned[[#This Row],[Likes]]+Posts_Cleaned[[#This Row],[Shares]]+Posts_Cleaned[[#This Row],[Comments]])/Posts_Cleaned[[#This Row],[Impressions]]),0)</f>
        <v>0.20416333066453163</v>
      </c>
      <c r="Q78" s="7" t="str">
        <f>_xlfn.TEXTJOIN(", ", TRUE, Posts_Cleaned[[#This Row],[Hashtags Used.1]], Posts_Cleaned[[#This Row],[Hashtags Used.2]], Posts_Cleaned[[#This Row],[Hashtags Used.3]])</f>
        <v>#TeslaCoInnovation</v>
      </c>
    </row>
    <row r="79" spans="1:17" x14ac:dyDescent="0.25">
      <c r="A79" t="s">
        <v>133</v>
      </c>
      <c r="B79" s="1" t="s">
        <v>16</v>
      </c>
      <c r="C79" s="2">
        <v>45460</v>
      </c>
      <c r="D79" s="1" t="s">
        <v>46</v>
      </c>
      <c r="E79" s="1" t="s">
        <v>92</v>
      </c>
      <c r="F79">
        <v>954</v>
      </c>
      <c r="G79">
        <v>324</v>
      </c>
      <c r="H79">
        <v>288</v>
      </c>
      <c r="I79">
        <v>19080</v>
      </c>
      <c r="J79">
        <v>18859</v>
      </c>
      <c r="K79">
        <v>21</v>
      </c>
      <c r="L79" s="1" t="s">
        <v>19</v>
      </c>
      <c r="M79" s="1"/>
      <c r="N79" s="1"/>
      <c r="O79" s="1" t="s">
        <v>37</v>
      </c>
      <c r="P79" s="1">
        <f>IFERROR(((Posts_Cleaned[[#This Row],[Likes]]+Posts_Cleaned[[#This Row],[Shares]]+Posts_Cleaned[[#This Row],[Comments]])/Posts_Cleaned[[#This Row],[Impressions]]),0)</f>
        <v>8.2075471698113203E-2</v>
      </c>
      <c r="Q79" s="7" t="str">
        <f>_xlfn.TEXTJOIN(", ", TRUE, Posts_Cleaned[[#This Row],[Hashtags Used.1]], Posts_Cleaned[[#This Row],[Hashtags Used.2]], Posts_Cleaned[[#This Row],[Hashtags Used.3]])</f>
        <v>#FutureOfDriving</v>
      </c>
    </row>
    <row r="80" spans="1:17" x14ac:dyDescent="0.25">
      <c r="A80" t="s">
        <v>134</v>
      </c>
      <c r="B80" s="1" t="s">
        <v>33</v>
      </c>
      <c r="C80" s="2">
        <v>45574</v>
      </c>
      <c r="D80" s="1" t="s">
        <v>41</v>
      </c>
      <c r="E80" s="1" t="s">
        <v>69</v>
      </c>
      <c r="F80">
        <v>3068</v>
      </c>
      <c r="G80">
        <v>137</v>
      </c>
      <c r="H80">
        <v>329</v>
      </c>
      <c r="I80">
        <v>39884</v>
      </c>
      <c r="J80">
        <v>39404</v>
      </c>
      <c r="K80">
        <v>266</v>
      </c>
      <c r="L80" s="1" t="s">
        <v>36</v>
      </c>
      <c r="M80" s="1"/>
      <c r="N80" s="1"/>
      <c r="O80" s="1" t="s">
        <v>27</v>
      </c>
      <c r="P80" s="1">
        <f>IFERROR(((Posts_Cleaned[[#This Row],[Likes]]+Posts_Cleaned[[#This Row],[Shares]]+Posts_Cleaned[[#This Row],[Comments]])/Posts_Cleaned[[#This Row],[Impressions]]),0)</f>
        <v>8.860696018453515E-2</v>
      </c>
      <c r="Q80" s="7" t="str">
        <f>_xlfn.TEXTJOIN(", ", TRUE, Posts_Cleaned[[#This Row],[Hashtags Used.1]], Posts_Cleaned[[#This Row],[Hashtags Used.2]], Posts_Cleaned[[#This Row],[Hashtags Used.3]])</f>
        <v>#EVRevolution</v>
      </c>
    </row>
    <row r="81" spans="1:17" x14ac:dyDescent="0.25">
      <c r="A81" t="s">
        <v>135</v>
      </c>
      <c r="B81" s="1" t="s">
        <v>33</v>
      </c>
      <c r="C81" s="2">
        <v>45456</v>
      </c>
      <c r="D81" s="1" t="s">
        <v>34</v>
      </c>
      <c r="E81" s="1" t="s">
        <v>35</v>
      </c>
      <c r="F81">
        <v>2103</v>
      </c>
      <c r="G81">
        <v>892</v>
      </c>
      <c r="H81">
        <v>103</v>
      </c>
      <c r="I81">
        <v>39957</v>
      </c>
      <c r="J81">
        <v>39466</v>
      </c>
      <c r="K81">
        <v>28</v>
      </c>
      <c r="L81" s="1" t="s">
        <v>19</v>
      </c>
      <c r="M81" s="1"/>
      <c r="N81" s="1"/>
      <c r="O81" s="1"/>
      <c r="P81" s="1">
        <f>IFERROR(((Posts_Cleaned[[#This Row],[Likes]]+Posts_Cleaned[[#This Row],[Shares]]+Posts_Cleaned[[#This Row],[Comments]])/Posts_Cleaned[[#This Row],[Impressions]]),0)</f>
        <v>7.7533348349475686E-2</v>
      </c>
      <c r="Q81" s="7" t="str">
        <f>_xlfn.TEXTJOIN(", ", TRUE, Posts_Cleaned[[#This Row],[Hashtags Used.1]], Posts_Cleaned[[#This Row],[Hashtags Used.2]], Posts_Cleaned[[#This Row],[Hashtags Used.3]])</f>
        <v>#FutureOfDriving</v>
      </c>
    </row>
    <row r="82" spans="1:17" x14ac:dyDescent="0.25">
      <c r="A82" t="s">
        <v>136</v>
      </c>
      <c r="B82" s="1" t="s">
        <v>33</v>
      </c>
      <c r="C82" s="2">
        <v>45584</v>
      </c>
      <c r="D82" s="1" t="s">
        <v>34</v>
      </c>
      <c r="E82" s="1" t="s">
        <v>35</v>
      </c>
      <c r="F82">
        <v>1816</v>
      </c>
      <c r="G82">
        <v>29</v>
      </c>
      <c r="H82">
        <v>41</v>
      </c>
      <c r="I82">
        <v>19976</v>
      </c>
      <c r="J82">
        <v>19262</v>
      </c>
      <c r="K82">
        <v>283</v>
      </c>
      <c r="L82" s="1" t="s">
        <v>25</v>
      </c>
      <c r="M82" s="1"/>
      <c r="N82" s="1"/>
      <c r="O82" s="1" t="s">
        <v>31</v>
      </c>
      <c r="P82" s="1">
        <f>IFERROR(((Posts_Cleaned[[#This Row],[Likes]]+Posts_Cleaned[[#This Row],[Shares]]+Posts_Cleaned[[#This Row],[Comments]])/Posts_Cleaned[[#This Row],[Impressions]]),0)</f>
        <v>9.4413295955146179E-2</v>
      </c>
      <c r="Q82" s="7" t="str">
        <f>_xlfn.TEXTJOIN(", ", TRUE, Posts_Cleaned[[#This Row],[Hashtags Used.1]], Posts_Cleaned[[#This Row],[Hashtags Used.2]], Posts_Cleaned[[#This Row],[Hashtags Used.3]])</f>
        <v>#TeslaCoInnovation</v>
      </c>
    </row>
    <row r="83" spans="1:17" x14ac:dyDescent="0.25">
      <c r="A83" t="s">
        <v>137</v>
      </c>
      <c r="B83" s="1" t="s">
        <v>33</v>
      </c>
      <c r="C83" s="2">
        <v>45497</v>
      </c>
      <c r="D83" s="1" t="s">
        <v>46</v>
      </c>
      <c r="E83" s="1" t="s">
        <v>138</v>
      </c>
      <c r="F83">
        <v>725</v>
      </c>
      <c r="G83">
        <v>88</v>
      </c>
      <c r="H83">
        <v>428</v>
      </c>
      <c r="I83">
        <v>14500</v>
      </c>
      <c r="J83">
        <v>13637</v>
      </c>
      <c r="K83">
        <v>200</v>
      </c>
      <c r="L83" s="1" t="s">
        <v>19</v>
      </c>
      <c r="M83" s="1" t="s">
        <v>25</v>
      </c>
      <c r="N83" s="1" t="s">
        <v>20</v>
      </c>
      <c r="O83" s="1" t="s">
        <v>31</v>
      </c>
      <c r="P83" s="1">
        <f>IFERROR(((Posts_Cleaned[[#This Row],[Likes]]+Posts_Cleaned[[#This Row],[Shares]]+Posts_Cleaned[[#This Row],[Comments]])/Posts_Cleaned[[#This Row],[Impressions]]),0)</f>
        <v>8.558620689655172E-2</v>
      </c>
      <c r="Q83" s="7" t="str">
        <f>_xlfn.TEXTJOIN(", ", TRUE, Posts_Cleaned[[#This Row],[Hashtags Used.1]], Posts_Cleaned[[#This Row],[Hashtags Used.2]], Posts_Cleaned[[#This Row],[Hashtags Used.3]])</f>
        <v>#FutureOfDriving, #TeslaCoInnovation, #AnytimeIsTeslaTime</v>
      </c>
    </row>
    <row r="84" spans="1:17" x14ac:dyDescent="0.25">
      <c r="A84" t="s">
        <v>139</v>
      </c>
      <c r="B84" s="1" t="s">
        <v>29</v>
      </c>
      <c r="C84" s="2">
        <v>45580</v>
      </c>
      <c r="D84" s="1" t="s">
        <v>60</v>
      </c>
      <c r="E84" s="1" t="s">
        <v>140</v>
      </c>
      <c r="F84">
        <v>1094</v>
      </c>
      <c r="G84">
        <v>472</v>
      </c>
      <c r="H84">
        <v>21</v>
      </c>
      <c r="I84">
        <v>9846</v>
      </c>
      <c r="J84">
        <v>9609</v>
      </c>
      <c r="K84">
        <v>112</v>
      </c>
      <c r="L84" s="1" t="s">
        <v>36</v>
      </c>
      <c r="M84" s="1"/>
      <c r="N84" s="1"/>
      <c r="O84" s="1"/>
      <c r="P84" s="1">
        <f>IFERROR(((Posts_Cleaned[[#This Row],[Likes]]+Posts_Cleaned[[#This Row],[Shares]]+Posts_Cleaned[[#This Row],[Comments]])/Posts_Cleaned[[#This Row],[Impressions]]),0)</f>
        <v>0.16118220597196831</v>
      </c>
      <c r="Q84" s="7" t="str">
        <f>_xlfn.TEXTJOIN(", ", TRUE, Posts_Cleaned[[#This Row],[Hashtags Used.1]], Posts_Cleaned[[#This Row],[Hashtags Used.2]], Posts_Cleaned[[#This Row],[Hashtags Used.3]])</f>
        <v>#EVRevolution</v>
      </c>
    </row>
    <row r="85" spans="1:17" x14ac:dyDescent="0.25">
      <c r="A85" t="s">
        <v>141</v>
      </c>
      <c r="B85" s="1" t="s">
        <v>40</v>
      </c>
      <c r="C85" s="2">
        <v>45635</v>
      </c>
      <c r="D85" s="1" t="s">
        <v>46</v>
      </c>
      <c r="E85" s="1" t="s">
        <v>51</v>
      </c>
      <c r="F85">
        <v>1841</v>
      </c>
      <c r="G85">
        <v>851</v>
      </c>
      <c r="H85">
        <v>342</v>
      </c>
      <c r="I85">
        <v>34979</v>
      </c>
      <c r="J85">
        <v>34154</v>
      </c>
      <c r="K85">
        <v>255</v>
      </c>
      <c r="L85" s="1" t="s">
        <v>19</v>
      </c>
      <c r="M85" s="1"/>
      <c r="N85" s="1"/>
      <c r="O85" s="1" t="s">
        <v>37</v>
      </c>
      <c r="P85" s="1">
        <f>IFERROR(((Posts_Cleaned[[#This Row],[Likes]]+Posts_Cleaned[[#This Row],[Shares]]+Posts_Cleaned[[#This Row],[Comments]])/Posts_Cleaned[[#This Row],[Impressions]]),0)</f>
        <v>8.6737756939878216E-2</v>
      </c>
      <c r="Q85" s="7" t="str">
        <f>_xlfn.TEXTJOIN(", ", TRUE, Posts_Cleaned[[#This Row],[Hashtags Used.1]], Posts_Cleaned[[#This Row],[Hashtags Used.2]], Posts_Cleaned[[#This Row],[Hashtags Used.3]])</f>
        <v>#FutureOfDriving</v>
      </c>
    </row>
    <row r="86" spans="1:17" x14ac:dyDescent="0.25">
      <c r="A86" t="s">
        <v>142</v>
      </c>
      <c r="B86" s="1" t="s">
        <v>33</v>
      </c>
      <c r="C86" s="2">
        <v>45766</v>
      </c>
      <c r="D86" s="1" t="s">
        <v>46</v>
      </c>
      <c r="E86" s="1" t="s">
        <v>138</v>
      </c>
      <c r="F86">
        <v>4177</v>
      </c>
      <c r="G86">
        <v>569</v>
      </c>
      <c r="H86">
        <v>55</v>
      </c>
      <c r="I86">
        <v>25062</v>
      </c>
      <c r="J86">
        <v>24847</v>
      </c>
      <c r="K86">
        <v>230</v>
      </c>
      <c r="L86" s="1" t="s">
        <v>19</v>
      </c>
      <c r="M86" s="1"/>
      <c r="N86" s="1"/>
      <c r="O86" s="1" t="s">
        <v>21</v>
      </c>
      <c r="P86" s="1">
        <f>IFERROR(((Posts_Cleaned[[#This Row],[Likes]]+Posts_Cleaned[[#This Row],[Shares]]+Posts_Cleaned[[#This Row],[Comments]])/Posts_Cleaned[[#This Row],[Impressions]]),0)</f>
        <v>0.19156491900087783</v>
      </c>
      <c r="Q86" s="7" t="str">
        <f>_xlfn.TEXTJOIN(", ", TRUE, Posts_Cleaned[[#This Row],[Hashtags Used.1]], Posts_Cleaned[[#This Row],[Hashtags Used.2]], Posts_Cleaned[[#This Row],[Hashtags Used.3]])</f>
        <v>#FutureOfDriving</v>
      </c>
    </row>
    <row r="87" spans="1:17" x14ac:dyDescent="0.25">
      <c r="A87" t="s">
        <v>143</v>
      </c>
      <c r="B87" s="1" t="s">
        <v>29</v>
      </c>
      <c r="C87" s="2">
        <v>45684</v>
      </c>
      <c r="D87" s="1" t="s">
        <v>23</v>
      </c>
      <c r="E87" s="1" t="s">
        <v>77</v>
      </c>
      <c r="F87">
        <v>3428</v>
      </c>
      <c r="G87">
        <v>305</v>
      </c>
      <c r="H87">
        <v>85</v>
      </c>
      <c r="I87">
        <v>58276</v>
      </c>
      <c r="J87">
        <v>58052</v>
      </c>
      <c r="K87">
        <v>242</v>
      </c>
      <c r="L87" s="1" t="s">
        <v>36</v>
      </c>
      <c r="M87" s="1" t="s">
        <v>26</v>
      </c>
      <c r="N87" s="1"/>
      <c r="O87" s="1" t="s">
        <v>37</v>
      </c>
      <c r="P87" s="1">
        <f>IFERROR(((Posts_Cleaned[[#This Row],[Likes]]+Posts_Cleaned[[#This Row],[Shares]]+Posts_Cleaned[[#This Row],[Comments]])/Posts_Cleaned[[#This Row],[Impressions]]),0)</f>
        <v>6.5515821264328367E-2</v>
      </c>
      <c r="Q87" s="7" t="str">
        <f>_xlfn.TEXTJOIN(", ", TRUE, Posts_Cleaned[[#This Row],[Hashtags Used.1]], Posts_Cleaned[[#This Row],[Hashtags Used.2]], Posts_Cleaned[[#This Row],[Hashtags Used.3]])</f>
        <v>#EVRevolution, #BetterWithTesla</v>
      </c>
    </row>
    <row r="88" spans="1:17" x14ac:dyDescent="0.25">
      <c r="A88" t="s">
        <v>144</v>
      </c>
      <c r="B88" s="1" t="s">
        <v>16</v>
      </c>
      <c r="C88" s="2">
        <v>45449</v>
      </c>
      <c r="D88" s="1" t="s">
        <v>60</v>
      </c>
      <c r="E88" s="1" t="s">
        <v>99</v>
      </c>
      <c r="F88">
        <v>1436</v>
      </c>
      <c r="G88">
        <v>765</v>
      </c>
      <c r="H88">
        <v>496</v>
      </c>
      <c r="I88">
        <v>12924</v>
      </c>
      <c r="J88">
        <v>12701</v>
      </c>
      <c r="K88">
        <v>197</v>
      </c>
      <c r="L88" s="1" t="s">
        <v>19</v>
      </c>
      <c r="M88" s="1"/>
      <c r="N88" s="1"/>
      <c r="O88" s="1" t="s">
        <v>31</v>
      </c>
      <c r="P88" s="1">
        <f>IFERROR(((Posts_Cleaned[[#This Row],[Likes]]+Posts_Cleaned[[#This Row],[Shares]]+Posts_Cleaned[[#This Row],[Comments]])/Posts_Cleaned[[#This Row],[Impressions]]),0)</f>
        <v>0.20868152274837512</v>
      </c>
      <c r="Q88" s="7" t="str">
        <f>_xlfn.TEXTJOIN(", ", TRUE, Posts_Cleaned[[#This Row],[Hashtags Used.1]], Posts_Cleaned[[#This Row],[Hashtags Used.2]], Posts_Cleaned[[#This Row],[Hashtags Used.3]])</f>
        <v>#FutureOfDriving</v>
      </c>
    </row>
    <row r="89" spans="1:17" x14ac:dyDescent="0.25">
      <c r="A89" t="s">
        <v>145</v>
      </c>
      <c r="B89" s="1" t="s">
        <v>40</v>
      </c>
      <c r="C89" s="2">
        <v>45480</v>
      </c>
      <c r="D89" s="1" t="s">
        <v>34</v>
      </c>
      <c r="E89" s="1" t="s">
        <v>58</v>
      </c>
      <c r="F89">
        <v>302</v>
      </c>
      <c r="G89">
        <v>47</v>
      </c>
      <c r="H89">
        <v>430</v>
      </c>
      <c r="I89">
        <v>5738</v>
      </c>
      <c r="J89">
        <v>4890</v>
      </c>
      <c r="K89">
        <v>25</v>
      </c>
      <c r="L89" s="1" t="s">
        <v>25</v>
      </c>
      <c r="M89" s="1"/>
      <c r="N89" s="1"/>
      <c r="O89" s="1" t="s">
        <v>37</v>
      </c>
      <c r="P89" s="1">
        <f>IFERROR(((Posts_Cleaned[[#This Row],[Likes]]+Posts_Cleaned[[#This Row],[Shares]]+Posts_Cleaned[[#This Row],[Comments]])/Posts_Cleaned[[#This Row],[Impressions]]),0)</f>
        <v>0.13576158940397351</v>
      </c>
      <c r="Q89" s="7" t="str">
        <f>_xlfn.TEXTJOIN(", ", TRUE, Posts_Cleaned[[#This Row],[Hashtags Used.1]], Posts_Cleaned[[#This Row],[Hashtags Used.2]], Posts_Cleaned[[#This Row],[Hashtags Used.3]])</f>
        <v>#TeslaCoInnovation</v>
      </c>
    </row>
    <row r="90" spans="1:17" x14ac:dyDescent="0.25">
      <c r="A90" t="s">
        <v>146</v>
      </c>
      <c r="B90" s="1" t="s">
        <v>16</v>
      </c>
      <c r="C90" s="2">
        <v>45667</v>
      </c>
      <c r="D90" s="1" t="s">
        <v>46</v>
      </c>
      <c r="E90" s="1" t="s">
        <v>92</v>
      </c>
      <c r="F90">
        <v>2214</v>
      </c>
      <c r="G90">
        <v>249</v>
      </c>
      <c r="H90">
        <v>152</v>
      </c>
      <c r="I90">
        <v>15498</v>
      </c>
      <c r="J90">
        <v>14800</v>
      </c>
      <c r="K90">
        <v>180</v>
      </c>
      <c r="L90" s="1" t="s">
        <v>36</v>
      </c>
      <c r="M90" s="1"/>
      <c r="N90" s="1"/>
      <c r="O90" s="1"/>
      <c r="P90" s="1">
        <f>IFERROR(((Posts_Cleaned[[#This Row],[Likes]]+Posts_Cleaned[[#This Row],[Shares]]+Posts_Cleaned[[#This Row],[Comments]])/Posts_Cleaned[[#This Row],[Impressions]]),0)</f>
        <v>0.16873144921925409</v>
      </c>
      <c r="Q90" s="7" t="str">
        <f>_xlfn.TEXTJOIN(", ", TRUE, Posts_Cleaned[[#This Row],[Hashtags Used.1]], Posts_Cleaned[[#This Row],[Hashtags Used.2]], Posts_Cleaned[[#This Row],[Hashtags Used.3]])</f>
        <v>#EVRevolution</v>
      </c>
    </row>
    <row r="91" spans="1:17" x14ac:dyDescent="0.25">
      <c r="A91" t="s">
        <v>147</v>
      </c>
      <c r="B91" s="1" t="s">
        <v>33</v>
      </c>
      <c r="C91" s="2">
        <v>45446</v>
      </c>
      <c r="D91" s="1" t="s">
        <v>46</v>
      </c>
      <c r="E91" s="1" t="s">
        <v>138</v>
      </c>
      <c r="F91">
        <v>3861</v>
      </c>
      <c r="G91">
        <v>960</v>
      </c>
      <c r="H91">
        <v>101</v>
      </c>
      <c r="I91">
        <v>69498</v>
      </c>
      <c r="J91">
        <v>68817</v>
      </c>
      <c r="K91">
        <v>297</v>
      </c>
      <c r="L91" s="1" t="s">
        <v>25</v>
      </c>
      <c r="M91" s="1"/>
      <c r="N91" s="1"/>
      <c r="O91" s="1" t="s">
        <v>37</v>
      </c>
      <c r="P91" s="1">
        <f>IFERROR(((Posts_Cleaned[[#This Row],[Likes]]+Posts_Cleaned[[#This Row],[Shares]]+Posts_Cleaned[[#This Row],[Comments]])/Posts_Cleaned[[#This Row],[Impressions]]),0)</f>
        <v>7.0822181933293038E-2</v>
      </c>
      <c r="Q91" s="7" t="str">
        <f>_xlfn.TEXTJOIN(", ", TRUE, Posts_Cleaned[[#This Row],[Hashtags Used.1]], Posts_Cleaned[[#This Row],[Hashtags Used.2]], Posts_Cleaned[[#This Row],[Hashtags Used.3]])</f>
        <v>#TeslaCoInnovation</v>
      </c>
    </row>
    <row r="92" spans="1:17" x14ac:dyDescent="0.25">
      <c r="A92" t="s">
        <v>148</v>
      </c>
      <c r="B92" s="1" t="s">
        <v>40</v>
      </c>
      <c r="C92" s="2">
        <v>45740</v>
      </c>
      <c r="D92" s="1" t="s">
        <v>46</v>
      </c>
      <c r="E92" s="1" t="s">
        <v>51</v>
      </c>
      <c r="F92">
        <v>1263</v>
      </c>
      <c r="G92">
        <v>397</v>
      </c>
      <c r="H92">
        <v>357</v>
      </c>
      <c r="I92">
        <v>25260</v>
      </c>
      <c r="J92">
        <v>24615</v>
      </c>
      <c r="K92">
        <v>137</v>
      </c>
      <c r="L92" s="1" t="s">
        <v>36</v>
      </c>
      <c r="M92" s="1"/>
      <c r="N92" s="1"/>
      <c r="O92" s="1" t="s">
        <v>37</v>
      </c>
      <c r="P92" s="1">
        <f>IFERROR(((Posts_Cleaned[[#This Row],[Likes]]+Posts_Cleaned[[#This Row],[Shares]]+Posts_Cleaned[[#This Row],[Comments]])/Posts_Cleaned[[#This Row],[Impressions]]),0)</f>
        <v>7.984956452889945E-2</v>
      </c>
      <c r="Q92" s="7" t="str">
        <f>_xlfn.TEXTJOIN(", ", TRUE, Posts_Cleaned[[#This Row],[Hashtags Used.1]], Posts_Cleaned[[#This Row],[Hashtags Used.2]], Posts_Cleaned[[#This Row],[Hashtags Used.3]])</f>
        <v>#EVRevolution</v>
      </c>
    </row>
    <row r="93" spans="1:17" x14ac:dyDescent="0.25">
      <c r="A93" t="s">
        <v>149</v>
      </c>
      <c r="B93" s="1" t="s">
        <v>16</v>
      </c>
      <c r="C93" s="2">
        <v>45586</v>
      </c>
      <c r="D93" s="1" t="s">
        <v>34</v>
      </c>
      <c r="E93" s="1" t="s">
        <v>102</v>
      </c>
      <c r="F93">
        <v>3801</v>
      </c>
      <c r="G93">
        <v>967</v>
      </c>
      <c r="H93">
        <v>401</v>
      </c>
      <c r="I93">
        <v>38010</v>
      </c>
      <c r="J93">
        <v>37625</v>
      </c>
      <c r="K93">
        <v>236</v>
      </c>
      <c r="L93" s="1" t="s">
        <v>19</v>
      </c>
      <c r="M93" s="1"/>
      <c r="N93" s="1"/>
      <c r="O93" s="1" t="s">
        <v>31</v>
      </c>
      <c r="P93" s="1">
        <f>IFERROR(((Posts_Cleaned[[#This Row],[Likes]]+Posts_Cleaned[[#This Row],[Shares]]+Posts_Cleaned[[#This Row],[Comments]])/Posts_Cleaned[[#This Row],[Impressions]]),0)</f>
        <v>0.13599052880820836</v>
      </c>
      <c r="Q93" s="7" t="str">
        <f>_xlfn.TEXTJOIN(", ", TRUE, Posts_Cleaned[[#This Row],[Hashtags Used.1]], Posts_Cleaned[[#This Row],[Hashtags Used.2]], Posts_Cleaned[[#This Row],[Hashtags Used.3]])</f>
        <v>#FutureOfDriving</v>
      </c>
    </row>
    <row r="94" spans="1:17" x14ac:dyDescent="0.25">
      <c r="A94" t="s">
        <v>150</v>
      </c>
      <c r="B94" s="1" t="s">
        <v>33</v>
      </c>
      <c r="C94" s="2">
        <v>45637</v>
      </c>
      <c r="D94" s="1" t="s">
        <v>60</v>
      </c>
      <c r="E94" s="1" t="s">
        <v>67</v>
      </c>
      <c r="F94">
        <v>1431</v>
      </c>
      <c r="G94">
        <v>951</v>
      </c>
      <c r="H94">
        <v>26</v>
      </c>
      <c r="I94">
        <v>8586</v>
      </c>
      <c r="J94">
        <v>8396</v>
      </c>
      <c r="K94">
        <v>150</v>
      </c>
      <c r="L94" s="1" t="s">
        <v>36</v>
      </c>
      <c r="M94" s="1"/>
      <c r="N94" s="1"/>
      <c r="O94" s="1" t="s">
        <v>31</v>
      </c>
      <c r="P94" s="1">
        <f>IFERROR(((Posts_Cleaned[[#This Row],[Likes]]+Posts_Cleaned[[#This Row],[Shares]]+Posts_Cleaned[[#This Row],[Comments]])/Posts_Cleaned[[#This Row],[Impressions]]),0)</f>
        <v>0.28045655718611695</v>
      </c>
      <c r="Q94" s="7" t="str">
        <f>_xlfn.TEXTJOIN(", ", TRUE, Posts_Cleaned[[#This Row],[Hashtags Used.1]], Posts_Cleaned[[#This Row],[Hashtags Used.2]], Posts_Cleaned[[#This Row],[Hashtags Used.3]])</f>
        <v>#EVRevolution</v>
      </c>
    </row>
    <row r="95" spans="1:17" x14ac:dyDescent="0.25">
      <c r="A95" t="s">
        <v>151</v>
      </c>
      <c r="B95" s="1" t="s">
        <v>33</v>
      </c>
      <c r="C95" s="2">
        <v>45603</v>
      </c>
      <c r="D95" s="1" t="s">
        <v>46</v>
      </c>
      <c r="E95" s="1" t="s">
        <v>138</v>
      </c>
      <c r="F95">
        <v>2647</v>
      </c>
      <c r="G95">
        <v>304</v>
      </c>
      <c r="H95">
        <v>170</v>
      </c>
      <c r="I95">
        <v>18529</v>
      </c>
      <c r="J95">
        <v>17841</v>
      </c>
      <c r="K95">
        <v>46</v>
      </c>
      <c r="L95" s="1" t="s">
        <v>19</v>
      </c>
      <c r="M95" s="1"/>
      <c r="N95" s="1"/>
      <c r="O95" s="1" t="s">
        <v>31</v>
      </c>
      <c r="P95" s="1">
        <f>IFERROR(((Posts_Cleaned[[#This Row],[Likes]]+Posts_Cleaned[[#This Row],[Shares]]+Posts_Cleaned[[#This Row],[Comments]])/Posts_Cleaned[[#This Row],[Impressions]]),0)</f>
        <v>0.16843866371633656</v>
      </c>
      <c r="Q95" s="7" t="str">
        <f>_xlfn.TEXTJOIN(", ", TRUE, Posts_Cleaned[[#This Row],[Hashtags Used.1]], Posts_Cleaned[[#This Row],[Hashtags Used.2]], Posts_Cleaned[[#This Row],[Hashtags Used.3]])</f>
        <v>#FutureOfDriving</v>
      </c>
    </row>
    <row r="96" spans="1:17" x14ac:dyDescent="0.25">
      <c r="A96" t="s">
        <v>152</v>
      </c>
      <c r="B96" s="1" t="s">
        <v>33</v>
      </c>
      <c r="C96" s="2">
        <v>45604</v>
      </c>
      <c r="D96" s="1" t="s">
        <v>23</v>
      </c>
      <c r="E96" s="1" t="s">
        <v>82</v>
      </c>
      <c r="F96">
        <v>3182</v>
      </c>
      <c r="G96">
        <v>559</v>
      </c>
      <c r="H96">
        <v>160</v>
      </c>
      <c r="I96">
        <v>57276</v>
      </c>
      <c r="J96">
        <v>56890</v>
      </c>
      <c r="K96">
        <v>163</v>
      </c>
      <c r="L96" s="1" t="s">
        <v>19</v>
      </c>
      <c r="M96" s="1"/>
      <c r="N96" s="1"/>
      <c r="O96" s="1" t="s">
        <v>37</v>
      </c>
      <c r="P96" s="1">
        <f>IFERROR(((Posts_Cleaned[[#This Row],[Likes]]+Posts_Cleaned[[#This Row],[Shares]]+Posts_Cleaned[[#This Row],[Comments]])/Posts_Cleaned[[#This Row],[Impressions]]),0)</f>
        <v>6.8108806480899509E-2</v>
      </c>
      <c r="Q96" s="7" t="str">
        <f>_xlfn.TEXTJOIN(", ", TRUE, Posts_Cleaned[[#This Row],[Hashtags Used.1]], Posts_Cleaned[[#This Row],[Hashtags Used.2]], Posts_Cleaned[[#This Row],[Hashtags Used.3]])</f>
        <v>#FutureOfDriving</v>
      </c>
    </row>
    <row r="97" spans="1:17" x14ac:dyDescent="0.25">
      <c r="A97" t="s">
        <v>153</v>
      </c>
      <c r="B97" s="1" t="s">
        <v>16</v>
      </c>
      <c r="C97" s="2">
        <v>45545</v>
      </c>
      <c r="D97" s="1" t="s">
        <v>46</v>
      </c>
      <c r="E97" s="1" t="s">
        <v>92</v>
      </c>
      <c r="F97">
        <v>1238</v>
      </c>
      <c r="G97">
        <v>366</v>
      </c>
      <c r="H97">
        <v>444</v>
      </c>
      <c r="I97">
        <v>19808</v>
      </c>
      <c r="J97">
        <v>19334</v>
      </c>
      <c r="K97">
        <v>123</v>
      </c>
      <c r="L97" s="1" t="s">
        <v>19</v>
      </c>
      <c r="M97" s="1"/>
      <c r="N97" s="1"/>
      <c r="O97" s="1"/>
      <c r="P97" s="1">
        <f>IFERROR(((Posts_Cleaned[[#This Row],[Likes]]+Posts_Cleaned[[#This Row],[Shares]]+Posts_Cleaned[[#This Row],[Comments]])/Posts_Cleaned[[#This Row],[Impressions]]),0)</f>
        <v>0.10339256865912763</v>
      </c>
      <c r="Q97" s="7" t="str">
        <f>_xlfn.TEXTJOIN(", ", TRUE, Posts_Cleaned[[#This Row],[Hashtags Used.1]], Posts_Cleaned[[#This Row],[Hashtags Used.2]], Posts_Cleaned[[#This Row],[Hashtags Used.3]])</f>
        <v>#FutureOfDriving</v>
      </c>
    </row>
    <row r="98" spans="1:17" x14ac:dyDescent="0.25">
      <c r="A98" t="s">
        <v>154</v>
      </c>
      <c r="B98" s="1" t="s">
        <v>33</v>
      </c>
      <c r="C98" s="2">
        <v>45517</v>
      </c>
      <c r="D98" s="1" t="s">
        <v>46</v>
      </c>
      <c r="E98" s="1" t="s">
        <v>138</v>
      </c>
      <c r="F98">
        <v>4739</v>
      </c>
      <c r="G98">
        <v>527</v>
      </c>
      <c r="H98">
        <v>135</v>
      </c>
      <c r="I98">
        <v>61607</v>
      </c>
      <c r="J98">
        <v>61333</v>
      </c>
      <c r="K98">
        <v>36</v>
      </c>
      <c r="L98" s="1" t="s">
        <v>25</v>
      </c>
      <c r="M98" s="1" t="s">
        <v>20</v>
      </c>
      <c r="N98" s="1"/>
      <c r="O98" s="1" t="s">
        <v>27</v>
      </c>
      <c r="P98" s="1">
        <f>IFERROR(((Posts_Cleaned[[#This Row],[Likes]]+Posts_Cleaned[[#This Row],[Shares]]+Posts_Cleaned[[#This Row],[Comments]])/Posts_Cleaned[[#This Row],[Impressions]]),0)</f>
        <v>8.7668609086629767E-2</v>
      </c>
      <c r="Q98" s="7" t="str">
        <f>_xlfn.TEXTJOIN(", ", TRUE, Posts_Cleaned[[#This Row],[Hashtags Used.1]], Posts_Cleaned[[#This Row],[Hashtags Used.2]], Posts_Cleaned[[#This Row],[Hashtags Used.3]])</f>
        <v>#TeslaCoInnovation, #AnytimeIsTeslaTime</v>
      </c>
    </row>
    <row r="99" spans="1:17" x14ac:dyDescent="0.25">
      <c r="A99" t="s">
        <v>155</v>
      </c>
      <c r="B99" s="1" t="s">
        <v>16</v>
      </c>
      <c r="C99" s="2">
        <v>45453</v>
      </c>
      <c r="D99" s="1" t="s">
        <v>34</v>
      </c>
      <c r="E99" s="1" t="s">
        <v>102</v>
      </c>
      <c r="F99">
        <v>1575</v>
      </c>
      <c r="G99">
        <v>771</v>
      </c>
      <c r="H99">
        <v>486</v>
      </c>
      <c r="I99">
        <v>25200</v>
      </c>
      <c r="J99">
        <v>24826</v>
      </c>
      <c r="K99">
        <v>17</v>
      </c>
      <c r="L99" s="1" t="s">
        <v>19</v>
      </c>
      <c r="M99" s="1"/>
      <c r="N99" s="1"/>
      <c r="O99" s="1" t="s">
        <v>37</v>
      </c>
      <c r="P99" s="1">
        <f>IFERROR(((Posts_Cleaned[[#This Row],[Likes]]+Posts_Cleaned[[#This Row],[Shares]]+Posts_Cleaned[[#This Row],[Comments]])/Posts_Cleaned[[#This Row],[Impressions]]),0)</f>
        <v>0.11238095238095239</v>
      </c>
      <c r="Q99" s="7" t="str">
        <f>_xlfn.TEXTJOIN(", ", TRUE, Posts_Cleaned[[#This Row],[Hashtags Used.1]], Posts_Cleaned[[#This Row],[Hashtags Used.2]], Posts_Cleaned[[#This Row],[Hashtags Used.3]])</f>
        <v>#FutureOfDriving</v>
      </c>
    </row>
    <row r="100" spans="1:17" x14ac:dyDescent="0.25">
      <c r="A100" t="s">
        <v>156</v>
      </c>
      <c r="B100" s="1" t="s">
        <v>29</v>
      </c>
      <c r="C100" s="2">
        <v>45475</v>
      </c>
      <c r="D100" s="1" t="s">
        <v>41</v>
      </c>
      <c r="E100" s="1" t="s">
        <v>56</v>
      </c>
      <c r="F100">
        <v>4171</v>
      </c>
      <c r="G100">
        <v>548</v>
      </c>
      <c r="H100">
        <v>86</v>
      </c>
      <c r="I100">
        <v>66736</v>
      </c>
      <c r="J100">
        <v>66634</v>
      </c>
      <c r="K100">
        <v>173</v>
      </c>
      <c r="L100" s="1" t="s">
        <v>19</v>
      </c>
      <c r="M100" s="1"/>
      <c r="N100" s="1"/>
      <c r="O100" s="1" t="s">
        <v>31</v>
      </c>
      <c r="P100" s="1">
        <f>IFERROR(((Posts_Cleaned[[#This Row],[Likes]]+Posts_Cleaned[[#This Row],[Shares]]+Posts_Cleaned[[#This Row],[Comments]])/Posts_Cleaned[[#This Row],[Impressions]]),0)</f>
        <v>7.2000119875329657E-2</v>
      </c>
      <c r="Q100" s="7" t="str">
        <f>_xlfn.TEXTJOIN(", ", TRUE, Posts_Cleaned[[#This Row],[Hashtags Used.1]], Posts_Cleaned[[#This Row],[Hashtags Used.2]], Posts_Cleaned[[#This Row],[Hashtags Used.3]])</f>
        <v>#FutureOfDriving</v>
      </c>
    </row>
    <row r="101" spans="1:17" x14ac:dyDescent="0.25">
      <c r="A101" t="s">
        <v>157</v>
      </c>
      <c r="B101" s="1" t="s">
        <v>29</v>
      </c>
      <c r="C101" s="2">
        <v>45698</v>
      </c>
      <c r="D101" s="1" t="s">
        <v>60</v>
      </c>
      <c r="E101" s="1" t="s">
        <v>140</v>
      </c>
      <c r="F101">
        <v>1766</v>
      </c>
      <c r="G101">
        <v>92</v>
      </c>
      <c r="H101">
        <v>424</v>
      </c>
      <c r="I101">
        <v>24724</v>
      </c>
      <c r="J101">
        <v>24333</v>
      </c>
      <c r="K101">
        <v>52</v>
      </c>
      <c r="L101" s="1" t="s">
        <v>36</v>
      </c>
      <c r="M101" s="1"/>
      <c r="N101" s="1"/>
      <c r="O101" s="1"/>
      <c r="P101" s="1">
        <f>IFERROR(((Posts_Cleaned[[#This Row],[Likes]]+Posts_Cleaned[[#This Row],[Shares]]+Posts_Cleaned[[#This Row],[Comments]])/Posts_Cleaned[[#This Row],[Impressions]]),0)</f>
        <v>9.2298980747451867E-2</v>
      </c>
      <c r="Q101" s="7" t="str">
        <f>_xlfn.TEXTJOIN(", ", TRUE, Posts_Cleaned[[#This Row],[Hashtags Used.1]], Posts_Cleaned[[#This Row],[Hashtags Used.2]], Posts_Cleaned[[#This Row],[Hashtags Used.3]])</f>
        <v>#EVRevolution</v>
      </c>
    </row>
    <row r="102" spans="1:17" x14ac:dyDescent="0.25">
      <c r="A102" t="s">
        <v>158</v>
      </c>
      <c r="B102" s="1" t="s">
        <v>29</v>
      </c>
      <c r="C102" s="2">
        <v>45583</v>
      </c>
      <c r="D102" s="1" t="s">
        <v>60</v>
      </c>
      <c r="E102" s="1" t="s">
        <v>140</v>
      </c>
      <c r="F102">
        <v>4450</v>
      </c>
      <c r="G102">
        <v>983</v>
      </c>
      <c r="H102">
        <v>143</v>
      </c>
      <c r="I102">
        <v>75650</v>
      </c>
      <c r="J102">
        <v>75008</v>
      </c>
      <c r="K102">
        <v>12</v>
      </c>
      <c r="L102" s="1" t="s">
        <v>19</v>
      </c>
      <c r="M102" s="1"/>
      <c r="N102" s="1"/>
      <c r="O102" s="1" t="s">
        <v>31</v>
      </c>
      <c r="P102" s="1">
        <f>IFERROR(((Posts_Cleaned[[#This Row],[Likes]]+Posts_Cleaned[[#This Row],[Shares]]+Posts_Cleaned[[#This Row],[Comments]])/Posts_Cleaned[[#This Row],[Impressions]]),0)</f>
        <v>7.3707865168539333E-2</v>
      </c>
      <c r="Q102" s="7" t="str">
        <f>_xlfn.TEXTJOIN(", ", TRUE, Posts_Cleaned[[#This Row],[Hashtags Used.1]], Posts_Cleaned[[#This Row],[Hashtags Used.2]], Posts_Cleaned[[#This Row],[Hashtags Used.3]])</f>
        <v>#FutureOfDriving</v>
      </c>
    </row>
    <row r="103" spans="1:17" x14ac:dyDescent="0.25">
      <c r="A103" t="s">
        <v>159</v>
      </c>
      <c r="B103" s="1" t="s">
        <v>16</v>
      </c>
      <c r="C103" s="2">
        <v>45553</v>
      </c>
      <c r="D103" s="1" t="s">
        <v>17</v>
      </c>
      <c r="E103" s="1" t="s">
        <v>18</v>
      </c>
      <c r="F103">
        <v>1000</v>
      </c>
      <c r="G103">
        <v>978</v>
      </c>
      <c r="H103">
        <v>162</v>
      </c>
      <c r="I103">
        <v>6000</v>
      </c>
      <c r="J103">
        <v>5221</v>
      </c>
      <c r="K103">
        <v>223</v>
      </c>
      <c r="L103" s="1" t="s">
        <v>36</v>
      </c>
      <c r="M103" s="1"/>
      <c r="N103" s="1"/>
      <c r="O103" s="1" t="s">
        <v>27</v>
      </c>
      <c r="P103" s="1">
        <f>IFERROR(((Posts_Cleaned[[#This Row],[Likes]]+Posts_Cleaned[[#This Row],[Shares]]+Posts_Cleaned[[#This Row],[Comments]])/Posts_Cleaned[[#This Row],[Impressions]]),0)</f>
        <v>0.35666666666666669</v>
      </c>
      <c r="Q103" s="7" t="str">
        <f>_xlfn.TEXTJOIN(", ", TRUE, Posts_Cleaned[[#This Row],[Hashtags Used.1]], Posts_Cleaned[[#This Row],[Hashtags Used.2]], Posts_Cleaned[[#This Row],[Hashtags Used.3]])</f>
        <v>#EVRevolution</v>
      </c>
    </row>
    <row r="104" spans="1:17" x14ac:dyDescent="0.25">
      <c r="A104" t="s">
        <v>160</v>
      </c>
      <c r="B104" s="1" t="s">
        <v>40</v>
      </c>
      <c r="C104" s="2">
        <v>45454</v>
      </c>
      <c r="D104" s="1" t="s">
        <v>46</v>
      </c>
      <c r="E104" s="1" t="s">
        <v>51</v>
      </c>
      <c r="F104">
        <v>3689</v>
      </c>
      <c r="G104">
        <v>48</v>
      </c>
      <c r="H104">
        <v>306</v>
      </c>
      <c r="I104">
        <v>40579</v>
      </c>
      <c r="J104">
        <v>39588</v>
      </c>
      <c r="K104">
        <v>212</v>
      </c>
      <c r="L104" s="1" t="s">
        <v>36</v>
      </c>
      <c r="M104" s="1"/>
      <c r="N104" s="1"/>
      <c r="O104" s="1" t="s">
        <v>27</v>
      </c>
      <c r="P104" s="1">
        <f>IFERROR(((Posts_Cleaned[[#This Row],[Likes]]+Posts_Cleaned[[#This Row],[Shares]]+Posts_Cleaned[[#This Row],[Comments]])/Posts_Cleaned[[#This Row],[Impressions]]),0)</f>
        <v>9.9632815002833983E-2</v>
      </c>
      <c r="Q104" s="7" t="str">
        <f>_xlfn.TEXTJOIN(", ", TRUE, Posts_Cleaned[[#This Row],[Hashtags Used.1]], Posts_Cleaned[[#This Row],[Hashtags Used.2]], Posts_Cleaned[[#This Row],[Hashtags Used.3]])</f>
        <v>#EVRevolution</v>
      </c>
    </row>
    <row r="105" spans="1:17" x14ac:dyDescent="0.25">
      <c r="A105" t="s">
        <v>161</v>
      </c>
      <c r="B105" s="1" t="s">
        <v>29</v>
      </c>
      <c r="C105" s="2">
        <v>45739</v>
      </c>
      <c r="D105" s="1" t="s">
        <v>34</v>
      </c>
      <c r="E105" s="1" t="s">
        <v>105</v>
      </c>
      <c r="F105">
        <v>3655</v>
      </c>
      <c r="G105">
        <v>568</v>
      </c>
      <c r="H105">
        <v>286</v>
      </c>
      <c r="I105">
        <v>32895</v>
      </c>
      <c r="J105">
        <v>32015</v>
      </c>
      <c r="K105">
        <v>199</v>
      </c>
      <c r="L105" s="1" t="s">
        <v>25</v>
      </c>
      <c r="M105" s="1"/>
      <c r="N105" s="1"/>
      <c r="O105" s="1" t="s">
        <v>31</v>
      </c>
      <c r="P105" s="1">
        <f>IFERROR(((Posts_Cleaned[[#This Row],[Likes]]+Posts_Cleaned[[#This Row],[Shares]]+Posts_Cleaned[[#This Row],[Comments]])/Posts_Cleaned[[#This Row],[Impressions]]),0)</f>
        <v>0.13707250341997265</v>
      </c>
      <c r="Q105" s="7" t="str">
        <f>_xlfn.TEXTJOIN(", ", TRUE, Posts_Cleaned[[#This Row],[Hashtags Used.1]], Posts_Cleaned[[#This Row],[Hashtags Used.2]], Posts_Cleaned[[#This Row],[Hashtags Used.3]])</f>
        <v>#TeslaCoInnovation</v>
      </c>
    </row>
    <row r="106" spans="1:17" x14ac:dyDescent="0.25">
      <c r="A106" t="s">
        <v>162</v>
      </c>
      <c r="B106" s="1" t="s">
        <v>33</v>
      </c>
      <c r="C106" s="2">
        <v>45457</v>
      </c>
      <c r="D106" s="1" t="s">
        <v>41</v>
      </c>
      <c r="E106" s="1" t="s">
        <v>69</v>
      </c>
      <c r="F106">
        <v>498</v>
      </c>
      <c r="G106">
        <v>38</v>
      </c>
      <c r="H106">
        <v>42</v>
      </c>
      <c r="I106">
        <v>4482</v>
      </c>
      <c r="J106">
        <v>3647</v>
      </c>
      <c r="K106">
        <v>32</v>
      </c>
      <c r="L106" s="1" t="s">
        <v>19</v>
      </c>
      <c r="M106" s="1"/>
      <c r="N106" s="1"/>
      <c r="O106" s="1" t="s">
        <v>21</v>
      </c>
      <c r="P106" s="1">
        <f>IFERROR(((Posts_Cleaned[[#This Row],[Likes]]+Posts_Cleaned[[#This Row],[Shares]]+Posts_Cleaned[[#This Row],[Comments]])/Posts_Cleaned[[#This Row],[Impressions]]),0)</f>
        <v>0.12896028558679162</v>
      </c>
      <c r="Q106" s="7" t="str">
        <f>_xlfn.TEXTJOIN(", ", TRUE, Posts_Cleaned[[#This Row],[Hashtags Used.1]], Posts_Cleaned[[#This Row],[Hashtags Used.2]], Posts_Cleaned[[#This Row],[Hashtags Used.3]])</f>
        <v>#FutureOfDriving</v>
      </c>
    </row>
    <row r="107" spans="1:17" x14ac:dyDescent="0.25">
      <c r="A107" t="s">
        <v>163</v>
      </c>
      <c r="B107" s="1" t="s">
        <v>33</v>
      </c>
      <c r="C107" s="2">
        <v>45692</v>
      </c>
      <c r="D107" s="1" t="s">
        <v>46</v>
      </c>
      <c r="E107" s="1" t="s">
        <v>138</v>
      </c>
      <c r="F107">
        <v>4619</v>
      </c>
      <c r="G107">
        <v>821</v>
      </c>
      <c r="H107">
        <v>499</v>
      </c>
      <c r="I107">
        <v>69285</v>
      </c>
      <c r="J107">
        <v>69141</v>
      </c>
      <c r="K107">
        <v>298</v>
      </c>
      <c r="L107" s="1" t="s">
        <v>25</v>
      </c>
      <c r="M107" s="1"/>
      <c r="N107" s="1"/>
      <c r="O107" s="1" t="s">
        <v>37</v>
      </c>
      <c r="P107" s="1">
        <f>IFERROR(((Posts_Cleaned[[#This Row],[Likes]]+Posts_Cleaned[[#This Row],[Shares]]+Posts_Cleaned[[#This Row],[Comments]])/Posts_Cleaned[[#This Row],[Impressions]]),0)</f>
        <v>8.5718409468138843E-2</v>
      </c>
      <c r="Q107" s="7" t="str">
        <f>_xlfn.TEXTJOIN(", ", TRUE, Posts_Cleaned[[#This Row],[Hashtags Used.1]], Posts_Cleaned[[#This Row],[Hashtags Used.2]], Posts_Cleaned[[#This Row],[Hashtags Used.3]])</f>
        <v>#TeslaCoInnovation</v>
      </c>
    </row>
    <row r="108" spans="1:17" x14ac:dyDescent="0.25">
      <c r="A108" t="s">
        <v>164</v>
      </c>
      <c r="B108" s="1" t="s">
        <v>29</v>
      </c>
      <c r="C108" s="2">
        <v>45464</v>
      </c>
      <c r="D108" s="1" t="s">
        <v>46</v>
      </c>
      <c r="E108" s="1" t="s">
        <v>47</v>
      </c>
      <c r="F108">
        <v>4832</v>
      </c>
      <c r="G108">
        <v>893</v>
      </c>
      <c r="H108">
        <v>10</v>
      </c>
      <c r="I108">
        <v>91808</v>
      </c>
      <c r="J108">
        <v>91296</v>
      </c>
      <c r="K108">
        <v>182</v>
      </c>
      <c r="L108" s="1" t="s">
        <v>25</v>
      </c>
      <c r="M108" s="1"/>
      <c r="N108" s="1"/>
      <c r="O108" s="1"/>
      <c r="P108" s="1">
        <f>IFERROR(((Posts_Cleaned[[#This Row],[Likes]]+Posts_Cleaned[[#This Row],[Shares]]+Posts_Cleaned[[#This Row],[Comments]])/Posts_Cleaned[[#This Row],[Impressions]]),0)</f>
        <v>6.2467323109097243E-2</v>
      </c>
      <c r="Q108" s="7" t="str">
        <f>_xlfn.TEXTJOIN(", ", TRUE, Posts_Cleaned[[#This Row],[Hashtags Used.1]], Posts_Cleaned[[#This Row],[Hashtags Used.2]], Posts_Cleaned[[#This Row],[Hashtags Used.3]])</f>
        <v>#TeslaCoInnovation</v>
      </c>
    </row>
    <row r="109" spans="1:17" x14ac:dyDescent="0.25">
      <c r="A109" t="s">
        <v>165</v>
      </c>
      <c r="B109" s="1" t="s">
        <v>16</v>
      </c>
      <c r="C109" s="2">
        <v>45741</v>
      </c>
      <c r="D109" s="1" t="s">
        <v>60</v>
      </c>
      <c r="E109" s="1" t="s">
        <v>99</v>
      </c>
      <c r="F109">
        <v>4050</v>
      </c>
      <c r="G109">
        <v>871</v>
      </c>
      <c r="H109">
        <v>347</v>
      </c>
      <c r="I109">
        <v>52650</v>
      </c>
      <c r="J109">
        <v>51755</v>
      </c>
      <c r="K109">
        <v>209</v>
      </c>
      <c r="L109" s="1" t="s">
        <v>25</v>
      </c>
      <c r="M109" s="1"/>
      <c r="N109" s="1"/>
      <c r="O109" s="1" t="s">
        <v>27</v>
      </c>
      <c r="P109" s="1">
        <f>IFERROR(((Posts_Cleaned[[#This Row],[Likes]]+Posts_Cleaned[[#This Row],[Shares]]+Posts_Cleaned[[#This Row],[Comments]])/Posts_Cleaned[[#This Row],[Impressions]]),0)</f>
        <v>0.10005698005698006</v>
      </c>
      <c r="Q109" s="7" t="str">
        <f>_xlfn.TEXTJOIN(", ", TRUE, Posts_Cleaned[[#This Row],[Hashtags Used.1]], Posts_Cleaned[[#This Row],[Hashtags Used.2]], Posts_Cleaned[[#This Row],[Hashtags Used.3]])</f>
        <v>#TeslaCoInnovation</v>
      </c>
    </row>
    <row r="110" spans="1:17" x14ac:dyDescent="0.25">
      <c r="A110" t="s">
        <v>166</v>
      </c>
      <c r="B110" s="1" t="s">
        <v>16</v>
      </c>
      <c r="C110" s="2">
        <v>45512</v>
      </c>
      <c r="D110" s="1" t="s">
        <v>34</v>
      </c>
      <c r="E110" s="1" t="s">
        <v>102</v>
      </c>
      <c r="F110">
        <v>3649</v>
      </c>
      <c r="G110">
        <v>215</v>
      </c>
      <c r="H110">
        <v>413</v>
      </c>
      <c r="I110">
        <v>25543</v>
      </c>
      <c r="J110">
        <v>24963</v>
      </c>
      <c r="K110">
        <v>167</v>
      </c>
      <c r="L110" s="1" t="s">
        <v>19</v>
      </c>
      <c r="M110" s="1"/>
      <c r="N110" s="1"/>
      <c r="O110" s="1" t="s">
        <v>31</v>
      </c>
      <c r="P110" s="1">
        <f>IFERROR(((Posts_Cleaned[[#This Row],[Likes]]+Posts_Cleaned[[#This Row],[Shares]]+Posts_Cleaned[[#This Row],[Comments]])/Posts_Cleaned[[#This Row],[Impressions]]),0)</f>
        <v>0.16744313510550835</v>
      </c>
      <c r="Q110" s="7" t="str">
        <f>_xlfn.TEXTJOIN(", ", TRUE, Posts_Cleaned[[#This Row],[Hashtags Used.1]], Posts_Cleaned[[#This Row],[Hashtags Used.2]], Posts_Cleaned[[#This Row],[Hashtags Used.3]])</f>
        <v>#FutureOfDriving</v>
      </c>
    </row>
    <row r="111" spans="1:17" x14ac:dyDescent="0.25">
      <c r="A111" t="s">
        <v>167</v>
      </c>
      <c r="B111" s="1" t="s">
        <v>33</v>
      </c>
      <c r="C111" s="2">
        <v>45502</v>
      </c>
      <c r="D111" s="1" t="s">
        <v>17</v>
      </c>
      <c r="E111" s="1" t="s">
        <v>65</v>
      </c>
      <c r="F111">
        <v>3523</v>
      </c>
      <c r="G111">
        <v>753</v>
      </c>
      <c r="H111">
        <v>482</v>
      </c>
      <c r="I111">
        <v>38753</v>
      </c>
      <c r="J111">
        <v>38579</v>
      </c>
      <c r="K111">
        <v>270</v>
      </c>
      <c r="L111" s="1" t="s">
        <v>36</v>
      </c>
      <c r="M111" s="1"/>
      <c r="N111" s="1"/>
      <c r="O111" s="1" t="s">
        <v>27</v>
      </c>
      <c r="P111" s="1">
        <f>IFERROR(((Posts_Cleaned[[#This Row],[Likes]]+Posts_Cleaned[[#This Row],[Shares]]+Posts_Cleaned[[#This Row],[Comments]])/Posts_Cleaned[[#This Row],[Impressions]]),0)</f>
        <v>0.12277759141227776</v>
      </c>
      <c r="Q111" s="7" t="str">
        <f>_xlfn.TEXTJOIN(", ", TRUE, Posts_Cleaned[[#This Row],[Hashtags Used.1]], Posts_Cleaned[[#This Row],[Hashtags Used.2]], Posts_Cleaned[[#This Row],[Hashtags Used.3]])</f>
        <v>#EVRevolution</v>
      </c>
    </row>
    <row r="112" spans="1:17" x14ac:dyDescent="0.25">
      <c r="A112" t="s">
        <v>168</v>
      </c>
      <c r="B112" s="1" t="s">
        <v>29</v>
      </c>
      <c r="C112" s="2">
        <v>45619</v>
      </c>
      <c r="D112" s="1" t="s">
        <v>46</v>
      </c>
      <c r="E112" s="1" t="s">
        <v>47</v>
      </c>
      <c r="F112">
        <v>2719</v>
      </c>
      <c r="G112">
        <v>17</v>
      </c>
      <c r="H112">
        <v>285</v>
      </c>
      <c r="I112">
        <v>40785</v>
      </c>
      <c r="J112">
        <v>40281</v>
      </c>
      <c r="K112">
        <v>40</v>
      </c>
      <c r="L112" s="1" t="s">
        <v>25</v>
      </c>
      <c r="M112" s="1"/>
      <c r="N112" s="1"/>
      <c r="O112" s="1" t="s">
        <v>27</v>
      </c>
      <c r="P112" s="1">
        <f>IFERROR(((Posts_Cleaned[[#This Row],[Likes]]+Posts_Cleaned[[#This Row],[Shares]]+Posts_Cleaned[[#This Row],[Comments]])/Posts_Cleaned[[#This Row],[Impressions]]),0)</f>
        <v>7.4071349760941527E-2</v>
      </c>
      <c r="Q112" s="7" t="str">
        <f>_xlfn.TEXTJOIN(", ", TRUE, Posts_Cleaned[[#This Row],[Hashtags Used.1]], Posts_Cleaned[[#This Row],[Hashtags Used.2]], Posts_Cleaned[[#This Row],[Hashtags Used.3]])</f>
        <v>#TeslaCoInnovation</v>
      </c>
    </row>
    <row r="113" spans="1:17" x14ac:dyDescent="0.25">
      <c r="A113" t="s">
        <v>169</v>
      </c>
      <c r="B113" s="1" t="s">
        <v>16</v>
      </c>
      <c r="C113" s="2">
        <v>45570</v>
      </c>
      <c r="D113" s="1" t="s">
        <v>34</v>
      </c>
      <c r="E113" s="1" t="s">
        <v>102</v>
      </c>
      <c r="F113">
        <v>1957</v>
      </c>
      <c r="G113">
        <v>877</v>
      </c>
      <c r="H113">
        <v>238</v>
      </c>
      <c r="I113">
        <v>17613</v>
      </c>
      <c r="J113">
        <v>16865</v>
      </c>
      <c r="K113">
        <v>297</v>
      </c>
      <c r="L113" s="1" t="s">
        <v>19</v>
      </c>
      <c r="M113" s="1"/>
      <c r="N113" s="1"/>
      <c r="O113" s="1" t="s">
        <v>31</v>
      </c>
      <c r="P113" s="1">
        <f>IFERROR(((Posts_Cleaned[[#This Row],[Likes]]+Posts_Cleaned[[#This Row],[Shares]]+Posts_Cleaned[[#This Row],[Comments]])/Posts_Cleaned[[#This Row],[Impressions]]),0)</f>
        <v>0.17441662408448305</v>
      </c>
      <c r="Q113" s="7" t="str">
        <f>_xlfn.TEXTJOIN(", ", TRUE, Posts_Cleaned[[#This Row],[Hashtags Used.1]], Posts_Cleaned[[#This Row],[Hashtags Used.2]], Posts_Cleaned[[#This Row],[Hashtags Used.3]])</f>
        <v>#FutureOfDriving</v>
      </c>
    </row>
    <row r="114" spans="1:17" x14ac:dyDescent="0.25">
      <c r="A114" t="s">
        <v>170</v>
      </c>
      <c r="B114" s="1" t="s">
        <v>16</v>
      </c>
      <c r="C114" s="2">
        <v>45567</v>
      </c>
      <c r="D114" s="1" t="s">
        <v>41</v>
      </c>
      <c r="E114" s="1" t="s">
        <v>44</v>
      </c>
      <c r="F114">
        <v>4419</v>
      </c>
      <c r="G114">
        <v>236</v>
      </c>
      <c r="H114">
        <v>369</v>
      </c>
      <c r="I114">
        <v>44190</v>
      </c>
      <c r="J114">
        <v>43582</v>
      </c>
      <c r="K114">
        <v>10</v>
      </c>
      <c r="L114" s="1" t="s">
        <v>36</v>
      </c>
      <c r="M114" s="1"/>
      <c r="N114" s="1"/>
      <c r="O114" s="1" t="s">
        <v>21</v>
      </c>
      <c r="P114" s="1">
        <f>IFERROR(((Posts_Cleaned[[#This Row],[Likes]]+Posts_Cleaned[[#This Row],[Shares]]+Posts_Cleaned[[#This Row],[Comments]])/Posts_Cleaned[[#This Row],[Impressions]]),0)</f>
        <v>0.11369088028965829</v>
      </c>
      <c r="Q114" s="7" t="str">
        <f>_xlfn.TEXTJOIN(", ", TRUE, Posts_Cleaned[[#This Row],[Hashtags Used.1]], Posts_Cleaned[[#This Row],[Hashtags Used.2]], Posts_Cleaned[[#This Row],[Hashtags Used.3]])</f>
        <v>#EVRevolution</v>
      </c>
    </row>
    <row r="115" spans="1:17" x14ac:dyDescent="0.25">
      <c r="A115" t="s">
        <v>171</v>
      </c>
      <c r="B115" s="1" t="s">
        <v>16</v>
      </c>
      <c r="C115" s="2">
        <v>45610</v>
      </c>
      <c r="D115" s="1" t="s">
        <v>34</v>
      </c>
      <c r="E115" s="1" t="s">
        <v>102</v>
      </c>
      <c r="F115">
        <v>4000</v>
      </c>
      <c r="G115">
        <v>689</v>
      </c>
      <c r="H115">
        <v>488</v>
      </c>
      <c r="I115">
        <v>40000</v>
      </c>
      <c r="J115">
        <v>39569</v>
      </c>
      <c r="K115">
        <v>44</v>
      </c>
      <c r="L115" s="1" t="s">
        <v>19</v>
      </c>
      <c r="M115" s="1"/>
      <c r="N115" s="1"/>
      <c r="O115" s="1" t="s">
        <v>21</v>
      </c>
      <c r="P115" s="1">
        <f>IFERROR(((Posts_Cleaned[[#This Row],[Likes]]+Posts_Cleaned[[#This Row],[Shares]]+Posts_Cleaned[[#This Row],[Comments]])/Posts_Cleaned[[#This Row],[Impressions]]),0)</f>
        <v>0.12942500000000001</v>
      </c>
      <c r="Q115" s="7" t="str">
        <f>_xlfn.TEXTJOIN(", ", TRUE, Posts_Cleaned[[#This Row],[Hashtags Used.1]], Posts_Cleaned[[#This Row],[Hashtags Used.2]], Posts_Cleaned[[#This Row],[Hashtags Used.3]])</f>
        <v>#FutureOfDriving</v>
      </c>
    </row>
    <row r="116" spans="1:17" x14ac:dyDescent="0.25">
      <c r="A116" t="s">
        <v>172</v>
      </c>
      <c r="B116" s="1" t="s">
        <v>16</v>
      </c>
      <c r="C116" s="2">
        <v>45788</v>
      </c>
      <c r="D116" s="1" t="s">
        <v>46</v>
      </c>
      <c r="E116" s="1" t="s">
        <v>92</v>
      </c>
      <c r="F116">
        <v>2493</v>
      </c>
      <c r="G116">
        <v>97</v>
      </c>
      <c r="H116">
        <v>44</v>
      </c>
      <c r="I116">
        <v>42381</v>
      </c>
      <c r="J116">
        <v>41991</v>
      </c>
      <c r="K116">
        <v>242</v>
      </c>
      <c r="L116" s="1" t="s">
        <v>25</v>
      </c>
      <c r="M116" s="1" t="s">
        <v>20</v>
      </c>
      <c r="N116" s="1"/>
      <c r="O116" s="1" t="s">
        <v>37</v>
      </c>
      <c r="P116" s="1">
        <f>IFERROR(((Posts_Cleaned[[#This Row],[Likes]]+Posts_Cleaned[[#This Row],[Shares]]+Posts_Cleaned[[#This Row],[Comments]])/Posts_Cleaned[[#This Row],[Impressions]]),0)</f>
        <v>6.2150491965739366E-2</v>
      </c>
      <c r="Q116" s="7" t="str">
        <f>_xlfn.TEXTJOIN(", ", TRUE, Posts_Cleaned[[#This Row],[Hashtags Used.1]], Posts_Cleaned[[#This Row],[Hashtags Used.2]], Posts_Cleaned[[#This Row],[Hashtags Used.3]])</f>
        <v>#TeslaCoInnovation, #AnytimeIsTeslaTime</v>
      </c>
    </row>
    <row r="117" spans="1:17" x14ac:dyDescent="0.25">
      <c r="A117" t="s">
        <v>173</v>
      </c>
      <c r="B117" s="1" t="s">
        <v>29</v>
      </c>
      <c r="C117" s="2">
        <v>45734</v>
      </c>
      <c r="D117" s="1" t="s">
        <v>17</v>
      </c>
      <c r="E117" s="1" t="s">
        <v>30</v>
      </c>
      <c r="F117">
        <v>3704</v>
      </c>
      <c r="G117">
        <v>186</v>
      </c>
      <c r="H117">
        <v>458</v>
      </c>
      <c r="I117">
        <v>25928</v>
      </c>
      <c r="J117">
        <v>25081</v>
      </c>
      <c r="K117">
        <v>131</v>
      </c>
      <c r="L117" s="1" t="s">
        <v>25</v>
      </c>
      <c r="M117" s="1"/>
      <c r="N117" s="1"/>
      <c r="O117" s="1"/>
      <c r="P117" s="1">
        <f>IFERROR(((Posts_Cleaned[[#This Row],[Likes]]+Posts_Cleaned[[#This Row],[Shares]]+Posts_Cleaned[[#This Row],[Comments]])/Posts_Cleaned[[#This Row],[Impressions]]),0)</f>
        <v>0.16769515581610614</v>
      </c>
      <c r="Q117" s="7" t="str">
        <f>_xlfn.TEXTJOIN(", ", TRUE, Posts_Cleaned[[#This Row],[Hashtags Used.1]], Posts_Cleaned[[#This Row],[Hashtags Used.2]], Posts_Cleaned[[#This Row],[Hashtags Used.3]])</f>
        <v>#TeslaCoInnovation</v>
      </c>
    </row>
    <row r="118" spans="1:17" x14ac:dyDescent="0.25">
      <c r="A118" t="s">
        <v>174</v>
      </c>
      <c r="B118" s="1" t="s">
        <v>16</v>
      </c>
      <c r="C118" s="2">
        <v>45600</v>
      </c>
      <c r="D118" s="1" t="s">
        <v>46</v>
      </c>
      <c r="E118" s="1" t="s">
        <v>92</v>
      </c>
      <c r="F118">
        <v>1606</v>
      </c>
      <c r="G118">
        <v>451</v>
      </c>
      <c r="H118">
        <v>405</v>
      </c>
      <c r="I118">
        <v>20878</v>
      </c>
      <c r="J118">
        <v>20190</v>
      </c>
      <c r="K118">
        <v>219</v>
      </c>
      <c r="L118" s="1" t="s">
        <v>36</v>
      </c>
      <c r="M118" s="1"/>
      <c r="N118" s="1"/>
      <c r="O118" s="1" t="s">
        <v>37</v>
      </c>
      <c r="P118" s="1">
        <f>IFERROR(((Posts_Cleaned[[#This Row],[Likes]]+Posts_Cleaned[[#This Row],[Shares]]+Posts_Cleaned[[#This Row],[Comments]])/Posts_Cleaned[[#This Row],[Impressions]]),0)</f>
        <v>0.11792317271769326</v>
      </c>
      <c r="Q118" s="7" t="str">
        <f>_xlfn.TEXTJOIN(", ", TRUE, Posts_Cleaned[[#This Row],[Hashtags Used.1]], Posts_Cleaned[[#This Row],[Hashtags Used.2]], Posts_Cleaned[[#This Row],[Hashtags Used.3]])</f>
        <v>#EVRevolution</v>
      </c>
    </row>
    <row r="119" spans="1:17" x14ac:dyDescent="0.25">
      <c r="A119" t="s">
        <v>175</v>
      </c>
      <c r="B119" s="1" t="s">
        <v>40</v>
      </c>
      <c r="C119" s="2">
        <v>45600</v>
      </c>
      <c r="D119" s="1" t="s">
        <v>46</v>
      </c>
      <c r="E119" s="1" t="s">
        <v>51</v>
      </c>
      <c r="F119">
        <v>4551</v>
      </c>
      <c r="G119">
        <v>714</v>
      </c>
      <c r="H119">
        <v>207</v>
      </c>
      <c r="I119">
        <v>68265</v>
      </c>
      <c r="J119">
        <v>67754</v>
      </c>
      <c r="K119">
        <v>57</v>
      </c>
      <c r="L119" s="1" t="s">
        <v>19</v>
      </c>
      <c r="M119" s="1"/>
      <c r="N119" s="1"/>
      <c r="O119" s="1" t="s">
        <v>31</v>
      </c>
      <c r="P119" s="1">
        <f>IFERROR(((Posts_Cleaned[[#This Row],[Likes]]+Posts_Cleaned[[#This Row],[Shares]]+Posts_Cleaned[[#This Row],[Comments]])/Posts_Cleaned[[#This Row],[Impressions]]),0)</f>
        <v>8.0158206987475278E-2</v>
      </c>
      <c r="Q119" s="7" t="str">
        <f>_xlfn.TEXTJOIN(", ", TRUE, Posts_Cleaned[[#This Row],[Hashtags Used.1]], Posts_Cleaned[[#This Row],[Hashtags Used.2]], Posts_Cleaned[[#This Row],[Hashtags Used.3]])</f>
        <v>#FutureOfDriving</v>
      </c>
    </row>
    <row r="120" spans="1:17" x14ac:dyDescent="0.25">
      <c r="A120" t="s">
        <v>176</v>
      </c>
      <c r="B120" s="1" t="s">
        <v>33</v>
      </c>
      <c r="C120" s="2">
        <v>45695</v>
      </c>
      <c r="D120" s="1" t="s">
        <v>17</v>
      </c>
      <c r="E120" s="1" t="s">
        <v>65</v>
      </c>
      <c r="F120">
        <v>1970</v>
      </c>
      <c r="G120">
        <v>675</v>
      </c>
      <c r="H120">
        <v>478</v>
      </c>
      <c r="I120">
        <v>9850</v>
      </c>
      <c r="J120">
        <v>8924</v>
      </c>
      <c r="K120">
        <v>117</v>
      </c>
      <c r="L120" s="1" t="s">
        <v>19</v>
      </c>
      <c r="M120" s="1"/>
      <c r="N120" s="1"/>
      <c r="O120" s="1"/>
      <c r="P120" s="1">
        <f>IFERROR(((Posts_Cleaned[[#This Row],[Likes]]+Posts_Cleaned[[#This Row],[Shares]]+Posts_Cleaned[[#This Row],[Comments]])/Posts_Cleaned[[#This Row],[Impressions]]),0)</f>
        <v>0.31705583756345179</v>
      </c>
      <c r="Q120" s="7" t="str">
        <f>_xlfn.TEXTJOIN(", ", TRUE, Posts_Cleaned[[#This Row],[Hashtags Used.1]], Posts_Cleaned[[#This Row],[Hashtags Used.2]], Posts_Cleaned[[#This Row],[Hashtags Used.3]])</f>
        <v>#FutureOfDriving</v>
      </c>
    </row>
    <row r="121" spans="1:17" x14ac:dyDescent="0.25">
      <c r="A121" t="s">
        <v>177</v>
      </c>
      <c r="B121" s="1" t="s">
        <v>40</v>
      </c>
      <c r="C121" s="2">
        <v>45586</v>
      </c>
      <c r="D121" s="1" t="s">
        <v>34</v>
      </c>
      <c r="E121" s="1" t="s">
        <v>58</v>
      </c>
      <c r="F121">
        <v>780</v>
      </c>
      <c r="G121">
        <v>928</v>
      </c>
      <c r="H121">
        <v>301</v>
      </c>
      <c r="I121">
        <v>8580</v>
      </c>
      <c r="J121">
        <v>8081</v>
      </c>
      <c r="K121">
        <v>91</v>
      </c>
      <c r="L121" s="1" t="s">
        <v>36</v>
      </c>
      <c r="M121" s="1"/>
      <c r="N121" s="1"/>
      <c r="O121" s="1" t="s">
        <v>31</v>
      </c>
      <c r="P121" s="1">
        <f>IFERROR(((Posts_Cleaned[[#This Row],[Likes]]+Posts_Cleaned[[#This Row],[Shares]]+Posts_Cleaned[[#This Row],[Comments]])/Posts_Cleaned[[#This Row],[Impressions]]),0)</f>
        <v>0.23414918414918415</v>
      </c>
      <c r="Q121" s="7" t="str">
        <f>_xlfn.TEXTJOIN(", ", TRUE, Posts_Cleaned[[#This Row],[Hashtags Used.1]], Posts_Cleaned[[#This Row],[Hashtags Used.2]], Posts_Cleaned[[#This Row],[Hashtags Used.3]])</f>
        <v>#EVRevolution</v>
      </c>
    </row>
    <row r="122" spans="1:17" x14ac:dyDescent="0.25">
      <c r="A122" t="s">
        <v>178</v>
      </c>
      <c r="B122" s="1" t="s">
        <v>33</v>
      </c>
      <c r="C122" s="2">
        <v>45502</v>
      </c>
      <c r="D122" s="1" t="s">
        <v>34</v>
      </c>
      <c r="E122" s="1" t="s">
        <v>35</v>
      </c>
      <c r="F122">
        <v>498</v>
      </c>
      <c r="G122">
        <v>701</v>
      </c>
      <c r="H122">
        <v>412</v>
      </c>
      <c r="I122">
        <v>4980</v>
      </c>
      <c r="J122">
        <v>4185</v>
      </c>
      <c r="K122">
        <v>185</v>
      </c>
      <c r="L122" s="1" t="s">
        <v>19</v>
      </c>
      <c r="M122" s="1"/>
      <c r="N122" s="1"/>
      <c r="O122" s="1"/>
      <c r="P122" s="1">
        <f>IFERROR(((Posts_Cleaned[[#This Row],[Likes]]+Posts_Cleaned[[#This Row],[Shares]]+Posts_Cleaned[[#This Row],[Comments]])/Posts_Cleaned[[#This Row],[Impressions]]),0)</f>
        <v>0.32349397590361445</v>
      </c>
      <c r="Q122" s="7" t="str">
        <f>_xlfn.TEXTJOIN(", ", TRUE, Posts_Cleaned[[#This Row],[Hashtags Used.1]], Posts_Cleaned[[#This Row],[Hashtags Used.2]], Posts_Cleaned[[#This Row],[Hashtags Used.3]])</f>
        <v>#FutureOfDriving</v>
      </c>
    </row>
    <row r="123" spans="1:17" x14ac:dyDescent="0.25">
      <c r="A123" t="s">
        <v>179</v>
      </c>
      <c r="B123" s="1" t="s">
        <v>33</v>
      </c>
      <c r="C123" s="2">
        <v>45567</v>
      </c>
      <c r="D123" s="1" t="s">
        <v>23</v>
      </c>
      <c r="E123" s="1" t="s">
        <v>82</v>
      </c>
      <c r="F123">
        <v>3432</v>
      </c>
      <c r="G123">
        <v>869</v>
      </c>
      <c r="H123">
        <v>123</v>
      </c>
      <c r="I123">
        <v>54912</v>
      </c>
      <c r="J123">
        <v>53916</v>
      </c>
      <c r="K123">
        <v>264</v>
      </c>
      <c r="L123" s="1" t="s">
        <v>36</v>
      </c>
      <c r="M123" s="1"/>
      <c r="N123" s="1"/>
      <c r="O123" s="1" t="s">
        <v>27</v>
      </c>
      <c r="P123" s="1">
        <f>IFERROR(((Posts_Cleaned[[#This Row],[Likes]]+Posts_Cleaned[[#This Row],[Shares]]+Posts_Cleaned[[#This Row],[Comments]])/Posts_Cleaned[[#This Row],[Impressions]]),0)</f>
        <v>8.0565268065268064E-2</v>
      </c>
      <c r="Q123" s="7" t="str">
        <f>_xlfn.TEXTJOIN(", ", TRUE, Posts_Cleaned[[#This Row],[Hashtags Used.1]], Posts_Cleaned[[#This Row],[Hashtags Used.2]], Posts_Cleaned[[#This Row],[Hashtags Used.3]])</f>
        <v>#EVRevolution</v>
      </c>
    </row>
    <row r="124" spans="1:17" x14ac:dyDescent="0.25">
      <c r="A124" t="s">
        <v>180</v>
      </c>
      <c r="B124" s="1" t="s">
        <v>33</v>
      </c>
      <c r="C124" s="2">
        <v>45457</v>
      </c>
      <c r="D124" s="1" t="s">
        <v>34</v>
      </c>
      <c r="E124" s="1" t="s">
        <v>35</v>
      </c>
      <c r="F124">
        <v>4363</v>
      </c>
      <c r="G124">
        <v>649</v>
      </c>
      <c r="H124">
        <v>140</v>
      </c>
      <c r="I124">
        <v>21815</v>
      </c>
      <c r="J124">
        <v>21481</v>
      </c>
      <c r="K124">
        <v>157</v>
      </c>
      <c r="L124" s="1" t="s">
        <v>36</v>
      </c>
      <c r="M124" s="1"/>
      <c r="N124" s="1"/>
      <c r="O124" s="1" t="s">
        <v>21</v>
      </c>
      <c r="P124" s="1">
        <f>IFERROR(((Posts_Cleaned[[#This Row],[Likes]]+Posts_Cleaned[[#This Row],[Shares]]+Posts_Cleaned[[#This Row],[Comments]])/Posts_Cleaned[[#This Row],[Impressions]]),0)</f>
        <v>0.23616777446710979</v>
      </c>
      <c r="Q124" s="7" t="str">
        <f>_xlfn.TEXTJOIN(", ", TRUE, Posts_Cleaned[[#This Row],[Hashtags Used.1]], Posts_Cleaned[[#This Row],[Hashtags Used.2]], Posts_Cleaned[[#This Row],[Hashtags Used.3]])</f>
        <v>#EVRevolution</v>
      </c>
    </row>
    <row r="125" spans="1:17" x14ac:dyDescent="0.25">
      <c r="A125" t="s">
        <v>181</v>
      </c>
      <c r="B125" s="1" t="s">
        <v>29</v>
      </c>
      <c r="C125" s="2">
        <v>45753</v>
      </c>
      <c r="D125" s="1" t="s">
        <v>41</v>
      </c>
      <c r="E125" s="1" t="s">
        <v>56</v>
      </c>
      <c r="F125">
        <v>736</v>
      </c>
      <c r="G125">
        <v>771</v>
      </c>
      <c r="H125">
        <v>225</v>
      </c>
      <c r="I125">
        <v>5152</v>
      </c>
      <c r="J125">
        <v>4706</v>
      </c>
      <c r="K125">
        <v>19</v>
      </c>
      <c r="L125" s="1" t="s">
        <v>36</v>
      </c>
      <c r="M125" s="1"/>
      <c r="N125" s="1"/>
      <c r="O125" s="1" t="s">
        <v>21</v>
      </c>
      <c r="P125" s="1">
        <f>IFERROR(((Posts_Cleaned[[#This Row],[Likes]]+Posts_Cleaned[[#This Row],[Shares]]+Posts_Cleaned[[#This Row],[Comments]])/Posts_Cleaned[[#This Row],[Impressions]]),0)</f>
        <v>0.33618012422360249</v>
      </c>
      <c r="Q125" s="7" t="str">
        <f>_xlfn.TEXTJOIN(", ", TRUE, Posts_Cleaned[[#This Row],[Hashtags Used.1]], Posts_Cleaned[[#This Row],[Hashtags Used.2]], Posts_Cleaned[[#This Row],[Hashtags Used.3]])</f>
        <v>#EVRevolution</v>
      </c>
    </row>
    <row r="126" spans="1:17" x14ac:dyDescent="0.25">
      <c r="A126" t="s">
        <v>182</v>
      </c>
      <c r="B126" s="1" t="s">
        <v>16</v>
      </c>
      <c r="C126" s="2">
        <v>45543</v>
      </c>
      <c r="D126" s="1" t="s">
        <v>41</v>
      </c>
      <c r="E126" s="1" t="s">
        <v>44</v>
      </c>
      <c r="F126">
        <v>3811</v>
      </c>
      <c r="G126">
        <v>866</v>
      </c>
      <c r="H126">
        <v>216</v>
      </c>
      <c r="I126">
        <v>34299</v>
      </c>
      <c r="J126">
        <v>34088</v>
      </c>
      <c r="K126">
        <v>233</v>
      </c>
      <c r="L126" s="1" t="s">
        <v>25</v>
      </c>
      <c r="M126" s="1"/>
      <c r="N126" s="1"/>
      <c r="O126" s="1" t="s">
        <v>37</v>
      </c>
      <c r="P126" s="1">
        <f>IFERROR(((Posts_Cleaned[[#This Row],[Likes]]+Posts_Cleaned[[#This Row],[Shares]]+Posts_Cleaned[[#This Row],[Comments]])/Posts_Cleaned[[#This Row],[Impressions]]),0)</f>
        <v>0.14265722032712325</v>
      </c>
      <c r="Q126" s="7" t="str">
        <f>_xlfn.TEXTJOIN(", ", TRUE, Posts_Cleaned[[#This Row],[Hashtags Used.1]], Posts_Cleaned[[#This Row],[Hashtags Used.2]], Posts_Cleaned[[#This Row],[Hashtags Used.3]])</f>
        <v>#TeslaCoInnovation</v>
      </c>
    </row>
    <row r="127" spans="1:17" x14ac:dyDescent="0.25">
      <c r="A127" t="s">
        <v>183</v>
      </c>
      <c r="B127" s="1" t="s">
        <v>33</v>
      </c>
      <c r="C127" s="2">
        <v>45744</v>
      </c>
      <c r="D127" s="1" t="s">
        <v>41</v>
      </c>
      <c r="E127" s="1" t="s">
        <v>69</v>
      </c>
      <c r="F127">
        <v>4158</v>
      </c>
      <c r="G127">
        <v>167</v>
      </c>
      <c r="H127">
        <v>241</v>
      </c>
      <c r="I127">
        <v>45738</v>
      </c>
      <c r="J127">
        <v>45183</v>
      </c>
      <c r="K127">
        <v>142</v>
      </c>
      <c r="L127" s="1" t="s">
        <v>19</v>
      </c>
      <c r="M127" s="1"/>
      <c r="N127" s="1"/>
      <c r="O127" s="1"/>
      <c r="P127" s="1">
        <f>IFERROR(((Posts_Cleaned[[#This Row],[Likes]]+Posts_Cleaned[[#This Row],[Shares]]+Posts_Cleaned[[#This Row],[Comments]])/Posts_Cleaned[[#This Row],[Impressions]]),0)</f>
        <v>9.9829463465827106E-2</v>
      </c>
      <c r="Q127" s="7" t="str">
        <f>_xlfn.TEXTJOIN(", ", TRUE, Posts_Cleaned[[#This Row],[Hashtags Used.1]], Posts_Cleaned[[#This Row],[Hashtags Used.2]], Posts_Cleaned[[#This Row],[Hashtags Used.3]])</f>
        <v>#FutureOfDriving</v>
      </c>
    </row>
    <row r="128" spans="1:17" x14ac:dyDescent="0.25">
      <c r="A128" t="s">
        <v>184</v>
      </c>
      <c r="B128" s="1" t="s">
        <v>40</v>
      </c>
      <c r="C128" s="2">
        <v>45684</v>
      </c>
      <c r="D128" s="1" t="s">
        <v>17</v>
      </c>
      <c r="E128" s="1" t="s">
        <v>54</v>
      </c>
      <c r="F128">
        <v>3452</v>
      </c>
      <c r="G128">
        <v>652</v>
      </c>
      <c r="H128">
        <v>442</v>
      </c>
      <c r="I128">
        <v>65588</v>
      </c>
      <c r="J128">
        <v>65049</v>
      </c>
      <c r="K128">
        <v>158</v>
      </c>
      <c r="L128" s="1" t="s">
        <v>19</v>
      </c>
      <c r="M128" s="1"/>
      <c r="N128" s="1"/>
      <c r="O128" s="1" t="s">
        <v>31</v>
      </c>
      <c r="P128" s="1">
        <f>IFERROR(((Posts_Cleaned[[#This Row],[Likes]]+Posts_Cleaned[[#This Row],[Shares]]+Posts_Cleaned[[#This Row],[Comments]])/Posts_Cleaned[[#This Row],[Impressions]]),0)</f>
        <v>6.9311459413307311E-2</v>
      </c>
      <c r="Q128" s="7" t="str">
        <f>_xlfn.TEXTJOIN(", ", TRUE, Posts_Cleaned[[#This Row],[Hashtags Used.1]], Posts_Cleaned[[#This Row],[Hashtags Used.2]], Posts_Cleaned[[#This Row],[Hashtags Used.3]])</f>
        <v>#FutureOfDriving</v>
      </c>
    </row>
    <row r="129" spans="1:17" x14ac:dyDescent="0.25">
      <c r="A129" t="s">
        <v>185</v>
      </c>
      <c r="B129" s="1" t="s">
        <v>16</v>
      </c>
      <c r="C129" s="2">
        <v>45667</v>
      </c>
      <c r="D129" s="1" t="s">
        <v>46</v>
      </c>
      <c r="E129" s="1" t="s">
        <v>92</v>
      </c>
      <c r="F129">
        <v>3092</v>
      </c>
      <c r="G129">
        <v>106</v>
      </c>
      <c r="H129">
        <v>291</v>
      </c>
      <c r="I129">
        <v>27828</v>
      </c>
      <c r="J129">
        <v>27217</v>
      </c>
      <c r="K129">
        <v>102</v>
      </c>
      <c r="L129" s="1" t="s">
        <v>19</v>
      </c>
      <c r="M129" s="1"/>
      <c r="N129" s="1"/>
      <c r="O129" s="1"/>
      <c r="P129" s="1">
        <f>IFERROR(((Posts_Cleaned[[#This Row],[Likes]]+Posts_Cleaned[[#This Row],[Shares]]+Posts_Cleaned[[#This Row],[Comments]])/Posts_Cleaned[[#This Row],[Impressions]]),0)</f>
        <v>0.12537731780940059</v>
      </c>
      <c r="Q129" s="7" t="str">
        <f>_xlfn.TEXTJOIN(", ", TRUE, Posts_Cleaned[[#This Row],[Hashtags Used.1]], Posts_Cleaned[[#This Row],[Hashtags Used.2]], Posts_Cleaned[[#This Row],[Hashtags Used.3]])</f>
        <v>#FutureOfDriving</v>
      </c>
    </row>
    <row r="130" spans="1:17" x14ac:dyDescent="0.25">
      <c r="A130" t="s">
        <v>186</v>
      </c>
      <c r="B130" s="1" t="s">
        <v>16</v>
      </c>
      <c r="C130" s="2">
        <v>45494</v>
      </c>
      <c r="D130" s="1" t="s">
        <v>23</v>
      </c>
      <c r="E130" s="1" t="s">
        <v>24</v>
      </c>
      <c r="F130">
        <v>2147</v>
      </c>
      <c r="G130">
        <v>430</v>
      </c>
      <c r="H130">
        <v>393</v>
      </c>
      <c r="I130">
        <v>17176</v>
      </c>
      <c r="J130">
        <v>16483</v>
      </c>
      <c r="K130">
        <v>170</v>
      </c>
      <c r="L130" s="1" t="s">
        <v>25</v>
      </c>
      <c r="M130" s="1"/>
      <c r="N130" s="1"/>
      <c r="O130" s="1"/>
      <c r="P130" s="1">
        <f>IFERROR(((Posts_Cleaned[[#This Row],[Likes]]+Posts_Cleaned[[#This Row],[Shares]]+Posts_Cleaned[[#This Row],[Comments]])/Posts_Cleaned[[#This Row],[Impressions]]),0)</f>
        <v>0.17291569632044715</v>
      </c>
      <c r="Q130" s="7" t="str">
        <f>_xlfn.TEXTJOIN(", ", TRUE, Posts_Cleaned[[#This Row],[Hashtags Used.1]], Posts_Cleaned[[#This Row],[Hashtags Used.2]], Posts_Cleaned[[#This Row],[Hashtags Used.3]])</f>
        <v>#TeslaCoInnovation</v>
      </c>
    </row>
    <row r="131" spans="1:17" x14ac:dyDescent="0.25">
      <c r="A131" t="s">
        <v>187</v>
      </c>
      <c r="B131" s="1" t="s">
        <v>29</v>
      </c>
      <c r="C131" s="2">
        <v>45564</v>
      </c>
      <c r="D131" s="1" t="s">
        <v>17</v>
      </c>
      <c r="E131" s="1" t="s">
        <v>30</v>
      </c>
      <c r="F131">
        <v>2936</v>
      </c>
      <c r="G131">
        <v>439</v>
      </c>
      <c r="H131">
        <v>44</v>
      </c>
      <c r="I131">
        <v>38168</v>
      </c>
      <c r="J131">
        <v>37571</v>
      </c>
      <c r="K131">
        <v>22</v>
      </c>
      <c r="L131" s="1" t="s">
        <v>36</v>
      </c>
      <c r="M131" s="1"/>
      <c r="N131" s="1"/>
      <c r="O131" s="1" t="s">
        <v>37</v>
      </c>
      <c r="P131" s="1">
        <f>IFERROR(((Posts_Cleaned[[#This Row],[Likes]]+Posts_Cleaned[[#This Row],[Shares]]+Posts_Cleaned[[#This Row],[Comments]])/Posts_Cleaned[[#This Row],[Impressions]]),0)</f>
        <v>8.9577656675749323E-2</v>
      </c>
      <c r="Q131" s="7" t="str">
        <f>_xlfn.TEXTJOIN(", ", TRUE, Posts_Cleaned[[#This Row],[Hashtags Used.1]], Posts_Cleaned[[#This Row],[Hashtags Used.2]], Posts_Cleaned[[#This Row],[Hashtags Used.3]])</f>
        <v>#EVRevolution</v>
      </c>
    </row>
    <row r="132" spans="1:17" x14ac:dyDescent="0.25">
      <c r="A132" t="s">
        <v>188</v>
      </c>
      <c r="B132" s="1" t="s">
        <v>33</v>
      </c>
      <c r="C132" s="2">
        <v>45586</v>
      </c>
      <c r="D132" s="1" t="s">
        <v>17</v>
      </c>
      <c r="E132" s="1" t="s">
        <v>65</v>
      </c>
      <c r="F132">
        <v>4840</v>
      </c>
      <c r="G132">
        <v>658</v>
      </c>
      <c r="H132">
        <v>211</v>
      </c>
      <c r="I132">
        <v>43560</v>
      </c>
      <c r="J132">
        <v>43225</v>
      </c>
      <c r="K132">
        <v>57</v>
      </c>
      <c r="L132" s="1" t="s">
        <v>19</v>
      </c>
      <c r="M132" s="1"/>
      <c r="N132" s="1"/>
      <c r="O132" s="1" t="s">
        <v>31</v>
      </c>
      <c r="P132" s="1">
        <f>IFERROR(((Posts_Cleaned[[#This Row],[Likes]]+Posts_Cleaned[[#This Row],[Shares]]+Posts_Cleaned[[#This Row],[Comments]])/Posts_Cleaned[[#This Row],[Impressions]]),0)</f>
        <v>0.13106060606060607</v>
      </c>
      <c r="Q132" s="7" t="str">
        <f>_xlfn.TEXTJOIN(", ", TRUE, Posts_Cleaned[[#This Row],[Hashtags Used.1]], Posts_Cleaned[[#This Row],[Hashtags Used.2]], Posts_Cleaned[[#This Row],[Hashtags Used.3]])</f>
        <v>#FutureOfDriving</v>
      </c>
    </row>
    <row r="133" spans="1:17" x14ac:dyDescent="0.25">
      <c r="A133" t="s">
        <v>189</v>
      </c>
      <c r="B133" s="1" t="s">
        <v>33</v>
      </c>
      <c r="C133" s="2">
        <v>45720</v>
      </c>
      <c r="D133" s="1" t="s">
        <v>34</v>
      </c>
      <c r="E133" s="1" t="s">
        <v>35</v>
      </c>
      <c r="F133">
        <v>1947</v>
      </c>
      <c r="G133">
        <v>842</v>
      </c>
      <c r="H133">
        <v>101</v>
      </c>
      <c r="I133">
        <v>21417</v>
      </c>
      <c r="J133">
        <v>20967</v>
      </c>
      <c r="K133">
        <v>186</v>
      </c>
      <c r="L133" s="1" t="s">
        <v>19</v>
      </c>
      <c r="M133" s="1"/>
      <c r="N133" s="1"/>
      <c r="O133" s="1" t="s">
        <v>27</v>
      </c>
      <c r="P133" s="1">
        <f>IFERROR(((Posts_Cleaned[[#This Row],[Likes]]+Posts_Cleaned[[#This Row],[Shares]]+Posts_Cleaned[[#This Row],[Comments]])/Posts_Cleaned[[#This Row],[Impressions]]),0)</f>
        <v>0.13493953401503478</v>
      </c>
      <c r="Q133" s="7" t="str">
        <f>_xlfn.TEXTJOIN(", ", TRUE, Posts_Cleaned[[#This Row],[Hashtags Used.1]], Posts_Cleaned[[#This Row],[Hashtags Used.2]], Posts_Cleaned[[#This Row],[Hashtags Used.3]])</f>
        <v>#FutureOfDriving</v>
      </c>
    </row>
    <row r="134" spans="1:17" x14ac:dyDescent="0.25">
      <c r="A134" t="s">
        <v>190</v>
      </c>
      <c r="B134" s="1" t="s">
        <v>40</v>
      </c>
      <c r="C134" s="2">
        <v>45694</v>
      </c>
      <c r="D134" s="1" t="s">
        <v>46</v>
      </c>
      <c r="E134" s="1" t="s">
        <v>51</v>
      </c>
      <c r="F134">
        <v>2072</v>
      </c>
      <c r="G134">
        <v>532</v>
      </c>
      <c r="H134">
        <v>71</v>
      </c>
      <c r="I134">
        <v>37296</v>
      </c>
      <c r="J134">
        <v>36467</v>
      </c>
      <c r="K134">
        <v>25</v>
      </c>
      <c r="L134" s="1" t="s">
        <v>25</v>
      </c>
      <c r="M134" s="1"/>
      <c r="N134" s="1"/>
      <c r="O134" s="1" t="s">
        <v>37</v>
      </c>
      <c r="P134" s="1">
        <f>IFERROR(((Posts_Cleaned[[#This Row],[Likes]]+Posts_Cleaned[[#This Row],[Shares]]+Posts_Cleaned[[#This Row],[Comments]])/Posts_Cleaned[[#This Row],[Impressions]]),0)</f>
        <v>7.172350922350923E-2</v>
      </c>
      <c r="Q134" s="7" t="str">
        <f>_xlfn.TEXTJOIN(", ", TRUE, Posts_Cleaned[[#This Row],[Hashtags Used.1]], Posts_Cleaned[[#This Row],[Hashtags Used.2]], Posts_Cleaned[[#This Row],[Hashtags Used.3]])</f>
        <v>#TeslaCoInnovation</v>
      </c>
    </row>
    <row r="135" spans="1:17" x14ac:dyDescent="0.25">
      <c r="A135" t="s">
        <v>191</v>
      </c>
      <c r="B135" s="1" t="s">
        <v>16</v>
      </c>
      <c r="C135" s="2">
        <v>45771</v>
      </c>
      <c r="D135" s="1" t="s">
        <v>17</v>
      </c>
      <c r="E135" s="1" t="s">
        <v>18</v>
      </c>
      <c r="F135">
        <v>3731</v>
      </c>
      <c r="G135">
        <v>115</v>
      </c>
      <c r="H135">
        <v>135</v>
      </c>
      <c r="I135">
        <v>55965</v>
      </c>
      <c r="J135">
        <v>55436</v>
      </c>
      <c r="K135">
        <v>103</v>
      </c>
      <c r="L135" s="1" t="s">
        <v>25</v>
      </c>
      <c r="M135" s="1"/>
      <c r="N135" s="1"/>
      <c r="O135" s="1" t="s">
        <v>21</v>
      </c>
      <c r="P135" s="1">
        <f>IFERROR(((Posts_Cleaned[[#This Row],[Likes]]+Posts_Cleaned[[#This Row],[Shares]]+Posts_Cleaned[[#This Row],[Comments]])/Posts_Cleaned[[#This Row],[Impressions]]),0)</f>
        <v>7.1133744304476013E-2</v>
      </c>
      <c r="Q135" s="7" t="str">
        <f>_xlfn.TEXTJOIN(", ", TRUE, Posts_Cleaned[[#This Row],[Hashtags Used.1]], Posts_Cleaned[[#This Row],[Hashtags Used.2]], Posts_Cleaned[[#This Row],[Hashtags Used.3]])</f>
        <v>#TeslaCoInnovation</v>
      </c>
    </row>
    <row r="136" spans="1:17" x14ac:dyDescent="0.25">
      <c r="A136" t="s">
        <v>192</v>
      </c>
      <c r="B136" s="1" t="s">
        <v>40</v>
      </c>
      <c r="C136" s="2">
        <v>45624</v>
      </c>
      <c r="D136" s="1" t="s">
        <v>23</v>
      </c>
      <c r="E136" s="1" t="s">
        <v>49</v>
      </c>
      <c r="F136">
        <v>4213</v>
      </c>
      <c r="G136">
        <v>253</v>
      </c>
      <c r="H136">
        <v>434</v>
      </c>
      <c r="I136">
        <v>75834</v>
      </c>
      <c r="J136">
        <v>75437</v>
      </c>
      <c r="K136">
        <v>272</v>
      </c>
      <c r="L136" s="1" t="s">
        <v>19</v>
      </c>
      <c r="M136" s="1"/>
      <c r="N136" s="1"/>
      <c r="O136" s="1" t="s">
        <v>37</v>
      </c>
      <c r="P136" s="1">
        <f>IFERROR(((Posts_Cleaned[[#This Row],[Likes]]+Posts_Cleaned[[#This Row],[Shares]]+Posts_Cleaned[[#This Row],[Comments]])/Posts_Cleaned[[#This Row],[Impressions]]),0)</f>
        <v>6.461481657304112E-2</v>
      </c>
      <c r="Q136" s="7" t="str">
        <f>_xlfn.TEXTJOIN(", ", TRUE, Posts_Cleaned[[#This Row],[Hashtags Used.1]], Posts_Cleaned[[#This Row],[Hashtags Used.2]], Posts_Cleaned[[#This Row],[Hashtags Used.3]])</f>
        <v>#FutureOfDriving</v>
      </c>
    </row>
    <row r="137" spans="1:17" x14ac:dyDescent="0.25">
      <c r="A137" t="s">
        <v>193</v>
      </c>
      <c r="B137" s="1" t="s">
        <v>33</v>
      </c>
      <c r="C137" s="2">
        <v>45484</v>
      </c>
      <c r="D137" s="1" t="s">
        <v>23</v>
      </c>
      <c r="E137" s="1" t="s">
        <v>82</v>
      </c>
      <c r="F137">
        <v>3134</v>
      </c>
      <c r="G137">
        <v>888</v>
      </c>
      <c r="H137">
        <v>444</v>
      </c>
      <c r="I137">
        <v>21938</v>
      </c>
      <c r="J137">
        <v>21337</v>
      </c>
      <c r="K137">
        <v>130</v>
      </c>
      <c r="L137" s="1" t="s">
        <v>36</v>
      </c>
      <c r="M137" s="1"/>
      <c r="N137" s="1"/>
      <c r="O137" s="1" t="s">
        <v>37</v>
      </c>
      <c r="P137" s="1">
        <f>IFERROR(((Posts_Cleaned[[#This Row],[Likes]]+Posts_Cleaned[[#This Row],[Shares]]+Posts_Cleaned[[#This Row],[Comments]])/Posts_Cleaned[[#This Row],[Impressions]]),0)</f>
        <v>0.20357370772176134</v>
      </c>
      <c r="Q137" s="7" t="str">
        <f>_xlfn.TEXTJOIN(", ", TRUE, Posts_Cleaned[[#This Row],[Hashtags Used.1]], Posts_Cleaned[[#This Row],[Hashtags Used.2]], Posts_Cleaned[[#This Row],[Hashtags Used.3]])</f>
        <v>#EVRevolution</v>
      </c>
    </row>
    <row r="138" spans="1:17" x14ac:dyDescent="0.25">
      <c r="A138" t="s">
        <v>194</v>
      </c>
      <c r="B138" s="1" t="s">
        <v>40</v>
      </c>
      <c r="C138" s="2">
        <v>45504</v>
      </c>
      <c r="D138" s="1" t="s">
        <v>60</v>
      </c>
      <c r="E138" s="1" t="s">
        <v>61</v>
      </c>
      <c r="F138">
        <v>3008</v>
      </c>
      <c r="G138">
        <v>94</v>
      </c>
      <c r="H138">
        <v>37</v>
      </c>
      <c r="I138">
        <v>15040</v>
      </c>
      <c r="J138">
        <v>14639</v>
      </c>
      <c r="K138">
        <v>277</v>
      </c>
      <c r="L138" s="1" t="s">
        <v>19</v>
      </c>
      <c r="M138" s="1"/>
      <c r="N138" s="1"/>
      <c r="O138" s="1"/>
      <c r="P138" s="1">
        <f>IFERROR(((Posts_Cleaned[[#This Row],[Likes]]+Posts_Cleaned[[#This Row],[Shares]]+Posts_Cleaned[[#This Row],[Comments]])/Posts_Cleaned[[#This Row],[Impressions]]),0)</f>
        <v>0.20871010638297871</v>
      </c>
      <c r="Q138" s="7" t="str">
        <f>_xlfn.TEXTJOIN(", ", TRUE, Posts_Cleaned[[#This Row],[Hashtags Used.1]], Posts_Cleaned[[#This Row],[Hashtags Used.2]], Posts_Cleaned[[#This Row],[Hashtags Used.3]])</f>
        <v>#FutureOfDriving</v>
      </c>
    </row>
    <row r="139" spans="1:17" x14ac:dyDescent="0.25">
      <c r="A139" t="s">
        <v>195</v>
      </c>
      <c r="B139" s="1" t="s">
        <v>16</v>
      </c>
      <c r="C139" s="2">
        <v>45745</v>
      </c>
      <c r="D139" s="1" t="s">
        <v>46</v>
      </c>
      <c r="E139" s="1" t="s">
        <v>92</v>
      </c>
      <c r="F139">
        <v>305</v>
      </c>
      <c r="G139">
        <v>187</v>
      </c>
      <c r="H139">
        <v>243</v>
      </c>
      <c r="I139">
        <v>4575</v>
      </c>
      <c r="J139">
        <v>3704</v>
      </c>
      <c r="K139">
        <v>234</v>
      </c>
      <c r="L139" s="1" t="s">
        <v>19</v>
      </c>
      <c r="M139" s="1"/>
      <c r="N139" s="1"/>
      <c r="O139" s="1" t="s">
        <v>31</v>
      </c>
      <c r="P139" s="1">
        <f>IFERROR(((Posts_Cleaned[[#This Row],[Likes]]+Posts_Cleaned[[#This Row],[Shares]]+Posts_Cleaned[[#This Row],[Comments]])/Posts_Cleaned[[#This Row],[Impressions]]),0)</f>
        <v>0.16065573770491803</v>
      </c>
      <c r="Q139" s="7" t="str">
        <f>_xlfn.TEXTJOIN(", ", TRUE, Posts_Cleaned[[#This Row],[Hashtags Used.1]], Posts_Cleaned[[#This Row],[Hashtags Used.2]], Posts_Cleaned[[#This Row],[Hashtags Used.3]])</f>
        <v>#FutureOfDriving</v>
      </c>
    </row>
    <row r="140" spans="1:17" x14ac:dyDescent="0.25">
      <c r="A140" t="s">
        <v>196</v>
      </c>
      <c r="B140" s="1" t="s">
        <v>29</v>
      </c>
      <c r="C140" s="2">
        <v>45594</v>
      </c>
      <c r="D140" s="1" t="s">
        <v>23</v>
      </c>
      <c r="E140" s="1" t="s">
        <v>77</v>
      </c>
      <c r="F140">
        <v>2746</v>
      </c>
      <c r="G140">
        <v>156</v>
      </c>
      <c r="H140">
        <v>203</v>
      </c>
      <c r="I140">
        <v>32952</v>
      </c>
      <c r="J140">
        <v>32147</v>
      </c>
      <c r="K140">
        <v>147</v>
      </c>
      <c r="L140" s="1" t="s">
        <v>36</v>
      </c>
      <c r="M140" s="1"/>
      <c r="N140" s="1"/>
      <c r="O140" s="1" t="s">
        <v>21</v>
      </c>
      <c r="P140" s="1">
        <f>IFERROR(((Posts_Cleaned[[#This Row],[Likes]]+Posts_Cleaned[[#This Row],[Shares]]+Posts_Cleaned[[#This Row],[Comments]])/Posts_Cleaned[[#This Row],[Impressions]]),0)</f>
        <v>9.422796795338674E-2</v>
      </c>
      <c r="Q140" s="7" t="str">
        <f>_xlfn.TEXTJOIN(", ", TRUE, Posts_Cleaned[[#This Row],[Hashtags Used.1]], Posts_Cleaned[[#This Row],[Hashtags Used.2]], Posts_Cleaned[[#This Row],[Hashtags Used.3]])</f>
        <v>#EVRevolution</v>
      </c>
    </row>
    <row r="141" spans="1:17" x14ac:dyDescent="0.25">
      <c r="A141" t="s">
        <v>197</v>
      </c>
      <c r="B141" s="1" t="s">
        <v>40</v>
      </c>
      <c r="C141" s="2">
        <v>45488</v>
      </c>
      <c r="D141" s="1" t="s">
        <v>46</v>
      </c>
      <c r="E141" s="1" t="s">
        <v>51</v>
      </c>
      <c r="F141">
        <v>2291</v>
      </c>
      <c r="G141">
        <v>78</v>
      </c>
      <c r="H141">
        <v>485</v>
      </c>
      <c r="I141">
        <v>18328</v>
      </c>
      <c r="J141">
        <v>18101</v>
      </c>
      <c r="K141">
        <v>10</v>
      </c>
      <c r="L141" s="1" t="s">
        <v>36</v>
      </c>
      <c r="M141" s="1" t="s">
        <v>198</v>
      </c>
      <c r="N141" s="1"/>
      <c r="O141" s="1" t="s">
        <v>27</v>
      </c>
      <c r="P141" s="1">
        <f>IFERROR(((Posts_Cleaned[[#This Row],[Likes]]+Posts_Cleaned[[#This Row],[Shares]]+Posts_Cleaned[[#This Row],[Comments]])/Posts_Cleaned[[#This Row],[Impressions]]),0)</f>
        <v>0.15571802706241816</v>
      </c>
      <c r="Q141" s="7" t="str">
        <f>_xlfn.TEXTJOIN(", ", TRUE, Posts_Cleaned[[#This Row],[Hashtags Used.1]], Posts_Cleaned[[#This Row],[Hashtags Used.2]], Posts_Cleaned[[#This Row],[Hashtags Used.3]])</f>
        <v>#EVRevolution, #SmoothLikeNitroTesla</v>
      </c>
    </row>
    <row r="142" spans="1:17" x14ac:dyDescent="0.25">
      <c r="A142" t="s">
        <v>199</v>
      </c>
      <c r="B142" s="1" t="s">
        <v>16</v>
      </c>
      <c r="C142" s="2">
        <v>45535</v>
      </c>
      <c r="D142" s="1" t="s">
        <v>46</v>
      </c>
      <c r="E142" s="1" t="s">
        <v>92</v>
      </c>
      <c r="F142">
        <v>3170</v>
      </c>
      <c r="G142">
        <v>857</v>
      </c>
      <c r="H142">
        <v>379</v>
      </c>
      <c r="I142">
        <v>19020</v>
      </c>
      <c r="J142">
        <v>18559</v>
      </c>
      <c r="K142">
        <v>240</v>
      </c>
      <c r="L142" s="1" t="s">
        <v>19</v>
      </c>
      <c r="M142" s="1"/>
      <c r="N142" s="1"/>
      <c r="O142" s="1"/>
      <c r="P142" s="1">
        <f>IFERROR(((Posts_Cleaned[[#This Row],[Likes]]+Posts_Cleaned[[#This Row],[Shares]]+Posts_Cleaned[[#This Row],[Comments]])/Posts_Cleaned[[#This Row],[Impressions]]),0)</f>
        <v>0.2316508937960042</v>
      </c>
      <c r="Q142" s="7" t="str">
        <f>_xlfn.TEXTJOIN(", ", TRUE, Posts_Cleaned[[#This Row],[Hashtags Used.1]], Posts_Cleaned[[#This Row],[Hashtags Used.2]], Posts_Cleaned[[#This Row],[Hashtags Used.3]])</f>
        <v>#FutureOfDriving</v>
      </c>
    </row>
    <row r="143" spans="1:17" x14ac:dyDescent="0.25">
      <c r="A143" t="s">
        <v>200</v>
      </c>
      <c r="B143" s="1" t="s">
        <v>29</v>
      </c>
      <c r="C143" s="2">
        <v>45741</v>
      </c>
      <c r="D143" s="1" t="s">
        <v>34</v>
      </c>
      <c r="E143" s="1" t="s">
        <v>105</v>
      </c>
      <c r="F143">
        <v>2070</v>
      </c>
      <c r="G143">
        <v>275</v>
      </c>
      <c r="H143">
        <v>386</v>
      </c>
      <c r="I143">
        <v>39330</v>
      </c>
      <c r="J143">
        <v>38627</v>
      </c>
      <c r="K143">
        <v>114</v>
      </c>
      <c r="L143" s="1" t="s">
        <v>19</v>
      </c>
      <c r="M143" s="1"/>
      <c r="N143" s="1"/>
      <c r="O143" s="1" t="s">
        <v>37</v>
      </c>
      <c r="P143" s="1">
        <f>IFERROR(((Posts_Cleaned[[#This Row],[Likes]]+Posts_Cleaned[[#This Row],[Shares]]+Posts_Cleaned[[#This Row],[Comments]])/Posts_Cleaned[[#This Row],[Impressions]]),0)</f>
        <v>6.9438087973557078E-2</v>
      </c>
      <c r="Q143" s="7" t="str">
        <f>_xlfn.TEXTJOIN(", ", TRUE, Posts_Cleaned[[#This Row],[Hashtags Used.1]], Posts_Cleaned[[#This Row],[Hashtags Used.2]], Posts_Cleaned[[#This Row],[Hashtags Used.3]])</f>
        <v>#FutureOfDriving</v>
      </c>
    </row>
    <row r="144" spans="1:17" x14ac:dyDescent="0.25">
      <c r="A144" t="s">
        <v>201</v>
      </c>
      <c r="B144" s="1" t="s">
        <v>29</v>
      </c>
      <c r="C144" s="2">
        <v>45567</v>
      </c>
      <c r="D144" s="1" t="s">
        <v>41</v>
      </c>
      <c r="E144" s="1" t="s">
        <v>56</v>
      </c>
      <c r="F144">
        <v>80</v>
      </c>
      <c r="G144">
        <v>362</v>
      </c>
      <c r="H144">
        <v>80</v>
      </c>
      <c r="I144">
        <v>1040</v>
      </c>
      <c r="J144">
        <v>349</v>
      </c>
      <c r="K144">
        <v>117</v>
      </c>
      <c r="L144" s="1" t="s">
        <v>25</v>
      </c>
      <c r="M144" s="1"/>
      <c r="N144" s="1"/>
      <c r="O144" s="1" t="s">
        <v>31</v>
      </c>
      <c r="P144" s="1">
        <f>IFERROR(((Posts_Cleaned[[#This Row],[Likes]]+Posts_Cleaned[[#This Row],[Shares]]+Posts_Cleaned[[#This Row],[Comments]])/Posts_Cleaned[[#This Row],[Impressions]]),0)</f>
        <v>0.50192307692307692</v>
      </c>
      <c r="Q144" s="7" t="str">
        <f>_xlfn.TEXTJOIN(", ", TRUE, Posts_Cleaned[[#This Row],[Hashtags Used.1]], Posts_Cleaned[[#This Row],[Hashtags Used.2]], Posts_Cleaned[[#This Row],[Hashtags Used.3]])</f>
        <v>#TeslaCoInnovation</v>
      </c>
    </row>
    <row r="145" spans="1:17" x14ac:dyDescent="0.25">
      <c r="A145" t="s">
        <v>202</v>
      </c>
      <c r="B145" s="1" t="s">
        <v>29</v>
      </c>
      <c r="C145" s="2">
        <v>45593</v>
      </c>
      <c r="D145" s="1" t="s">
        <v>34</v>
      </c>
      <c r="E145" s="1" t="s">
        <v>105</v>
      </c>
      <c r="F145">
        <v>4929</v>
      </c>
      <c r="G145">
        <v>749</v>
      </c>
      <c r="H145">
        <v>452</v>
      </c>
      <c r="I145">
        <v>93651</v>
      </c>
      <c r="J145">
        <v>92810</v>
      </c>
      <c r="K145">
        <v>66</v>
      </c>
      <c r="L145" s="1" t="s">
        <v>36</v>
      </c>
      <c r="M145" s="1"/>
      <c r="N145" s="1"/>
      <c r="O145" s="1" t="s">
        <v>37</v>
      </c>
      <c r="P145" s="1">
        <f>IFERROR(((Posts_Cleaned[[#This Row],[Likes]]+Posts_Cleaned[[#This Row],[Shares]]+Posts_Cleaned[[#This Row],[Comments]])/Posts_Cleaned[[#This Row],[Impressions]]),0)</f>
        <v>6.5455787978772245E-2</v>
      </c>
      <c r="Q145" s="7" t="str">
        <f>_xlfn.TEXTJOIN(", ", TRUE, Posts_Cleaned[[#This Row],[Hashtags Used.1]], Posts_Cleaned[[#This Row],[Hashtags Used.2]], Posts_Cleaned[[#This Row],[Hashtags Used.3]])</f>
        <v>#EVRevolution</v>
      </c>
    </row>
    <row r="146" spans="1:17" x14ac:dyDescent="0.25">
      <c r="A146" t="s">
        <v>203</v>
      </c>
      <c r="B146" s="1" t="s">
        <v>33</v>
      </c>
      <c r="C146" s="2">
        <v>45516</v>
      </c>
      <c r="D146" s="1" t="s">
        <v>41</v>
      </c>
      <c r="E146" s="1" t="s">
        <v>69</v>
      </c>
      <c r="F146">
        <v>1878</v>
      </c>
      <c r="G146">
        <v>62</v>
      </c>
      <c r="H146">
        <v>179</v>
      </c>
      <c r="I146">
        <v>37560</v>
      </c>
      <c r="J146">
        <v>36874</v>
      </c>
      <c r="K146">
        <v>142</v>
      </c>
      <c r="L146" s="1" t="s">
        <v>25</v>
      </c>
      <c r="M146" s="1"/>
      <c r="N146" s="1"/>
      <c r="O146" s="1" t="s">
        <v>37</v>
      </c>
      <c r="P146" s="1">
        <f>IFERROR(((Posts_Cleaned[[#This Row],[Likes]]+Posts_Cleaned[[#This Row],[Shares]]+Posts_Cleaned[[#This Row],[Comments]])/Posts_Cleaned[[#This Row],[Impressions]]),0)</f>
        <v>5.6416400425985093E-2</v>
      </c>
      <c r="Q146" s="7" t="str">
        <f>_xlfn.TEXTJOIN(", ", TRUE, Posts_Cleaned[[#This Row],[Hashtags Used.1]], Posts_Cleaned[[#This Row],[Hashtags Used.2]], Posts_Cleaned[[#This Row],[Hashtags Used.3]])</f>
        <v>#TeslaCoInnovation</v>
      </c>
    </row>
    <row r="147" spans="1:17" x14ac:dyDescent="0.25">
      <c r="A147" t="s">
        <v>204</v>
      </c>
      <c r="B147" s="1" t="s">
        <v>29</v>
      </c>
      <c r="C147" s="2">
        <v>45448</v>
      </c>
      <c r="D147" s="1" t="s">
        <v>17</v>
      </c>
      <c r="E147" s="1" t="s">
        <v>30</v>
      </c>
      <c r="F147">
        <v>3065</v>
      </c>
      <c r="G147">
        <v>772</v>
      </c>
      <c r="H147">
        <v>142</v>
      </c>
      <c r="I147">
        <v>18390</v>
      </c>
      <c r="J147">
        <v>17875</v>
      </c>
      <c r="K147">
        <v>200</v>
      </c>
      <c r="L147" s="1" t="s">
        <v>36</v>
      </c>
      <c r="M147" s="1" t="s">
        <v>20</v>
      </c>
      <c r="N147" s="1"/>
      <c r="O147" s="1"/>
      <c r="P147" s="1">
        <f>IFERROR(((Posts_Cleaned[[#This Row],[Likes]]+Posts_Cleaned[[#This Row],[Shares]]+Posts_Cleaned[[#This Row],[Comments]])/Posts_Cleaned[[#This Row],[Impressions]]),0)</f>
        <v>0.21636759108210984</v>
      </c>
      <c r="Q147" s="7" t="str">
        <f>_xlfn.TEXTJOIN(", ", TRUE, Posts_Cleaned[[#This Row],[Hashtags Used.1]], Posts_Cleaned[[#This Row],[Hashtags Used.2]], Posts_Cleaned[[#This Row],[Hashtags Used.3]])</f>
        <v>#EVRevolution, #AnytimeIsTeslaTime</v>
      </c>
    </row>
    <row r="148" spans="1:17" x14ac:dyDescent="0.25">
      <c r="A148" t="s">
        <v>205</v>
      </c>
      <c r="B148" s="1" t="s">
        <v>33</v>
      </c>
      <c r="C148" s="2">
        <v>45586</v>
      </c>
      <c r="D148" s="1" t="s">
        <v>17</v>
      </c>
      <c r="E148" s="1" t="s">
        <v>65</v>
      </c>
      <c r="F148">
        <v>3256</v>
      </c>
      <c r="G148">
        <v>459</v>
      </c>
      <c r="H148">
        <v>266</v>
      </c>
      <c r="I148">
        <v>26048</v>
      </c>
      <c r="J148">
        <v>25529</v>
      </c>
      <c r="K148">
        <v>143</v>
      </c>
      <c r="L148" s="1" t="s">
        <v>25</v>
      </c>
      <c r="M148" s="1"/>
      <c r="N148" s="1"/>
      <c r="O148" s="1" t="s">
        <v>27</v>
      </c>
      <c r="P148" s="1">
        <f>IFERROR(((Posts_Cleaned[[#This Row],[Likes]]+Posts_Cleaned[[#This Row],[Shares]]+Posts_Cleaned[[#This Row],[Comments]])/Posts_Cleaned[[#This Row],[Impressions]]),0)</f>
        <v>0.15283323095823095</v>
      </c>
      <c r="Q148" s="7" t="str">
        <f>_xlfn.TEXTJOIN(", ", TRUE, Posts_Cleaned[[#This Row],[Hashtags Used.1]], Posts_Cleaned[[#This Row],[Hashtags Used.2]], Posts_Cleaned[[#This Row],[Hashtags Used.3]])</f>
        <v>#TeslaCoInnovation</v>
      </c>
    </row>
    <row r="149" spans="1:17" x14ac:dyDescent="0.25">
      <c r="A149" t="s">
        <v>206</v>
      </c>
      <c r="B149" s="1" t="s">
        <v>33</v>
      </c>
      <c r="C149" s="2">
        <v>45762</v>
      </c>
      <c r="D149" s="1" t="s">
        <v>60</v>
      </c>
      <c r="E149" s="1" t="s">
        <v>67</v>
      </c>
      <c r="F149">
        <v>4133</v>
      </c>
      <c r="G149">
        <v>466</v>
      </c>
      <c r="H149">
        <v>327</v>
      </c>
      <c r="I149">
        <v>24798</v>
      </c>
      <c r="J149">
        <v>24620</v>
      </c>
      <c r="K149">
        <v>176</v>
      </c>
      <c r="L149" s="1" t="s">
        <v>36</v>
      </c>
      <c r="M149" s="1"/>
      <c r="N149" s="1"/>
      <c r="O149" s="1" t="s">
        <v>37</v>
      </c>
      <c r="P149" s="1">
        <f>IFERROR(((Posts_Cleaned[[#This Row],[Likes]]+Posts_Cleaned[[#This Row],[Shares]]+Posts_Cleaned[[#This Row],[Comments]])/Posts_Cleaned[[#This Row],[Impressions]]),0)</f>
        <v>0.19864505202032423</v>
      </c>
      <c r="Q149" s="7" t="str">
        <f>_xlfn.TEXTJOIN(", ", TRUE, Posts_Cleaned[[#This Row],[Hashtags Used.1]], Posts_Cleaned[[#This Row],[Hashtags Used.2]], Posts_Cleaned[[#This Row],[Hashtags Used.3]])</f>
        <v>#EVRevolution</v>
      </c>
    </row>
    <row r="150" spans="1:17" x14ac:dyDescent="0.25">
      <c r="A150" t="s">
        <v>207</v>
      </c>
      <c r="B150" s="1" t="s">
        <v>16</v>
      </c>
      <c r="C150" s="2">
        <v>45459</v>
      </c>
      <c r="D150" s="1" t="s">
        <v>60</v>
      </c>
      <c r="E150" s="1" t="s">
        <v>99</v>
      </c>
      <c r="F150">
        <v>1702</v>
      </c>
      <c r="G150">
        <v>750</v>
      </c>
      <c r="H150">
        <v>179</v>
      </c>
      <c r="I150">
        <v>34040</v>
      </c>
      <c r="J150">
        <v>33174</v>
      </c>
      <c r="K150">
        <v>76</v>
      </c>
      <c r="L150" s="1" t="s">
        <v>36</v>
      </c>
      <c r="M150" s="1"/>
      <c r="N150" s="1"/>
      <c r="O150" s="1" t="s">
        <v>21</v>
      </c>
      <c r="P150" s="1">
        <f>IFERROR(((Posts_Cleaned[[#This Row],[Likes]]+Posts_Cleaned[[#This Row],[Shares]]+Posts_Cleaned[[#This Row],[Comments]])/Posts_Cleaned[[#This Row],[Impressions]]),0)</f>
        <v>7.7291421856639245E-2</v>
      </c>
      <c r="Q150" s="7" t="str">
        <f>_xlfn.TEXTJOIN(", ", TRUE, Posts_Cleaned[[#This Row],[Hashtags Used.1]], Posts_Cleaned[[#This Row],[Hashtags Used.2]], Posts_Cleaned[[#This Row],[Hashtags Used.3]])</f>
        <v>#EVRevolution</v>
      </c>
    </row>
    <row r="151" spans="1:17" x14ac:dyDescent="0.25">
      <c r="A151" t="s">
        <v>208</v>
      </c>
      <c r="B151" s="1" t="s">
        <v>29</v>
      </c>
      <c r="C151" s="2">
        <v>45526</v>
      </c>
      <c r="D151" s="1" t="s">
        <v>41</v>
      </c>
      <c r="E151" s="1" t="s">
        <v>56</v>
      </c>
      <c r="F151">
        <v>4295</v>
      </c>
      <c r="G151">
        <v>853</v>
      </c>
      <c r="H151">
        <v>325</v>
      </c>
      <c r="I151">
        <v>85900</v>
      </c>
      <c r="J151">
        <v>85788</v>
      </c>
      <c r="K151">
        <v>290</v>
      </c>
      <c r="L151" s="1" t="s">
        <v>25</v>
      </c>
      <c r="M151" s="1"/>
      <c r="N151" s="1"/>
      <c r="O151" s="1" t="s">
        <v>37</v>
      </c>
      <c r="P151" s="1">
        <f>IFERROR(((Posts_Cleaned[[#This Row],[Likes]]+Posts_Cleaned[[#This Row],[Shares]]+Posts_Cleaned[[#This Row],[Comments]])/Posts_Cleaned[[#This Row],[Impressions]]),0)</f>
        <v>6.3713620488940623E-2</v>
      </c>
      <c r="Q151" s="7" t="str">
        <f>_xlfn.TEXTJOIN(", ", TRUE, Posts_Cleaned[[#This Row],[Hashtags Used.1]], Posts_Cleaned[[#This Row],[Hashtags Used.2]], Posts_Cleaned[[#This Row],[Hashtags Used.3]])</f>
        <v>#TeslaCoInnovation</v>
      </c>
    </row>
    <row r="152" spans="1:17" x14ac:dyDescent="0.25">
      <c r="A152" t="s">
        <v>209</v>
      </c>
      <c r="B152" s="1" t="s">
        <v>33</v>
      </c>
      <c r="C152" s="2">
        <v>45499</v>
      </c>
      <c r="D152" s="1" t="s">
        <v>46</v>
      </c>
      <c r="E152" s="1" t="s">
        <v>138</v>
      </c>
      <c r="F152">
        <v>3559</v>
      </c>
      <c r="G152">
        <v>59</v>
      </c>
      <c r="H152">
        <v>289</v>
      </c>
      <c r="I152">
        <v>35590</v>
      </c>
      <c r="J152">
        <v>35105</v>
      </c>
      <c r="K152">
        <v>122</v>
      </c>
      <c r="L152" s="1" t="s">
        <v>36</v>
      </c>
      <c r="M152" s="1"/>
      <c r="N152" s="1"/>
      <c r="O152" s="1" t="s">
        <v>21</v>
      </c>
      <c r="P152" s="1">
        <f>IFERROR(((Posts_Cleaned[[#This Row],[Likes]]+Posts_Cleaned[[#This Row],[Shares]]+Posts_Cleaned[[#This Row],[Comments]])/Posts_Cleaned[[#This Row],[Impressions]]),0)</f>
        <v>0.10977802753582468</v>
      </c>
      <c r="Q152" s="7" t="str">
        <f>_xlfn.TEXTJOIN(", ", TRUE, Posts_Cleaned[[#This Row],[Hashtags Used.1]], Posts_Cleaned[[#This Row],[Hashtags Used.2]], Posts_Cleaned[[#This Row],[Hashtags Used.3]])</f>
        <v>#EVRevolution</v>
      </c>
    </row>
    <row r="153" spans="1:17" x14ac:dyDescent="0.25">
      <c r="A153" t="s">
        <v>210</v>
      </c>
      <c r="B153" s="1" t="s">
        <v>40</v>
      </c>
      <c r="C153" s="2">
        <v>45769</v>
      </c>
      <c r="D153" s="1" t="s">
        <v>46</v>
      </c>
      <c r="E153" s="1" t="s">
        <v>51</v>
      </c>
      <c r="F153">
        <v>4804</v>
      </c>
      <c r="G153">
        <v>550</v>
      </c>
      <c r="H153">
        <v>270</v>
      </c>
      <c r="I153">
        <v>28824</v>
      </c>
      <c r="J153">
        <v>28370</v>
      </c>
      <c r="K153">
        <v>47</v>
      </c>
      <c r="L153" s="1" t="s">
        <v>36</v>
      </c>
      <c r="M153" s="1"/>
      <c r="N153" s="1"/>
      <c r="O153" s="1" t="s">
        <v>37</v>
      </c>
      <c r="P153" s="1">
        <f>IFERROR(((Posts_Cleaned[[#This Row],[Likes]]+Posts_Cleaned[[#This Row],[Shares]]+Posts_Cleaned[[#This Row],[Comments]])/Posts_Cleaned[[#This Row],[Impressions]]),0)</f>
        <v>0.19511518179295032</v>
      </c>
      <c r="Q153" s="7" t="str">
        <f>_xlfn.TEXTJOIN(", ", TRUE, Posts_Cleaned[[#This Row],[Hashtags Used.1]], Posts_Cleaned[[#This Row],[Hashtags Used.2]], Posts_Cleaned[[#This Row],[Hashtags Used.3]])</f>
        <v>#EVRevolution</v>
      </c>
    </row>
    <row r="154" spans="1:17" x14ac:dyDescent="0.25">
      <c r="A154" t="s">
        <v>211</v>
      </c>
      <c r="B154" s="1" t="s">
        <v>16</v>
      </c>
      <c r="C154" s="2">
        <v>45658</v>
      </c>
      <c r="D154" s="1" t="s">
        <v>60</v>
      </c>
      <c r="E154" s="1" t="s">
        <v>99</v>
      </c>
      <c r="F154">
        <v>754</v>
      </c>
      <c r="G154">
        <v>197</v>
      </c>
      <c r="H154">
        <v>257</v>
      </c>
      <c r="I154">
        <v>6786</v>
      </c>
      <c r="J154">
        <v>6221</v>
      </c>
      <c r="K154">
        <v>212</v>
      </c>
      <c r="L154" s="1" t="s">
        <v>25</v>
      </c>
      <c r="M154" s="1"/>
      <c r="N154" s="1"/>
      <c r="O154" s="1" t="s">
        <v>31</v>
      </c>
      <c r="P154" s="1">
        <f>IFERROR(((Posts_Cleaned[[#This Row],[Likes]]+Posts_Cleaned[[#This Row],[Shares]]+Posts_Cleaned[[#This Row],[Comments]])/Posts_Cleaned[[#This Row],[Impressions]]),0)</f>
        <v>0.17801355732390214</v>
      </c>
      <c r="Q154" s="7" t="str">
        <f>_xlfn.TEXTJOIN(", ", TRUE, Posts_Cleaned[[#This Row],[Hashtags Used.1]], Posts_Cleaned[[#This Row],[Hashtags Used.2]], Posts_Cleaned[[#This Row],[Hashtags Used.3]])</f>
        <v>#TeslaCoInnovation</v>
      </c>
    </row>
    <row r="155" spans="1:17" x14ac:dyDescent="0.25">
      <c r="A155" t="s">
        <v>212</v>
      </c>
      <c r="B155" s="1" t="s">
        <v>33</v>
      </c>
      <c r="C155" s="2">
        <v>45574</v>
      </c>
      <c r="D155" s="1" t="s">
        <v>41</v>
      </c>
      <c r="E155" s="1" t="s">
        <v>69</v>
      </c>
      <c r="F155">
        <v>985</v>
      </c>
      <c r="G155">
        <v>932</v>
      </c>
      <c r="H155">
        <v>287</v>
      </c>
      <c r="I155">
        <v>6895</v>
      </c>
      <c r="J155">
        <v>6757</v>
      </c>
      <c r="K155">
        <v>64</v>
      </c>
      <c r="L155" s="1" t="s">
        <v>19</v>
      </c>
      <c r="M155" s="1"/>
      <c r="N155" s="1"/>
      <c r="O155" s="1" t="s">
        <v>37</v>
      </c>
      <c r="P155" s="1">
        <f>IFERROR(((Posts_Cleaned[[#This Row],[Likes]]+Posts_Cleaned[[#This Row],[Shares]]+Posts_Cleaned[[#This Row],[Comments]])/Posts_Cleaned[[#This Row],[Impressions]]),0)</f>
        <v>0.31965192168237855</v>
      </c>
      <c r="Q155" s="7" t="str">
        <f>_xlfn.TEXTJOIN(", ", TRUE, Posts_Cleaned[[#This Row],[Hashtags Used.1]], Posts_Cleaned[[#This Row],[Hashtags Used.2]], Posts_Cleaned[[#This Row],[Hashtags Used.3]])</f>
        <v>#FutureOfDriving</v>
      </c>
    </row>
    <row r="156" spans="1:17" x14ac:dyDescent="0.25">
      <c r="A156" t="s">
        <v>213</v>
      </c>
      <c r="B156" s="1" t="s">
        <v>29</v>
      </c>
      <c r="C156" s="2">
        <v>45647</v>
      </c>
      <c r="D156" s="1" t="s">
        <v>46</v>
      </c>
      <c r="E156" s="1" t="s">
        <v>47</v>
      </c>
      <c r="F156">
        <v>2283</v>
      </c>
      <c r="G156">
        <v>210</v>
      </c>
      <c r="H156">
        <v>130</v>
      </c>
      <c r="I156">
        <v>22830</v>
      </c>
      <c r="J156">
        <v>22617</v>
      </c>
      <c r="K156">
        <v>143</v>
      </c>
      <c r="L156" s="1" t="s">
        <v>19</v>
      </c>
      <c r="M156" s="1"/>
      <c r="N156" s="1"/>
      <c r="O156" s="1" t="s">
        <v>27</v>
      </c>
      <c r="P156" s="1">
        <f>IFERROR(((Posts_Cleaned[[#This Row],[Likes]]+Posts_Cleaned[[#This Row],[Shares]]+Posts_Cleaned[[#This Row],[Comments]])/Posts_Cleaned[[#This Row],[Impressions]]),0)</f>
        <v>0.11489268506351293</v>
      </c>
      <c r="Q156" s="7" t="str">
        <f>_xlfn.TEXTJOIN(", ", TRUE, Posts_Cleaned[[#This Row],[Hashtags Used.1]], Posts_Cleaned[[#This Row],[Hashtags Used.2]], Posts_Cleaned[[#This Row],[Hashtags Used.3]])</f>
        <v>#FutureOfDriving</v>
      </c>
    </row>
    <row r="157" spans="1:17" x14ac:dyDescent="0.25">
      <c r="A157" t="s">
        <v>214</v>
      </c>
      <c r="B157" s="1" t="s">
        <v>40</v>
      </c>
      <c r="C157" s="2">
        <v>45587</v>
      </c>
      <c r="D157" s="1" t="s">
        <v>41</v>
      </c>
      <c r="E157" s="1" t="s">
        <v>42</v>
      </c>
      <c r="F157">
        <v>3352</v>
      </c>
      <c r="G157">
        <v>941</v>
      </c>
      <c r="H157">
        <v>482</v>
      </c>
      <c r="I157">
        <v>43576</v>
      </c>
      <c r="J157">
        <v>43338</v>
      </c>
      <c r="K157">
        <v>240</v>
      </c>
      <c r="L157" s="1" t="s">
        <v>19</v>
      </c>
      <c r="M157" s="1"/>
      <c r="N157" s="1"/>
      <c r="O157" s="1" t="s">
        <v>27</v>
      </c>
      <c r="P157" s="1">
        <f>IFERROR(((Posts_Cleaned[[#This Row],[Likes]]+Posts_Cleaned[[#This Row],[Shares]]+Posts_Cleaned[[#This Row],[Comments]])/Posts_Cleaned[[#This Row],[Impressions]]),0)</f>
        <v>0.1095786671562328</v>
      </c>
      <c r="Q157" s="7" t="str">
        <f>_xlfn.TEXTJOIN(", ", TRUE, Posts_Cleaned[[#This Row],[Hashtags Used.1]], Posts_Cleaned[[#This Row],[Hashtags Used.2]], Posts_Cleaned[[#This Row],[Hashtags Used.3]])</f>
        <v>#FutureOfDriving</v>
      </c>
    </row>
    <row r="158" spans="1:17" x14ac:dyDescent="0.25">
      <c r="A158" t="s">
        <v>215</v>
      </c>
      <c r="B158" s="1" t="s">
        <v>29</v>
      </c>
      <c r="C158" s="2">
        <v>45496</v>
      </c>
      <c r="D158" s="1" t="s">
        <v>34</v>
      </c>
      <c r="E158" s="1" t="s">
        <v>105</v>
      </c>
      <c r="F158">
        <v>4775</v>
      </c>
      <c r="G158">
        <v>173</v>
      </c>
      <c r="H158">
        <v>206</v>
      </c>
      <c r="I158">
        <v>47750</v>
      </c>
      <c r="J158">
        <v>47544</v>
      </c>
      <c r="K158">
        <v>187</v>
      </c>
      <c r="L158" s="1" t="s">
        <v>19</v>
      </c>
      <c r="M158" s="1"/>
      <c r="N158" s="1"/>
      <c r="O158" s="1" t="s">
        <v>27</v>
      </c>
      <c r="P158" s="1">
        <f>IFERROR(((Posts_Cleaned[[#This Row],[Likes]]+Posts_Cleaned[[#This Row],[Shares]]+Posts_Cleaned[[#This Row],[Comments]])/Posts_Cleaned[[#This Row],[Impressions]]),0)</f>
        <v>0.10793717277486911</v>
      </c>
      <c r="Q158" s="7" t="str">
        <f>_xlfn.TEXTJOIN(", ", TRUE, Posts_Cleaned[[#This Row],[Hashtags Used.1]], Posts_Cleaned[[#This Row],[Hashtags Used.2]], Posts_Cleaned[[#This Row],[Hashtags Used.3]])</f>
        <v>#FutureOfDriving</v>
      </c>
    </row>
    <row r="159" spans="1:17" x14ac:dyDescent="0.25">
      <c r="A159" t="s">
        <v>216</v>
      </c>
      <c r="B159" s="1" t="s">
        <v>33</v>
      </c>
      <c r="C159" s="2">
        <v>45515</v>
      </c>
      <c r="D159" s="1" t="s">
        <v>34</v>
      </c>
      <c r="E159" s="1" t="s">
        <v>35</v>
      </c>
      <c r="F159">
        <v>1762</v>
      </c>
      <c r="G159">
        <v>405</v>
      </c>
      <c r="H159">
        <v>423</v>
      </c>
      <c r="I159">
        <v>22906</v>
      </c>
      <c r="J159">
        <v>21925</v>
      </c>
      <c r="K159">
        <v>25</v>
      </c>
      <c r="L159" s="1" t="s">
        <v>25</v>
      </c>
      <c r="M159" s="1"/>
      <c r="N159" s="1"/>
      <c r="O159" s="1" t="s">
        <v>21</v>
      </c>
      <c r="P159" s="1">
        <f>IFERROR(((Posts_Cleaned[[#This Row],[Likes]]+Posts_Cleaned[[#This Row],[Shares]]+Posts_Cleaned[[#This Row],[Comments]])/Posts_Cleaned[[#This Row],[Impressions]]),0)</f>
        <v>0.11307081114118571</v>
      </c>
      <c r="Q159" s="7" t="str">
        <f>_xlfn.TEXTJOIN(", ", TRUE, Posts_Cleaned[[#This Row],[Hashtags Used.1]], Posts_Cleaned[[#This Row],[Hashtags Used.2]], Posts_Cleaned[[#This Row],[Hashtags Used.3]])</f>
        <v>#TeslaCoInnovation</v>
      </c>
    </row>
    <row r="160" spans="1:17" x14ac:dyDescent="0.25">
      <c r="A160" t="s">
        <v>217</v>
      </c>
      <c r="B160" s="1" t="s">
        <v>40</v>
      </c>
      <c r="C160" s="2">
        <v>45621</v>
      </c>
      <c r="D160" s="1" t="s">
        <v>34</v>
      </c>
      <c r="E160" s="1" t="s">
        <v>58</v>
      </c>
      <c r="F160">
        <v>2120</v>
      </c>
      <c r="G160">
        <v>158</v>
      </c>
      <c r="H160">
        <v>488</v>
      </c>
      <c r="I160">
        <v>12720</v>
      </c>
      <c r="J160">
        <v>12085</v>
      </c>
      <c r="K160">
        <v>17</v>
      </c>
      <c r="L160" s="1" t="s">
        <v>19</v>
      </c>
      <c r="M160" s="1"/>
      <c r="N160" s="1"/>
      <c r="O160" s="1" t="s">
        <v>27</v>
      </c>
      <c r="P160" s="1">
        <f>IFERROR(((Posts_Cleaned[[#This Row],[Likes]]+Posts_Cleaned[[#This Row],[Shares]]+Posts_Cleaned[[#This Row],[Comments]])/Posts_Cleaned[[#This Row],[Impressions]]),0)</f>
        <v>0.21745283018867925</v>
      </c>
      <c r="Q160" s="7" t="str">
        <f>_xlfn.TEXTJOIN(", ", TRUE, Posts_Cleaned[[#This Row],[Hashtags Used.1]], Posts_Cleaned[[#This Row],[Hashtags Used.2]], Posts_Cleaned[[#This Row],[Hashtags Used.3]])</f>
        <v>#FutureOfDriving</v>
      </c>
    </row>
    <row r="161" spans="1:17" x14ac:dyDescent="0.25">
      <c r="A161" t="s">
        <v>218</v>
      </c>
      <c r="B161" s="1" t="s">
        <v>16</v>
      </c>
      <c r="C161" s="2">
        <v>45528</v>
      </c>
      <c r="D161" s="1" t="s">
        <v>60</v>
      </c>
      <c r="E161" s="1" t="s">
        <v>99</v>
      </c>
      <c r="F161">
        <v>1082</v>
      </c>
      <c r="G161">
        <v>209</v>
      </c>
      <c r="H161">
        <v>484</v>
      </c>
      <c r="I161">
        <v>19476</v>
      </c>
      <c r="J161">
        <v>18654</v>
      </c>
      <c r="K161">
        <v>20</v>
      </c>
      <c r="L161" s="1" t="s">
        <v>25</v>
      </c>
      <c r="M161" s="1"/>
      <c r="N161" s="1"/>
      <c r="O161" s="1"/>
      <c r="P161" s="1">
        <f>IFERROR(((Posts_Cleaned[[#This Row],[Likes]]+Posts_Cleaned[[#This Row],[Shares]]+Posts_Cleaned[[#This Row],[Comments]])/Posts_Cleaned[[#This Row],[Impressions]]),0)</f>
        <v>9.1137810638734856E-2</v>
      </c>
      <c r="Q161" s="7" t="str">
        <f>_xlfn.TEXTJOIN(", ", TRUE, Posts_Cleaned[[#This Row],[Hashtags Used.1]], Posts_Cleaned[[#This Row],[Hashtags Used.2]], Posts_Cleaned[[#This Row],[Hashtags Used.3]])</f>
        <v>#TeslaCoInnovation</v>
      </c>
    </row>
    <row r="162" spans="1:17" x14ac:dyDescent="0.25">
      <c r="A162" t="s">
        <v>219</v>
      </c>
      <c r="B162" s="1" t="s">
        <v>16</v>
      </c>
      <c r="C162" s="2">
        <v>45707</v>
      </c>
      <c r="D162" s="1" t="s">
        <v>23</v>
      </c>
      <c r="E162" s="1" t="s">
        <v>24</v>
      </c>
      <c r="F162">
        <v>4671</v>
      </c>
      <c r="G162">
        <v>876</v>
      </c>
      <c r="H162">
        <v>366</v>
      </c>
      <c r="I162">
        <v>51381</v>
      </c>
      <c r="J162">
        <v>50565</v>
      </c>
      <c r="K162">
        <v>245</v>
      </c>
      <c r="L162" s="1" t="s">
        <v>25</v>
      </c>
      <c r="M162" s="1"/>
      <c r="N162" s="1"/>
      <c r="O162" s="1" t="s">
        <v>37</v>
      </c>
      <c r="P162" s="1">
        <f>IFERROR(((Posts_Cleaned[[#This Row],[Likes]]+Posts_Cleaned[[#This Row],[Shares]]+Posts_Cleaned[[#This Row],[Comments]])/Posts_Cleaned[[#This Row],[Impressions]]),0)</f>
        <v>0.11508145034156594</v>
      </c>
      <c r="Q162" s="7" t="str">
        <f>_xlfn.TEXTJOIN(", ", TRUE, Posts_Cleaned[[#This Row],[Hashtags Used.1]], Posts_Cleaned[[#This Row],[Hashtags Used.2]], Posts_Cleaned[[#This Row],[Hashtags Used.3]])</f>
        <v>#TeslaCoInnovation</v>
      </c>
    </row>
    <row r="163" spans="1:17" x14ac:dyDescent="0.25">
      <c r="A163" t="s">
        <v>220</v>
      </c>
      <c r="B163" s="1" t="s">
        <v>40</v>
      </c>
      <c r="C163" s="2">
        <v>45748</v>
      </c>
      <c r="D163" s="1" t="s">
        <v>34</v>
      </c>
      <c r="E163" s="1" t="s">
        <v>58</v>
      </c>
      <c r="F163">
        <v>3430</v>
      </c>
      <c r="G163">
        <v>566</v>
      </c>
      <c r="H163">
        <v>164</v>
      </c>
      <c r="I163">
        <v>48020</v>
      </c>
      <c r="J163">
        <v>47305</v>
      </c>
      <c r="K163">
        <v>120</v>
      </c>
      <c r="L163" s="1" t="s">
        <v>19</v>
      </c>
      <c r="M163" s="1"/>
      <c r="N163" s="1"/>
      <c r="O163" s="1"/>
      <c r="P163" s="1">
        <f>IFERROR(((Posts_Cleaned[[#This Row],[Likes]]+Posts_Cleaned[[#This Row],[Shares]]+Posts_Cleaned[[#This Row],[Comments]])/Posts_Cleaned[[#This Row],[Impressions]]),0)</f>
        <v>8.6630570595585168E-2</v>
      </c>
      <c r="Q163" s="7" t="str">
        <f>_xlfn.TEXTJOIN(", ", TRUE, Posts_Cleaned[[#This Row],[Hashtags Used.1]], Posts_Cleaned[[#This Row],[Hashtags Used.2]], Posts_Cleaned[[#This Row],[Hashtags Used.3]])</f>
        <v>#FutureOfDriving</v>
      </c>
    </row>
    <row r="164" spans="1:17" x14ac:dyDescent="0.25">
      <c r="A164" t="s">
        <v>221</v>
      </c>
      <c r="B164" s="1" t="s">
        <v>33</v>
      </c>
      <c r="C164" s="2">
        <v>45755</v>
      </c>
      <c r="D164" s="1" t="s">
        <v>46</v>
      </c>
      <c r="E164" s="1" t="s">
        <v>138</v>
      </c>
      <c r="F164">
        <v>4501</v>
      </c>
      <c r="G164">
        <v>375</v>
      </c>
      <c r="H164">
        <v>323</v>
      </c>
      <c r="I164">
        <v>22505</v>
      </c>
      <c r="J164">
        <v>21836</v>
      </c>
      <c r="K164">
        <v>132</v>
      </c>
      <c r="L164" s="1" t="s">
        <v>25</v>
      </c>
      <c r="M164" s="1"/>
      <c r="N164" s="1"/>
      <c r="O164" s="1" t="s">
        <v>27</v>
      </c>
      <c r="P164" s="1">
        <f>IFERROR(((Posts_Cleaned[[#This Row],[Likes]]+Posts_Cleaned[[#This Row],[Shares]]+Posts_Cleaned[[#This Row],[Comments]])/Posts_Cleaned[[#This Row],[Impressions]]),0)</f>
        <v>0.23101532992668297</v>
      </c>
      <c r="Q164" s="7" t="str">
        <f>_xlfn.TEXTJOIN(", ", TRUE, Posts_Cleaned[[#This Row],[Hashtags Used.1]], Posts_Cleaned[[#This Row],[Hashtags Used.2]], Posts_Cleaned[[#This Row],[Hashtags Used.3]])</f>
        <v>#TeslaCoInnovation</v>
      </c>
    </row>
    <row r="165" spans="1:17" x14ac:dyDescent="0.25">
      <c r="A165" t="s">
        <v>222</v>
      </c>
      <c r="B165" s="1" t="s">
        <v>29</v>
      </c>
      <c r="C165" s="2">
        <v>45715</v>
      </c>
      <c r="D165" s="1" t="s">
        <v>23</v>
      </c>
      <c r="E165" s="1" t="s">
        <v>77</v>
      </c>
      <c r="F165">
        <v>4934</v>
      </c>
      <c r="G165">
        <v>971</v>
      </c>
      <c r="H165">
        <v>156</v>
      </c>
      <c r="I165">
        <v>39472</v>
      </c>
      <c r="J165">
        <v>39025</v>
      </c>
      <c r="K165">
        <v>169</v>
      </c>
      <c r="L165" s="1" t="s">
        <v>25</v>
      </c>
      <c r="M165" s="1" t="s">
        <v>20</v>
      </c>
      <c r="N165" s="1"/>
      <c r="O165" s="1" t="s">
        <v>37</v>
      </c>
      <c r="P165" s="1">
        <f>IFERROR(((Posts_Cleaned[[#This Row],[Likes]]+Posts_Cleaned[[#This Row],[Shares]]+Posts_Cleaned[[#This Row],[Comments]])/Posts_Cleaned[[#This Row],[Impressions]]),0)</f>
        <v>0.15355188488042157</v>
      </c>
      <c r="Q165" s="7" t="str">
        <f>_xlfn.TEXTJOIN(", ", TRUE, Posts_Cleaned[[#This Row],[Hashtags Used.1]], Posts_Cleaned[[#This Row],[Hashtags Used.2]], Posts_Cleaned[[#This Row],[Hashtags Used.3]])</f>
        <v>#TeslaCoInnovation, #AnytimeIsTeslaTime</v>
      </c>
    </row>
    <row r="166" spans="1:17" x14ac:dyDescent="0.25">
      <c r="A166" t="s">
        <v>223</v>
      </c>
      <c r="B166" s="1" t="s">
        <v>16</v>
      </c>
      <c r="C166" s="2">
        <v>45637</v>
      </c>
      <c r="D166" s="1" t="s">
        <v>23</v>
      </c>
      <c r="E166" s="1" t="s">
        <v>24</v>
      </c>
      <c r="F166">
        <v>3239</v>
      </c>
      <c r="G166">
        <v>43</v>
      </c>
      <c r="H166">
        <v>211</v>
      </c>
      <c r="I166">
        <v>22673</v>
      </c>
      <c r="J166">
        <v>22171</v>
      </c>
      <c r="K166">
        <v>230</v>
      </c>
      <c r="L166" s="1" t="s">
        <v>25</v>
      </c>
      <c r="M166" s="1"/>
      <c r="N166" s="1"/>
      <c r="O166" s="1" t="s">
        <v>27</v>
      </c>
      <c r="P166" s="1">
        <f>IFERROR(((Posts_Cleaned[[#This Row],[Likes]]+Posts_Cleaned[[#This Row],[Shares]]+Posts_Cleaned[[#This Row],[Comments]])/Posts_Cleaned[[#This Row],[Impressions]]),0)</f>
        <v>0.15405989502933004</v>
      </c>
      <c r="Q166" s="7" t="str">
        <f>_xlfn.TEXTJOIN(", ", TRUE, Posts_Cleaned[[#This Row],[Hashtags Used.1]], Posts_Cleaned[[#This Row],[Hashtags Used.2]], Posts_Cleaned[[#This Row],[Hashtags Used.3]])</f>
        <v>#TeslaCoInnovation</v>
      </c>
    </row>
    <row r="167" spans="1:17" x14ac:dyDescent="0.25">
      <c r="A167" t="s">
        <v>224</v>
      </c>
      <c r="B167" s="1" t="s">
        <v>16</v>
      </c>
      <c r="C167" s="2">
        <v>45704</v>
      </c>
      <c r="D167" s="1" t="s">
        <v>17</v>
      </c>
      <c r="E167" s="1" t="s">
        <v>18</v>
      </c>
      <c r="F167">
        <v>1076</v>
      </c>
      <c r="G167">
        <v>313</v>
      </c>
      <c r="H167">
        <v>306</v>
      </c>
      <c r="I167">
        <v>11836</v>
      </c>
      <c r="J167">
        <v>11596</v>
      </c>
      <c r="K167">
        <v>104</v>
      </c>
      <c r="L167" s="1" t="s">
        <v>19</v>
      </c>
      <c r="M167" s="1"/>
      <c r="N167" s="1"/>
      <c r="O167" s="1" t="s">
        <v>21</v>
      </c>
      <c r="P167" s="1">
        <f>IFERROR(((Posts_Cleaned[[#This Row],[Likes]]+Posts_Cleaned[[#This Row],[Shares]]+Posts_Cleaned[[#This Row],[Comments]])/Posts_Cleaned[[#This Row],[Impressions]]),0)</f>
        <v>0.14320716458262928</v>
      </c>
      <c r="Q167" s="7" t="str">
        <f>_xlfn.TEXTJOIN(", ", TRUE, Posts_Cleaned[[#This Row],[Hashtags Used.1]], Posts_Cleaned[[#This Row],[Hashtags Used.2]], Posts_Cleaned[[#This Row],[Hashtags Used.3]])</f>
        <v>#FutureOfDriving</v>
      </c>
    </row>
    <row r="168" spans="1:17" x14ac:dyDescent="0.25">
      <c r="A168" t="s">
        <v>225</v>
      </c>
      <c r="B168" s="1" t="s">
        <v>33</v>
      </c>
      <c r="C168" s="2">
        <v>45624</v>
      </c>
      <c r="D168" s="1" t="s">
        <v>23</v>
      </c>
      <c r="E168" s="1" t="s">
        <v>82</v>
      </c>
      <c r="F168">
        <v>4771</v>
      </c>
      <c r="G168">
        <v>818</v>
      </c>
      <c r="H168">
        <v>56</v>
      </c>
      <c r="I168">
        <v>57252</v>
      </c>
      <c r="J168">
        <v>56378</v>
      </c>
      <c r="K168">
        <v>150</v>
      </c>
      <c r="L168" s="1" t="s">
        <v>19</v>
      </c>
      <c r="M168" s="1"/>
      <c r="N168" s="1"/>
      <c r="O168" s="1"/>
      <c r="P168" s="1">
        <f>IFERROR(((Posts_Cleaned[[#This Row],[Likes]]+Posts_Cleaned[[#This Row],[Shares]]+Posts_Cleaned[[#This Row],[Comments]])/Posts_Cleaned[[#This Row],[Impressions]]),0)</f>
        <v>9.859917557465242E-2</v>
      </c>
      <c r="Q168" s="7" t="str">
        <f>_xlfn.TEXTJOIN(", ", TRUE, Posts_Cleaned[[#This Row],[Hashtags Used.1]], Posts_Cleaned[[#This Row],[Hashtags Used.2]], Posts_Cleaned[[#This Row],[Hashtags Used.3]])</f>
        <v>#FutureOfDriving</v>
      </c>
    </row>
    <row r="169" spans="1:17" x14ac:dyDescent="0.25">
      <c r="A169" t="s">
        <v>226</v>
      </c>
      <c r="B169" s="1" t="s">
        <v>40</v>
      </c>
      <c r="C169" s="2">
        <v>45608</v>
      </c>
      <c r="D169" s="1" t="s">
        <v>23</v>
      </c>
      <c r="E169" s="1" t="s">
        <v>49</v>
      </c>
      <c r="F169">
        <v>2418</v>
      </c>
      <c r="G169">
        <v>754</v>
      </c>
      <c r="H169">
        <v>54</v>
      </c>
      <c r="I169">
        <v>43524</v>
      </c>
      <c r="J169">
        <v>42743</v>
      </c>
      <c r="K169">
        <v>182</v>
      </c>
      <c r="L169" s="1" t="s">
        <v>36</v>
      </c>
      <c r="M169" s="1"/>
      <c r="N169" s="1"/>
      <c r="O169" s="1" t="s">
        <v>21</v>
      </c>
      <c r="P169" s="1">
        <f>IFERROR(((Posts_Cleaned[[#This Row],[Likes]]+Posts_Cleaned[[#This Row],[Shares]]+Posts_Cleaned[[#This Row],[Comments]])/Posts_Cleaned[[#This Row],[Impressions]]),0)</f>
        <v>7.412002573292896E-2</v>
      </c>
      <c r="Q169" s="7" t="str">
        <f>_xlfn.TEXTJOIN(", ", TRUE, Posts_Cleaned[[#This Row],[Hashtags Used.1]], Posts_Cleaned[[#This Row],[Hashtags Used.2]], Posts_Cleaned[[#This Row],[Hashtags Used.3]])</f>
        <v>#EVRevolution</v>
      </c>
    </row>
    <row r="170" spans="1:17" x14ac:dyDescent="0.25">
      <c r="A170" t="s">
        <v>227</v>
      </c>
      <c r="B170" s="1" t="s">
        <v>29</v>
      </c>
      <c r="C170" s="2">
        <v>45629</v>
      </c>
      <c r="D170" s="1" t="s">
        <v>60</v>
      </c>
      <c r="E170" s="1" t="s">
        <v>140</v>
      </c>
      <c r="F170">
        <v>3809</v>
      </c>
      <c r="G170">
        <v>273</v>
      </c>
      <c r="H170">
        <v>200</v>
      </c>
      <c r="I170">
        <v>34281</v>
      </c>
      <c r="J170">
        <v>33534</v>
      </c>
      <c r="K170">
        <v>83</v>
      </c>
      <c r="L170" s="1" t="s">
        <v>36</v>
      </c>
      <c r="M170" s="1"/>
      <c r="N170" s="1"/>
      <c r="O170" s="1" t="s">
        <v>21</v>
      </c>
      <c r="P170" s="1">
        <f>IFERROR(((Posts_Cleaned[[#This Row],[Likes]]+Posts_Cleaned[[#This Row],[Shares]]+Posts_Cleaned[[#This Row],[Comments]])/Posts_Cleaned[[#This Row],[Impressions]]),0)</f>
        <v>0.12490884163239112</v>
      </c>
      <c r="Q170" s="7" t="str">
        <f>_xlfn.TEXTJOIN(", ", TRUE, Posts_Cleaned[[#This Row],[Hashtags Used.1]], Posts_Cleaned[[#This Row],[Hashtags Used.2]], Posts_Cleaned[[#This Row],[Hashtags Used.3]])</f>
        <v>#EVRevolution</v>
      </c>
    </row>
    <row r="171" spans="1:17" x14ac:dyDescent="0.25">
      <c r="A171" t="s">
        <v>228</v>
      </c>
      <c r="B171" s="1" t="s">
        <v>16</v>
      </c>
      <c r="C171" s="2">
        <v>45775</v>
      </c>
      <c r="D171" s="1" t="s">
        <v>23</v>
      </c>
      <c r="E171" s="1" t="s">
        <v>24</v>
      </c>
      <c r="F171">
        <v>3577</v>
      </c>
      <c r="G171">
        <v>596</v>
      </c>
      <c r="H171">
        <v>493</v>
      </c>
      <c r="I171">
        <v>67963</v>
      </c>
      <c r="J171">
        <v>67839</v>
      </c>
      <c r="K171">
        <v>53</v>
      </c>
      <c r="L171" s="1" t="s">
        <v>25</v>
      </c>
      <c r="M171" s="1"/>
      <c r="N171" s="1"/>
      <c r="O171" s="1" t="s">
        <v>31</v>
      </c>
      <c r="P171" s="1">
        <f>IFERROR(((Posts_Cleaned[[#This Row],[Likes]]+Posts_Cleaned[[#This Row],[Shares]]+Posts_Cleaned[[#This Row],[Comments]])/Posts_Cleaned[[#This Row],[Impressions]]),0)</f>
        <v>6.8655003457763777E-2</v>
      </c>
      <c r="Q171" s="7" t="str">
        <f>_xlfn.TEXTJOIN(", ", TRUE, Posts_Cleaned[[#This Row],[Hashtags Used.1]], Posts_Cleaned[[#This Row],[Hashtags Used.2]], Posts_Cleaned[[#This Row],[Hashtags Used.3]])</f>
        <v>#TeslaCoInnovation</v>
      </c>
    </row>
    <row r="172" spans="1:17" x14ac:dyDescent="0.25">
      <c r="A172" t="s">
        <v>229</v>
      </c>
      <c r="B172" s="1" t="s">
        <v>29</v>
      </c>
      <c r="C172" s="2">
        <v>45657</v>
      </c>
      <c r="D172" s="1" t="s">
        <v>60</v>
      </c>
      <c r="E172" s="1" t="s">
        <v>140</v>
      </c>
      <c r="F172">
        <v>1018</v>
      </c>
      <c r="G172">
        <v>447</v>
      </c>
      <c r="H172">
        <v>332</v>
      </c>
      <c r="I172">
        <v>18324</v>
      </c>
      <c r="J172">
        <v>18164</v>
      </c>
      <c r="K172">
        <v>38</v>
      </c>
      <c r="L172" s="1" t="s">
        <v>19</v>
      </c>
      <c r="M172" s="1"/>
      <c r="N172" s="1"/>
      <c r="O172" s="1" t="s">
        <v>27</v>
      </c>
      <c r="P172" s="1">
        <f>IFERROR(((Posts_Cleaned[[#This Row],[Likes]]+Posts_Cleaned[[#This Row],[Shares]]+Posts_Cleaned[[#This Row],[Comments]])/Posts_Cleaned[[#This Row],[Impressions]]),0)</f>
        <v>9.8068107400130972E-2</v>
      </c>
      <c r="Q172" s="7" t="str">
        <f>_xlfn.TEXTJOIN(", ", TRUE, Posts_Cleaned[[#This Row],[Hashtags Used.1]], Posts_Cleaned[[#This Row],[Hashtags Used.2]], Posts_Cleaned[[#This Row],[Hashtags Used.3]])</f>
        <v>#FutureOfDriving</v>
      </c>
    </row>
    <row r="173" spans="1:17" x14ac:dyDescent="0.25">
      <c r="A173" t="s">
        <v>230</v>
      </c>
      <c r="B173" s="1" t="s">
        <v>40</v>
      </c>
      <c r="C173" s="2">
        <v>45518</v>
      </c>
      <c r="D173" s="1" t="s">
        <v>41</v>
      </c>
      <c r="E173" s="1" t="s">
        <v>42</v>
      </c>
      <c r="F173">
        <v>3073</v>
      </c>
      <c r="G173">
        <v>553</v>
      </c>
      <c r="H173">
        <v>174</v>
      </c>
      <c r="I173">
        <v>52241</v>
      </c>
      <c r="J173">
        <v>51605</v>
      </c>
      <c r="K173">
        <v>246</v>
      </c>
      <c r="L173" s="1" t="s">
        <v>36</v>
      </c>
      <c r="M173" s="1"/>
      <c r="N173" s="1"/>
      <c r="O173" s="1" t="s">
        <v>31</v>
      </c>
      <c r="P173" s="1">
        <f>IFERROR(((Posts_Cleaned[[#This Row],[Likes]]+Posts_Cleaned[[#This Row],[Shares]]+Posts_Cleaned[[#This Row],[Comments]])/Posts_Cleaned[[#This Row],[Impressions]]),0)</f>
        <v>7.2739802071170159E-2</v>
      </c>
      <c r="Q173" s="7" t="str">
        <f>_xlfn.TEXTJOIN(", ", TRUE, Posts_Cleaned[[#This Row],[Hashtags Used.1]], Posts_Cleaned[[#This Row],[Hashtags Used.2]], Posts_Cleaned[[#This Row],[Hashtags Used.3]])</f>
        <v>#EVRevolution</v>
      </c>
    </row>
    <row r="174" spans="1:17" x14ac:dyDescent="0.25">
      <c r="A174" t="s">
        <v>231</v>
      </c>
      <c r="B174" s="1" t="s">
        <v>16</v>
      </c>
      <c r="C174" s="2">
        <v>45631</v>
      </c>
      <c r="D174" s="1" t="s">
        <v>60</v>
      </c>
      <c r="E174" s="1" t="s">
        <v>99</v>
      </c>
      <c r="F174">
        <v>1330</v>
      </c>
      <c r="G174">
        <v>925</v>
      </c>
      <c r="H174">
        <v>35</v>
      </c>
      <c r="I174">
        <v>15960</v>
      </c>
      <c r="J174">
        <v>15379</v>
      </c>
      <c r="K174">
        <v>229</v>
      </c>
      <c r="L174" s="1" t="s">
        <v>19</v>
      </c>
      <c r="M174" s="1"/>
      <c r="N174" s="1"/>
      <c r="O174" s="1" t="s">
        <v>31</v>
      </c>
      <c r="P174" s="1">
        <f>IFERROR(((Posts_Cleaned[[#This Row],[Likes]]+Posts_Cleaned[[#This Row],[Shares]]+Posts_Cleaned[[#This Row],[Comments]])/Posts_Cleaned[[#This Row],[Impressions]]),0)</f>
        <v>0.14348370927318296</v>
      </c>
      <c r="Q174" s="7" t="str">
        <f>_xlfn.TEXTJOIN(", ", TRUE, Posts_Cleaned[[#This Row],[Hashtags Used.1]], Posts_Cleaned[[#This Row],[Hashtags Used.2]], Posts_Cleaned[[#This Row],[Hashtags Used.3]])</f>
        <v>#FutureOfDriving</v>
      </c>
    </row>
    <row r="175" spans="1:17" x14ac:dyDescent="0.25">
      <c r="A175" t="s">
        <v>232</v>
      </c>
      <c r="B175" s="1" t="s">
        <v>40</v>
      </c>
      <c r="C175" s="2">
        <v>45465</v>
      </c>
      <c r="D175" s="1" t="s">
        <v>23</v>
      </c>
      <c r="E175" s="1" t="s">
        <v>49</v>
      </c>
      <c r="F175">
        <v>3828</v>
      </c>
      <c r="G175">
        <v>148</v>
      </c>
      <c r="H175">
        <v>253</v>
      </c>
      <c r="I175">
        <v>30624</v>
      </c>
      <c r="J175">
        <v>30229</v>
      </c>
      <c r="K175">
        <v>235</v>
      </c>
      <c r="L175" s="1" t="s">
        <v>36</v>
      </c>
      <c r="M175" s="1"/>
      <c r="N175" s="1"/>
      <c r="O175" s="1"/>
      <c r="P175" s="1">
        <f>IFERROR(((Posts_Cleaned[[#This Row],[Likes]]+Posts_Cleaned[[#This Row],[Shares]]+Posts_Cleaned[[#This Row],[Comments]])/Posts_Cleaned[[#This Row],[Impressions]]),0)</f>
        <v>0.13809430512016718</v>
      </c>
      <c r="Q175" s="7" t="str">
        <f>_xlfn.TEXTJOIN(", ", TRUE, Posts_Cleaned[[#This Row],[Hashtags Used.1]], Posts_Cleaned[[#This Row],[Hashtags Used.2]], Posts_Cleaned[[#This Row],[Hashtags Used.3]])</f>
        <v>#EVRevolution</v>
      </c>
    </row>
    <row r="176" spans="1:17" x14ac:dyDescent="0.25">
      <c r="A176" t="s">
        <v>233</v>
      </c>
      <c r="B176" s="1" t="s">
        <v>33</v>
      </c>
      <c r="C176" s="2">
        <v>45674</v>
      </c>
      <c r="D176" s="1" t="s">
        <v>17</v>
      </c>
      <c r="E176" s="1" t="s">
        <v>65</v>
      </c>
      <c r="F176">
        <v>142</v>
      </c>
      <c r="G176">
        <v>784</v>
      </c>
      <c r="H176">
        <v>183</v>
      </c>
      <c r="I176">
        <v>1704</v>
      </c>
      <c r="J176">
        <v>995</v>
      </c>
      <c r="K176">
        <v>154</v>
      </c>
      <c r="L176" s="1" t="s">
        <v>19</v>
      </c>
      <c r="M176" s="1"/>
      <c r="N176" s="1"/>
      <c r="O176" s="1" t="s">
        <v>37</v>
      </c>
      <c r="P176" s="1">
        <f>IFERROR(((Posts_Cleaned[[#This Row],[Likes]]+Posts_Cleaned[[#This Row],[Shares]]+Posts_Cleaned[[#This Row],[Comments]])/Posts_Cleaned[[#This Row],[Impressions]]),0)</f>
        <v>0.6508215962441315</v>
      </c>
      <c r="Q176" s="7" t="str">
        <f>_xlfn.TEXTJOIN(", ", TRUE, Posts_Cleaned[[#This Row],[Hashtags Used.1]], Posts_Cleaned[[#This Row],[Hashtags Used.2]], Posts_Cleaned[[#This Row],[Hashtags Used.3]])</f>
        <v>#FutureOfDriving</v>
      </c>
    </row>
    <row r="177" spans="1:17" x14ac:dyDescent="0.25">
      <c r="A177" t="s">
        <v>234</v>
      </c>
      <c r="B177" s="1" t="s">
        <v>40</v>
      </c>
      <c r="C177" s="2">
        <v>45463</v>
      </c>
      <c r="D177" s="1" t="s">
        <v>60</v>
      </c>
      <c r="E177" s="1" t="s">
        <v>61</v>
      </c>
      <c r="F177">
        <v>3798</v>
      </c>
      <c r="G177">
        <v>31</v>
      </c>
      <c r="H177">
        <v>279</v>
      </c>
      <c r="I177">
        <v>75960</v>
      </c>
      <c r="J177">
        <v>75813</v>
      </c>
      <c r="K177">
        <v>266</v>
      </c>
      <c r="L177" s="1" t="s">
        <v>25</v>
      </c>
      <c r="M177" s="1"/>
      <c r="N177" s="1"/>
      <c r="O177" s="1" t="s">
        <v>21</v>
      </c>
      <c r="P177" s="1">
        <f>IFERROR(((Posts_Cleaned[[#This Row],[Likes]]+Posts_Cleaned[[#This Row],[Shares]]+Posts_Cleaned[[#This Row],[Comments]])/Posts_Cleaned[[#This Row],[Impressions]]),0)</f>
        <v>5.4081095313322801E-2</v>
      </c>
      <c r="Q177" s="7" t="str">
        <f>_xlfn.TEXTJOIN(", ", TRUE, Posts_Cleaned[[#This Row],[Hashtags Used.1]], Posts_Cleaned[[#This Row],[Hashtags Used.2]], Posts_Cleaned[[#This Row],[Hashtags Used.3]])</f>
        <v>#TeslaCoInnovation</v>
      </c>
    </row>
    <row r="178" spans="1:17" x14ac:dyDescent="0.25">
      <c r="A178" t="s">
        <v>235</v>
      </c>
      <c r="B178" s="1" t="s">
        <v>33</v>
      </c>
      <c r="C178" s="2">
        <v>45483</v>
      </c>
      <c r="D178" s="1" t="s">
        <v>41</v>
      </c>
      <c r="E178" s="1" t="s">
        <v>69</v>
      </c>
      <c r="F178">
        <v>3099</v>
      </c>
      <c r="G178">
        <v>694</v>
      </c>
      <c r="H178">
        <v>171</v>
      </c>
      <c r="I178">
        <v>43386</v>
      </c>
      <c r="J178">
        <v>42921</v>
      </c>
      <c r="K178">
        <v>52</v>
      </c>
      <c r="L178" s="1" t="s">
        <v>25</v>
      </c>
      <c r="M178" s="1"/>
      <c r="N178" s="1"/>
      <c r="O178" s="1" t="s">
        <v>31</v>
      </c>
      <c r="P178" s="1">
        <f>IFERROR(((Posts_Cleaned[[#This Row],[Likes]]+Posts_Cleaned[[#This Row],[Shares]]+Posts_Cleaned[[#This Row],[Comments]])/Posts_Cleaned[[#This Row],[Impressions]]),0)</f>
        <v>9.1365878393951966E-2</v>
      </c>
      <c r="Q178" s="7" t="str">
        <f>_xlfn.TEXTJOIN(", ", TRUE, Posts_Cleaned[[#This Row],[Hashtags Used.1]], Posts_Cleaned[[#This Row],[Hashtags Used.2]], Posts_Cleaned[[#This Row],[Hashtags Used.3]])</f>
        <v>#TeslaCoInnovation</v>
      </c>
    </row>
    <row r="179" spans="1:17" x14ac:dyDescent="0.25">
      <c r="A179" t="s">
        <v>236</v>
      </c>
      <c r="B179" s="1" t="s">
        <v>33</v>
      </c>
      <c r="C179" s="2">
        <v>45603</v>
      </c>
      <c r="D179" s="1" t="s">
        <v>60</v>
      </c>
      <c r="E179" s="1" t="s">
        <v>67</v>
      </c>
      <c r="F179">
        <v>129</v>
      </c>
      <c r="G179">
        <v>643</v>
      </c>
      <c r="H179">
        <v>136</v>
      </c>
      <c r="I179">
        <v>1290</v>
      </c>
      <c r="J179">
        <v>839</v>
      </c>
      <c r="K179">
        <v>238</v>
      </c>
      <c r="L179" s="1" t="s">
        <v>25</v>
      </c>
      <c r="M179" s="1"/>
      <c r="N179" s="1"/>
      <c r="O179" s="1" t="s">
        <v>37</v>
      </c>
      <c r="P179" s="1">
        <f>IFERROR(((Posts_Cleaned[[#This Row],[Likes]]+Posts_Cleaned[[#This Row],[Shares]]+Posts_Cleaned[[#This Row],[Comments]])/Posts_Cleaned[[#This Row],[Impressions]]),0)</f>
        <v>0.70387596899224802</v>
      </c>
      <c r="Q179" s="7" t="str">
        <f>_xlfn.TEXTJOIN(", ", TRUE, Posts_Cleaned[[#This Row],[Hashtags Used.1]], Posts_Cleaned[[#This Row],[Hashtags Used.2]], Posts_Cleaned[[#This Row],[Hashtags Used.3]])</f>
        <v>#TeslaCoInnovation</v>
      </c>
    </row>
    <row r="180" spans="1:17" x14ac:dyDescent="0.25">
      <c r="A180" t="s">
        <v>237</v>
      </c>
      <c r="B180" s="1" t="s">
        <v>40</v>
      </c>
      <c r="C180" s="2">
        <v>45488</v>
      </c>
      <c r="D180" s="1" t="s">
        <v>41</v>
      </c>
      <c r="E180" s="1" t="s">
        <v>42</v>
      </c>
      <c r="F180">
        <v>3796</v>
      </c>
      <c r="G180">
        <v>667</v>
      </c>
      <c r="H180">
        <v>395</v>
      </c>
      <c r="I180">
        <v>64532</v>
      </c>
      <c r="J180">
        <v>63550</v>
      </c>
      <c r="K180">
        <v>292</v>
      </c>
      <c r="L180" s="1" t="s">
        <v>25</v>
      </c>
      <c r="M180" s="1"/>
      <c r="N180" s="1"/>
      <c r="O180" s="1"/>
      <c r="P180" s="1">
        <f>IFERROR(((Posts_Cleaned[[#This Row],[Likes]]+Posts_Cleaned[[#This Row],[Shares]]+Posts_Cleaned[[#This Row],[Comments]])/Posts_Cleaned[[#This Row],[Impressions]]),0)</f>
        <v>7.5280481001673588E-2</v>
      </c>
      <c r="Q180" s="7" t="str">
        <f>_xlfn.TEXTJOIN(", ", TRUE, Posts_Cleaned[[#This Row],[Hashtags Used.1]], Posts_Cleaned[[#This Row],[Hashtags Used.2]], Posts_Cleaned[[#This Row],[Hashtags Used.3]])</f>
        <v>#TeslaCoInnovation</v>
      </c>
    </row>
    <row r="181" spans="1:17" x14ac:dyDescent="0.25">
      <c r="A181" t="s">
        <v>238</v>
      </c>
      <c r="B181" s="1" t="s">
        <v>29</v>
      </c>
      <c r="C181" s="2">
        <v>45629</v>
      </c>
      <c r="D181" s="1" t="s">
        <v>23</v>
      </c>
      <c r="E181" s="1" t="s">
        <v>77</v>
      </c>
      <c r="F181">
        <v>3711</v>
      </c>
      <c r="G181">
        <v>352</v>
      </c>
      <c r="H181">
        <v>290</v>
      </c>
      <c r="I181">
        <v>48243</v>
      </c>
      <c r="J181">
        <v>47579</v>
      </c>
      <c r="K181">
        <v>11</v>
      </c>
      <c r="L181" s="1" t="s">
        <v>25</v>
      </c>
      <c r="M181" s="1"/>
      <c r="N181" s="1"/>
      <c r="O181" s="1" t="s">
        <v>21</v>
      </c>
      <c r="P181" s="1">
        <f>IFERROR(((Posts_Cleaned[[#This Row],[Likes]]+Posts_Cleaned[[#This Row],[Shares]]+Posts_Cleaned[[#This Row],[Comments]])/Posts_Cleaned[[#This Row],[Impressions]]),0)</f>
        <v>9.023070704558174E-2</v>
      </c>
      <c r="Q181" s="7" t="str">
        <f>_xlfn.TEXTJOIN(", ", TRUE, Posts_Cleaned[[#This Row],[Hashtags Used.1]], Posts_Cleaned[[#This Row],[Hashtags Used.2]], Posts_Cleaned[[#This Row],[Hashtags Used.3]])</f>
        <v>#TeslaCoInnovation</v>
      </c>
    </row>
    <row r="182" spans="1:17" x14ac:dyDescent="0.25">
      <c r="A182" t="s">
        <v>239</v>
      </c>
      <c r="B182" s="1" t="s">
        <v>29</v>
      </c>
      <c r="C182" s="2">
        <v>45737</v>
      </c>
      <c r="D182" s="1" t="s">
        <v>46</v>
      </c>
      <c r="E182" s="1" t="s">
        <v>47</v>
      </c>
      <c r="F182">
        <v>606</v>
      </c>
      <c r="G182">
        <v>789</v>
      </c>
      <c r="H182">
        <v>470</v>
      </c>
      <c r="I182">
        <v>7878</v>
      </c>
      <c r="J182">
        <v>7389</v>
      </c>
      <c r="K182">
        <v>239</v>
      </c>
      <c r="L182" s="1" t="s">
        <v>36</v>
      </c>
      <c r="M182" s="1"/>
      <c r="N182" s="1"/>
      <c r="O182" s="1" t="s">
        <v>31</v>
      </c>
      <c r="P182" s="1">
        <f>IFERROR(((Posts_Cleaned[[#This Row],[Likes]]+Posts_Cleaned[[#This Row],[Shares]]+Posts_Cleaned[[#This Row],[Comments]])/Posts_Cleaned[[#This Row],[Impressions]]),0)</f>
        <v>0.23673521198273673</v>
      </c>
      <c r="Q182" s="7" t="str">
        <f>_xlfn.TEXTJOIN(", ", TRUE, Posts_Cleaned[[#This Row],[Hashtags Used.1]], Posts_Cleaned[[#This Row],[Hashtags Used.2]], Posts_Cleaned[[#This Row],[Hashtags Used.3]])</f>
        <v>#EVRevolution</v>
      </c>
    </row>
    <row r="183" spans="1:17" x14ac:dyDescent="0.25">
      <c r="A183" t="s">
        <v>240</v>
      </c>
      <c r="B183" s="1" t="s">
        <v>40</v>
      </c>
      <c r="C183" s="2">
        <v>45504</v>
      </c>
      <c r="D183" s="1" t="s">
        <v>46</v>
      </c>
      <c r="E183" s="1" t="s">
        <v>51</v>
      </c>
      <c r="F183">
        <v>4689</v>
      </c>
      <c r="G183">
        <v>134</v>
      </c>
      <c r="H183">
        <v>403</v>
      </c>
      <c r="I183">
        <v>51579</v>
      </c>
      <c r="J183">
        <v>50924</v>
      </c>
      <c r="K183">
        <v>173</v>
      </c>
      <c r="L183" s="1" t="s">
        <v>25</v>
      </c>
      <c r="M183" s="1"/>
      <c r="N183" s="1"/>
      <c r="O183" s="1" t="s">
        <v>37</v>
      </c>
      <c r="P183" s="1">
        <f>IFERROR(((Posts_Cleaned[[#This Row],[Likes]]+Posts_Cleaned[[#This Row],[Shares]]+Posts_Cleaned[[#This Row],[Comments]])/Posts_Cleaned[[#This Row],[Impressions]]),0)</f>
        <v>0.10132030477519921</v>
      </c>
      <c r="Q183" s="7" t="str">
        <f>_xlfn.TEXTJOIN(", ", TRUE, Posts_Cleaned[[#This Row],[Hashtags Used.1]], Posts_Cleaned[[#This Row],[Hashtags Used.2]], Posts_Cleaned[[#This Row],[Hashtags Used.3]])</f>
        <v>#TeslaCoInnovation</v>
      </c>
    </row>
    <row r="184" spans="1:17" x14ac:dyDescent="0.25">
      <c r="A184" t="s">
        <v>241</v>
      </c>
      <c r="B184" s="1" t="s">
        <v>33</v>
      </c>
      <c r="C184" s="2">
        <v>45643</v>
      </c>
      <c r="D184" s="1" t="s">
        <v>34</v>
      </c>
      <c r="E184" s="1" t="s">
        <v>35</v>
      </c>
      <c r="F184">
        <v>360</v>
      </c>
      <c r="G184">
        <v>590</v>
      </c>
      <c r="H184">
        <v>393</v>
      </c>
      <c r="I184">
        <v>4680</v>
      </c>
      <c r="J184">
        <v>4322</v>
      </c>
      <c r="K184">
        <v>208</v>
      </c>
      <c r="L184" s="1" t="s">
        <v>19</v>
      </c>
      <c r="M184" s="1"/>
      <c r="N184" s="1"/>
      <c r="O184" s="1" t="s">
        <v>27</v>
      </c>
      <c r="P184" s="1">
        <f>IFERROR(((Posts_Cleaned[[#This Row],[Likes]]+Posts_Cleaned[[#This Row],[Shares]]+Posts_Cleaned[[#This Row],[Comments]])/Posts_Cleaned[[#This Row],[Impressions]]),0)</f>
        <v>0.28696581196581195</v>
      </c>
      <c r="Q184" s="7" t="str">
        <f>_xlfn.TEXTJOIN(", ", TRUE, Posts_Cleaned[[#This Row],[Hashtags Used.1]], Posts_Cleaned[[#This Row],[Hashtags Used.2]], Posts_Cleaned[[#This Row],[Hashtags Used.3]])</f>
        <v>#FutureOfDriving</v>
      </c>
    </row>
    <row r="185" spans="1:17" x14ac:dyDescent="0.25">
      <c r="A185" t="s">
        <v>242</v>
      </c>
      <c r="B185" s="1" t="s">
        <v>16</v>
      </c>
      <c r="C185" s="2">
        <v>45501</v>
      </c>
      <c r="D185" s="1" t="s">
        <v>46</v>
      </c>
      <c r="E185" s="1" t="s">
        <v>92</v>
      </c>
      <c r="F185">
        <v>3215</v>
      </c>
      <c r="G185">
        <v>960</v>
      </c>
      <c r="H185">
        <v>202</v>
      </c>
      <c r="I185">
        <v>32150</v>
      </c>
      <c r="J185">
        <v>31404</v>
      </c>
      <c r="K185">
        <v>251</v>
      </c>
      <c r="L185" s="1" t="s">
        <v>36</v>
      </c>
      <c r="M185" s="1"/>
      <c r="N185" s="1"/>
      <c r="O185" s="1" t="s">
        <v>21</v>
      </c>
      <c r="P185" s="1">
        <f>IFERROR(((Posts_Cleaned[[#This Row],[Likes]]+Posts_Cleaned[[#This Row],[Shares]]+Posts_Cleaned[[#This Row],[Comments]])/Posts_Cleaned[[#This Row],[Impressions]]),0)</f>
        <v>0.13614307931570763</v>
      </c>
      <c r="Q185" s="7" t="str">
        <f>_xlfn.TEXTJOIN(", ", TRUE, Posts_Cleaned[[#This Row],[Hashtags Used.1]], Posts_Cleaned[[#This Row],[Hashtags Used.2]], Posts_Cleaned[[#This Row],[Hashtags Used.3]])</f>
        <v>#EVRevolution</v>
      </c>
    </row>
    <row r="186" spans="1:17" x14ac:dyDescent="0.25">
      <c r="A186" t="s">
        <v>243</v>
      </c>
      <c r="B186" s="1" t="s">
        <v>33</v>
      </c>
      <c r="C186" s="2">
        <v>45668</v>
      </c>
      <c r="D186" s="1" t="s">
        <v>41</v>
      </c>
      <c r="E186" s="1" t="s">
        <v>69</v>
      </c>
      <c r="F186">
        <v>4523</v>
      </c>
      <c r="G186">
        <v>61</v>
      </c>
      <c r="H186">
        <v>157</v>
      </c>
      <c r="I186">
        <v>49753</v>
      </c>
      <c r="J186">
        <v>49329</v>
      </c>
      <c r="K186">
        <v>71</v>
      </c>
      <c r="L186" s="1" t="s">
        <v>36</v>
      </c>
      <c r="M186" s="1"/>
      <c r="N186" s="1"/>
      <c r="O186" s="1"/>
      <c r="P186" s="1">
        <f>IFERROR(((Posts_Cleaned[[#This Row],[Likes]]+Posts_Cleaned[[#This Row],[Shares]]+Posts_Cleaned[[#This Row],[Comments]])/Posts_Cleaned[[#This Row],[Impressions]]),0)</f>
        <v>9.5290736237010829E-2</v>
      </c>
      <c r="Q186" s="7" t="str">
        <f>_xlfn.TEXTJOIN(", ", TRUE, Posts_Cleaned[[#This Row],[Hashtags Used.1]], Posts_Cleaned[[#This Row],[Hashtags Used.2]], Posts_Cleaned[[#This Row],[Hashtags Used.3]])</f>
        <v>#EVRevolution</v>
      </c>
    </row>
    <row r="187" spans="1:17" x14ac:dyDescent="0.25">
      <c r="A187" t="s">
        <v>244</v>
      </c>
      <c r="B187" s="1" t="s">
        <v>40</v>
      </c>
      <c r="C187" s="2">
        <v>45528</v>
      </c>
      <c r="D187" s="1" t="s">
        <v>41</v>
      </c>
      <c r="E187" s="1" t="s">
        <v>42</v>
      </c>
      <c r="F187">
        <v>4292</v>
      </c>
      <c r="G187">
        <v>51</v>
      </c>
      <c r="H187">
        <v>392</v>
      </c>
      <c r="I187">
        <v>55796</v>
      </c>
      <c r="J187">
        <v>54826</v>
      </c>
      <c r="K187">
        <v>264</v>
      </c>
      <c r="L187" s="1" t="s">
        <v>36</v>
      </c>
      <c r="M187" s="1"/>
      <c r="N187" s="1"/>
      <c r="O187" s="1" t="s">
        <v>31</v>
      </c>
      <c r="P187" s="1">
        <f>IFERROR(((Posts_Cleaned[[#This Row],[Likes]]+Posts_Cleaned[[#This Row],[Shares]]+Posts_Cleaned[[#This Row],[Comments]])/Posts_Cleaned[[#This Row],[Impressions]]),0)</f>
        <v>8.4862714173059003E-2</v>
      </c>
      <c r="Q187" s="7" t="str">
        <f>_xlfn.TEXTJOIN(", ", TRUE, Posts_Cleaned[[#This Row],[Hashtags Used.1]], Posts_Cleaned[[#This Row],[Hashtags Used.2]], Posts_Cleaned[[#This Row],[Hashtags Used.3]])</f>
        <v>#EVRevolution</v>
      </c>
    </row>
    <row r="188" spans="1:17" x14ac:dyDescent="0.25">
      <c r="A188" t="s">
        <v>245</v>
      </c>
      <c r="B188" s="1" t="s">
        <v>16</v>
      </c>
      <c r="C188" s="2">
        <v>45648</v>
      </c>
      <c r="D188" s="1" t="s">
        <v>17</v>
      </c>
      <c r="E188" s="1" t="s">
        <v>18</v>
      </c>
      <c r="F188">
        <v>1644</v>
      </c>
      <c r="G188">
        <v>546</v>
      </c>
      <c r="H188">
        <v>150</v>
      </c>
      <c r="I188">
        <v>27948</v>
      </c>
      <c r="J188">
        <v>27184</v>
      </c>
      <c r="K188">
        <v>300</v>
      </c>
      <c r="L188" s="1" t="s">
        <v>36</v>
      </c>
      <c r="M188" s="1"/>
      <c r="N188" s="1"/>
      <c r="O188" s="1" t="s">
        <v>31</v>
      </c>
      <c r="P188" s="1">
        <f>IFERROR(((Posts_Cleaned[[#This Row],[Likes]]+Posts_Cleaned[[#This Row],[Shares]]+Posts_Cleaned[[#This Row],[Comments]])/Posts_Cleaned[[#This Row],[Impressions]]),0)</f>
        <v>8.3726921425504502E-2</v>
      </c>
      <c r="Q188" s="7" t="str">
        <f>_xlfn.TEXTJOIN(", ", TRUE, Posts_Cleaned[[#This Row],[Hashtags Used.1]], Posts_Cleaned[[#This Row],[Hashtags Used.2]], Posts_Cleaned[[#This Row],[Hashtags Used.3]])</f>
        <v>#EVRevolution</v>
      </c>
    </row>
    <row r="189" spans="1:17" x14ac:dyDescent="0.25">
      <c r="A189" t="s">
        <v>246</v>
      </c>
      <c r="B189" s="1" t="s">
        <v>29</v>
      </c>
      <c r="C189" s="2">
        <v>45449</v>
      </c>
      <c r="D189" s="1" t="s">
        <v>17</v>
      </c>
      <c r="E189" s="1" t="s">
        <v>30</v>
      </c>
      <c r="F189">
        <v>2728</v>
      </c>
      <c r="G189">
        <v>533</v>
      </c>
      <c r="H189">
        <v>215</v>
      </c>
      <c r="I189">
        <v>40920</v>
      </c>
      <c r="J189">
        <v>40816</v>
      </c>
      <c r="K189">
        <v>137</v>
      </c>
      <c r="L189" s="1" t="s">
        <v>19</v>
      </c>
      <c r="M189" s="1"/>
      <c r="N189" s="1"/>
      <c r="O189" s="1" t="s">
        <v>27</v>
      </c>
      <c r="P189" s="1">
        <f>IFERROR(((Posts_Cleaned[[#This Row],[Likes]]+Posts_Cleaned[[#This Row],[Shares]]+Posts_Cleaned[[#This Row],[Comments]])/Posts_Cleaned[[#This Row],[Impressions]]),0)</f>
        <v>8.4946236559139784E-2</v>
      </c>
      <c r="Q189" s="7" t="str">
        <f>_xlfn.TEXTJOIN(", ", TRUE, Posts_Cleaned[[#This Row],[Hashtags Used.1]], Posts_Cleaned[[#This Row],[Hashtags Used.2]], Posts_Cleaned[[#This Row],[Hashtags Used.3]])</f>
        <v>#FutureOfDriving</v>
      </c>
    </row>
    <row r="190" spans="1:17" x14ac:dyDescent="0.25">
      <c r="A190" t="s">
        <v>247</v>
      </c>
      <c r="B190" s="1" t="s">
        <v>40</v>
      </c>
      <c r="C190" s="2">
        <v>45740</v>
      </c>
      <c r="D190" s="1" t="s">
        <v>17</v>
      </c>
      <c r="E190" s="1" t="s">
        <v>54</v>
      </c>
      <c r="F190">
        <v>3360</v>
      </c>
      <c r="G190">
        <v>525</v>
      </c>
      <c r="H190">
        <v>500</v>
      </c>
      <c r="I190">
        <v>60480</v>
      </c>
      <c r="J190">
        <v>59610</v>
      </c>
      <c r="K190">
        <v>192</v>
      </c>
      <c r="L190" s="1" t="s">
        <v>25</v>
      </c>
      <c r="M190" s="1"/>
      <c r="N190" s="1"/>
      <c r="O190" s="1" t="s">
        <v>21</v>
      </c>
      <c r="P190" s="1">
        <f>IFERROR(((Posts_Cleaned[[#This Row],[Likes]]+Posts_Cleaned[[#This Row],[Shares]]+Posts_Cleaned[[#This Row],[Comments]])/Posts_Cleaned[[#This Row],[Impressions]]),0)</f>
        <v>7.2503306878306875E-2</v>
      </c>
      <c r="Q190" s="7" t="str">
        <f>_xlfn.TEXTJOIN(", ", TRUE, Posts_Cleaned[[#This Row],[Hashtags Used.1]], Posts_Cleaned[[#This Row],[Hashtags Used.2]], Posts_Cleaned[[#This Row],[Hashtags Used.3]])</f>
        <v>#TeslaCoInnovation</v>
      </c>
    </row>
    <row r="191" spans="1:17" x14ac:dyDescent="0.25">
      <c r="A191" t="s">
        <v>248</v>
      </c>
      <c r="B191" s="1" t="s">
        <v>29</v>
      </c>
      <c r="C191" s="2">
        <v>45569</v>
      </c>
      <c r="D191" s="1" t="s">
        <v>23</v>
      </c>
      <c r="E191" s="1" t="s">
        <v>77</v>
      </c>
      <c r="F191">
        <v>1963</v>
      </c>
      <c r="G191">
        <v>213</v>
      </c>
      <c r="H191">
        <v>19</v>
      </c>
      <c r="I191">
        <v>39260</v>
      </c>
      <c r="J191">
        <v>38771</v>
      </c>
      <c r="K191">
        <v>145</v>
      </c>
      <c r="L191" s="1" t="s">
        <v>19</v>
      </c>
      <c r="M191" s="1"/>
      <c r="N191" s="1"/>
      <c r="O191" s="1"/>
      <c r="P191" s="1">
        <f>IFERROR(((Posts_Cleaned[[#This Row],[Likes]]+Posts_Cleaned[[#This Row],[Shares]]+Posts_Cleaned[[#This Row],[Comments]])/Posts_Cleaned[[#This Row],[Impressions]]),0)</f>
        <v>5.5909322465613857E-2</v>
      </c>
      <c r="Q191" s="7" t="str">
        <f>_xlfn.TEXTJOIN(", ", TRUE, Posts_Cleaned[[#This Row],[Hashtags Used.1]], Posts_Cleaned[[#This Row],[Hashtags Used.2]], Posts_Cleaned[[#This Row],[Hashtags Used.3]])</f>
        <v>#FutureOfDriving</v>
      </c>
    </row>
    <row r="192" spans="1:17" x14ac:dyDescent="0.25">
      <c r="A192" t="s">
        <v>249</v>
      </c>
      <c r="B192" s="1" t="s">
        <v>29</v>
      </c>
      <c r="C192" s="2">
        <v>45629</v>
      </c>
      <c r="D192" s="1" t="s">
        <v>34</v>
      </c>
      <c r="E192" s="1" t="s">
        <v>105</v>
      </c>
      <c r="F192">
        <v>4285</v>
      </c>
      <c r="G192">
        <v>886</v>
      </c>
      <c r="H192">
        <v>376</v>
      </c>
      <c r="I192">
        <v>55705</v>
      </c>
      <c r="J192">
        <v>55556</v>
      </c>
      <c r="K192">
        <v>51</v>
      </c>
      <c r="L192" s="1" t="s">
        <v>19</v>
      </c>
      <c r="M192" s="1"/>
      <c r="N192" s="1"/>
      <c r="O192" s="1" t="s">
        <v>31</v>
      </c>
      <c r="P192" s="1">
        <f>IFERROR(((Posts_Cleaned[[#This Row],[Likes]]+Posts_Cleaned[[#This Row],[Shares]]+Posts_Cleaned[[#This Row],[Comments]])/Posts_Cleaned[[#This Row],[Impressions]]),0)</f>
        <v>9.9578134817341346E-2</v>
      </c>
      <c r="Q192" s="7" t="str">
        <f>_xlfn.TEXTJOIN(", ", TRUE, Posts_Cleaned[[#This Row],[Hashtags Used.1]], Posts_Cleaned[[#This Row],[Hashtags Used.2]], Posts_Cleaned[[#This Row],[Hashtags Used.3]])</f>
        <v>#FutureOfDriving</v>
      </c>
    </row>
    <row r="193" spans="1:17" x14ac:dyDescent="0.25">
      <c r="A193" t="s">
        <v>250</v>
      </c>
      <c r="B193" s="1" t="s">
        <v>33</v>
      </c>
      <c r="C193" s="2">
        <v>45625</v>
      </c>
      <c r="D193" s="1" t="s">
        <v>60</v>
      </c>
      <c r="E193" s="1" t="s">
        <v>67</v>
      </c>
      <c r="F193">
        <v>1176</v>
      </c>
      <c r="G193">
        <v>464</v>
      </c>
      <c r="H193">
        <v>394</v>
      </c>
      <c r="I193">
        <v>14112</v>
      </c>
      <c r="J193">
        <v>13588</v>
      </c>
      <c r="K193">
        <v>272</v>
      </c>
      <c r="L193" s="1" t="s">
        <v>36</v>
      </c>
      <c r="M193" s="1"/>
      <c r="N193" s="1"/>
      <c r="O193" s="1"/>
      <c r="P193" s="1">
        <f>IFERROR(((Posts_Cleaned[[#This Row],[Likes]]+Posts_Cleaned[[#This Row],[Shares]]+Posts_Cleaned[[#This Row],[Comments]])/Posts_Cleaned[[#This Row],[Impressions]]),0)</f>
        <v>0.1441326530612245</v>
      </c>
      <c r="Q193" s="7" t="str">
        <f>_xlfn.TEXTJOIN(", ", TRUE, Posts_Cleaned[[#This Row],[Hashtags Used.1]], Posts_Cleaned[[#This Row],[Hashtags Used.2]], Posts_Cleaned[[#This Row],[Hashtags Used.3]])</f>
        <v>#EVRevolution</v>
      </c>
    </row>
    <row r="194" spans="1:17" x14ac:dyDescent="0.25">
      <c r="A194" t="s">
        <v>251</v>
      </c>
      <c r="B194" s="1" t="s">
        <v>16</v>
      </c>
      <c r="C194" s="2">
        <v>45546</v>
      </c>
      <c r="D194" s="1" t="s">
        <v>46</v>
      </c>
      <c r="E194" s="1" t="s">
        <v>92</v>
      </c>
      <c r="F194">
        <v>4858</v>
      </c>
      <c r="G194">
        <v>317</v>
      </c>
      <c r="H194">
        <v>129</v>
      </c>
      <c r="I194">
        <v>53438</v>
      </c>
      <c r="J194">
        <v>52687</v>
      </c>
      <c r="K194">
        <v>223</v>
      </c>
      <c r="L194" s="1" t="s">
        <v>36</v>
      </c>
      <c r="M194" s="1"/>
      <c r="N194" s="1"/>
      <c r="O194" s="1" t="s">
        <v>31</v>
      </c>
      <c r="P194" s="1">
        <f>IFERROR(((Posts_Cleaned[[#This Row],[Likes]]+Posts_Cleaned[[#This Row],[Shares]]+Posts_Cleaned[[#This Row],[Comments]])/Posts_Cleaned[[#This Row],[Impressions]]),0)</f>
        <v>9.9255211647142488E-2</v>
      </c>
      <c r="Q194" s="7" t="str">
        <f>_xlfn.TEXTJOIN(", ", TRUE, Posts_Cleaned[[#This Row],[Hashtags Used.1]], Posts_Cleaned[[#This Row],[Hashtags Used.2]], Posts_Cleaned[[#This Row],[Hashtags Used.3]])</f>
        <v>#EVRevolution</v>
      </c>
    </row>
    <row r="195" spans="1:17" x14ac:dyDescent="0.25">
      <c r="A195" t="s">
        <v>252</v>
      </c>
      <c r="B195" s="1" t="s">
        <v>29</v>
      </c>
      <c r="C195" s="2">
        <v>45567</v>
      </c>
      <c r="D195" s="1" t="s">
        <v>34</v>
      </c>
      <c r="E195" s="1" t="s">
        <v>105</v>
      </c>
      <c r="F195">
        <v>4350</v>
      </c>
      <c r="G195">
        <v>771</v>
      </c>
      <c r="H195">
        <v>7</v>
      </c>
      <c r="I195">
        <v>60900</v>
      </c>
      <c r="J195">
        <v>60592</v>
      </c>
      <c r="K195">
        <v>195</v>
      </c>
      <c r="L195" s="1" t="s">
        <v>36</v>
      </c>
      <c r="M195" s="1"/>
      <c r="N195" s="1"/>
      <c r="O195" s="1" t="s">
        <v>21</v>
      </c>
      <c r="P195" s="1">
        <f>IFERROR(((Posts_Cleaned[[#This Row],[Likes]]+Posts_Cleaned[[#This Row],[Shares]]+Posts_Cleaned[[#This Row],[Comments]])/Posts_Cleaned[[#This Row],[Impressions]]),0)</f>
        <v>8.4203612479474554E-2</v>
      </c>
      <c r="Q195" s="7" t="str">
        <f>_xlfn.TEXTJOIN(", ", TRUE, Posts_Cleaned[[#This Row],[Hashtags Used.1]], Posts_Cleaned[[#This Row],[Hashtags Used.2]], Posts_Cleaned[[#This Row],[Hashtags Used.3]])</f>
        <v>#EVRevolution</v>
      </c>
    </row>
    <row r="196" spans="1:17" x14ac:dyDescent="0.25">
      <c r="A196" t="s">
        <v>253</v>
      </c>
      <c r="B196" s="1" t="s">
        <v>33</v>
      </c>
      <c r="C196" s="2">
        <v>45519</v>
      </c>
      <c r="D196" s="1" t="s">
        <v>41</v>
      </c>
      <c r="E196" s="1" t="s">
        <v>69</v>
      </c>
      <c r="F196">
        <v>914</v>
      </c>
      <c r="G196">
        <v>464</v>
      </c>
      <c r="H196">
        <v>246</v>
      </c>
      <c r="I196">
        <v>11882</v>
      </c>
      <c r="J196">
        <v>11500</v>
      </c>
      <c r="K196">
        <v>282</v>
      </c>
      <c r="L196" s="1" t="s">
        <v>19</v>
      </c>
      <c r="M196" s="1" t="s">
        <v>25</v>
      </c>
      <c r="N196" s="1" t="s">
        <v>20</v>
      </c>
      <c r="O196" s="1" t="s">
        <v>37</v>
      </c>
      <c r="P196" s="1">
        <f>IFERROR(((Posts_Cleaned[[#This Row],[Likes]]+Posts_Cleaned[[#This Row],[Shares]]+Posts_Cleaned[[#This Row],[Comments]])/Posts_Cleaned[[#This Row],[Impressions]]),0)</f>
        <v>0.13667732704931829</v>
      </c>
      <c r="Q196" s="7" t="str">
        <f>_xlfn.TEXTJOIN(", ", TRUE, Posts_Cleaned[[#This Row],[Hashtags Used.1]], Posts_Cleaned[[#This Row],[Hashtags Used.2]], Posts_Cleaned[[#This Row],[Hashtags Used.3]])</f>
        <v>#FutureOfDriving, #TeslaCoInnovation, #AnytimeIsTeslaTime</v>
      </c>
    </row>
    <row r="197" spans="1:17" x14ac:dyDescent="0.25">
      <c r="A197" t="s">
        <v>254</v>
      </c>
      <c r="B197" s="1" t="s">
        <v>33</v>
      </c>
      <c r="C197" s="2">
        <v>45645</v>
      </c>
      <c r="D197" s="1" t="s">
        <v>23</v>
      </c>
      <c r="E197" s="1" t="s">
        <v>82</v>
      </c>
      <c r="F197">
        <v>1813</v>
      </c>
      <c r="G197">
        <v>623</v>
      </c>
      <c r="H197">
        <v>72</v>
      </c>
      <c r="I197">
        <v>19943</v>
      </c>
      <c r="J197">
        <v>18959</v>
      </c>
      <c r="K197">
        <v>85</v>
      </c>
      <c r="L197" s="1" t="s">
        <v>36</v>
      </c>
      <c r="M197" s="1"/>
      <c r="N197" s="1"/>
      <c r="O197" s="1" t="s">
        <v>31</v>
      </c>
      <c r="P197" s="1">
        <f>IFERROR(((Posts_Cleaned[[#This Row],[Likes]]+Posts_Cleaned[[#This Row],[Shares]]+Posts_Cleaned[[#This Row],[Comments]])/Posts_Cleaned[[#This Row],[Impressions]]),0)</f>
        <v>0.12575841147269717</v>
      </c>
      <c r="Q197" s="7" t="str">
        <f>_xlfn.TEXTJOIN(", ", TRUE, Posts_Cleaned[[#This Row],[Hashtags Used.1]], Posts_Cleaned[[#This Row],[Hashtags Used.2]], Posts_Cleaned[[#This Row],[Hashtags Used.3]])</f>
        <v>#EVRevolution</v>
      </c>
    </row>
    <row r="198" spans="1:17" x14ac:dyDescent="0.25">
      <c r="A198" t="s">
        <v>255</v>
      </c>
      <c r="B198" s="1" t="s">
        <v>16</v>
      </c>
      <c r="C198" s="2">
        <v>45587</v>
      </c>
      <c r="D198" s="1" t="s">
        <v>17</v>
      </c>
      <c r="E198" s="1" t="s">
        <v>18</v>
      </c>
      <c r="F198">
        <v>4782</v>
      </c>
      <c r="G198">
        <v>721</v>
      </c>
      <c r="H198">
        <v>82</v>
      </c>
      <c r="I198">
        <v>86076</v>
      </c>
      <c r="J198">
        <v>85339</v>
      </c>
      <c r="K198">
        <v>19</v>
      </c>
      <c r="L198" s="1" t="s">
        <v>36</v>
      </c>
      <c r="M198" s="1"/>
      <c r="N198" s="1"/>
      <c r="O198" s="1" t="s">
        <v>21</v>
      </c>
      <c r="P198" s="1">
        <f>IFERROR(((Posts_Cleaned[[#This Row],[Likes]]+Posts_Cleaned[[#This Row],[Shares]]+Posts_Cleaned[[#This Row],[Comments]])/Posts_Cleaned[[#This Row],[Impressions]]),0)</f>
        <v>6.4884520656164318E-2</v>
      </c>
      <c r="Q198" s="7" t="str">
        <f>_xlfn.TEXTJOIN(", ", TRUE, Posts_Cleaned[[#This Row],[Hashtags Used.1]], Posts_Cleaned[[#This Row],[Hashtags Used.2]], Posts_Cleaned[[#This Row],[Hashtags Used.3]])</f>
        <v>#EVRevolution</v>
      </c>
    </row>
    <row r="199" spans="1:17" x14ac:dyDescent="0.25">
      <c r="A199" t="s">
        <v>256</v>
      </c>
      <c r="B199" s="1" t="s">
        <v>16</v>
      </c>
      <c r="C199" s="2">
        <v>45549</v>
      </c>
      <c r="D199" s="1" t="s">
        <v>46</v>
      </c>
      <c r="E199" s="1" t="s">
        <v>92</v>
      </c>
      <c r="F199">
        <v>1048</v>
      </c>
      <c r="G199">
        <v>374</v>
      </c>
      <c r="H199">
        <v>450</v>
      </c>
      <c r="I199">
        <v>9432</v>
      </c>
      <c r="J199">
        <v>8882</v>
      </c>
      <c r="K199">
        <v>158</v>
      </c>
      <c r="L199" s="1" t="s">
        <v>25</v>
      </c>
      <c r="M199" s="1"/>
      <c r="N199" s="1"/>
      <c r="O199" s="1" t="s">
        <v>31</v>
      </c>
      <c r="P199" s="1">
        <f>IFERROR(((Posts_Cleaned[[#This Row],[Likes]]+Posts_Cleaned[[#This Row],[Shares]]+Posts_Cleaned[[#This Row],[Comments]])/Posts_Cleaned[[#This Row],[Impressions]]),0)</f>
        <v>0.19847328244274809</v>
      </c>
      <c r="Q199" s="7" t="str">
        <f>_xlfn.TEXTJOIN(", ", TRUE, Posts_Cleaned[[#This Row],[Hashtags Used.1]], Posts_Cleaned[[#This Row],[Hashtags Used.2]], Posts_Cleaned[[#This Row],[Hashtags Used.3]])</f>
        <v>#TeslaCoInnovation</v>
      </c>
    </row>
    <row r="200" spans="1:17" x14ac:dyDescent="0.25">
      <c r="A200" t="s">
        <v>257</v>
      </c>
      <c r="B200" s="1" t="s">
        <v>29</v>
      </c>
      <c r="C200" s="2">
        <v>45626</v>
      </c>
      <c r="D200" s="1" t="s">
        <v>41</v>
      </c>
      <c r="E200" s="1" t="s">
        <v>56</v>
      </c>
      <c r="F200">
        <v>2509</v>
      </c>
      <c r="G200">
        <v>324</v>
      </c>
      <c r="H200">
        <v>171</v>
      </c>
      <c r="I200">
        <v>35126</v>
      </c>
      <c r="J200">
        <v>34685</v>
      </c>
      <c r="K200">
        <v>277</v>
      </c>
      <c r="L200" s="1" t="s">
        <v>25</v>
      </c>
      <c r="M200" s="1"/>
      <c r="N200" s="1"/>
      <c r="O200" s="1" t="s">
        <v>27</v>
      </c>
      <c r="P200" s="1">
        <f>IFERROR(((Posts_Cleaned[[#This Row],[Likes]]+Posts_Cleaned[[#This Row],[Shares]]+Posts_Cleaned[[#This Row],[Comments]])/Posts_Cleaned[[#This Row],[Impressions]]),0)</f>
        <v>8.5520696919660646E-2</v>
      </c>
      <c r="Q200" s="7" t="str">
        <f>_xlfn.TEXTJOIN(", ", TRUE, Posts_Cleaned[[#This Row],[Hashtags Used.1]], Posts_Cleaned[[#This Row],[Hashtags Used.2]], Posts_Cleaned[[#This Row],[Hashtags Used.3]])</f>
        <v>#TeslaCoInnovation</v>
      </c>
    </row>
    <row r="201" spans="1:17" x14ac:dyDescent="0.25">
      <c r="A201" t="s">
        <v>258</v>
      </c>
      <c r="B201" s="1" t="s">
        <v>40</v>
      </c>
      <c r="C201" s="2">
        <v>45754</v>
      </c>
      <c r="D201" s="1" t="s">
        <v>17</v>
      </c>
      <c r="E201" s="1" t="s">
        <v>54</v>
      </c>
      <c r="F201">
        <v>3718</v>
      </c>
      <c r="G201">
        <v>385</v>
      </c>
      <c r="H201">
        <v>310</v>
      </c>
      <c r="I201">
        <v>70642</v>
      </c>
      <c r="J201">
        <v>69749</v>
      </c>
      <c r="K201">
        <v>233</v>
      </c>
      <c r="L201" s="1" t="s">
        <v>25</v>
      </c>
      <c r="M201" s="1"/>
      <c r="N201" s="1"/>
      <c r="O201" s="1" t="s">
        <v>27</v>
      </c>
      <c r="P201" s="1">
        <f>IFERROR(((Posts_Cleaned[[#This Row],[Likes]]+Posts_Cleaned[[#This Row],[Shares]]+Posts_Cleaned[[#This Row],[Comments]])/Posts_Cleaned[[#This Row],[Impressions]]),0)</f>
        <v>6.246991874522239E-2</v>
      </c>
      <c r="Q201" s="7" t="str">
        <f>_xlfn.TEXTJOIN(", ", TRUE, Posts_Cleaned[[#This Row],[Hashtags Used.1]], Posts_Cleaned[[#This Row],[Hashtags Used.2]], Posts_Cleaned[[#This Row],[Hashtags Used.3]])</f>
        <v>#TeslaCoInnovation</v>
      </c>
    </row>
    <row r="202" spans="1:17" x14ac:dyDescent="0.25">
      <c r="A202" t="s">
        <v>259</v>
      </c>
      <c r="B202" s="1" t="s">
        <v>16</v>
      </c>
      <c r="C202" s="2">
        <v>45672</v>
      </c>
      <c r="D202" s="1" t="s">
        <v>17</v>
      </c>
      <c r="E202" s="1" t="s">
        <v>18</v>
      </c>
      <c r="F202">
        <v>802</v>
      </c>
      <c r="G202">
        <v>262</v>
      </c>
      <c r="H202">
        <v>244</v>
      </c>
      <c r="I202">
        <v>14436</v>
      </c>
      <c r="J202">
        <v>14280</v>
      </c>
      <c r="K202">
        <v>49</v>
      </c>
      <c r="L202" s="1" t="s">
        <v>36</v>
      </c>
      <c r="M202" s="1"/>
      <c r="N202" s="1"/>
      <c r="O202" s="1" t="s">
        <v>21</v>
      </c>
      <c r="P202" s="1">
        <f>IFERROR(((Posts_Cleaned[[#This Row],[Likes]]+Posts_Cleaned[[#This Row],[Shares]]+Posts_Cleaned[[#This Row],[Comments]])/Posts_Cleaned[[#This Row],[Impressions]]),0)</f>
        <v>9.0606816292601824E-2</v>
      </c>
      <c r="Q202" s="7" t="str">
        <f>_xlfn.TEXTJOIN(", ", TRUE, Posts_Cleaned[[#This Row],[Hashtags Used.1]], Posts_Cleaned[[#This Row],[Hashtags Used.2]], Posts_Cleaned[[#This Row],[Hashtags Used.3]])</f>
        <v>#EVRevolution</v>
      </c>
    </row>
    <row r="203" spans="1:17" x14ac:dyDescent="0.25">
      <c r="A203" t="s">
        <v>260</v>
      </c>
      <c r="B203" s="1" t="s">
        <v>40</v>
      </c>
      <c r="C203" s="2">
        <v>45445</v>
      </c>
      <c r="D203" s="1" t="s">
        <v>46</v>
      </c>
      <c r="E203" s="1" t="s">
        <v>51</v>
      </c>
      <c r="F203">
        <v>1871</v>
      </c>
      <c r="G203">
        <v>252</v>
      </c>
      <c r="H203">
        <v>335</v>
      </c>
      <c r="I203">
        <v>29936</v>
      </c>
      <c r="J203">
        <v>29576</v>
      </c>
      <c r="K203">
        <v>288</v>
      </c>
      <c r="L203" s="1" t="s">
        <v>36</v>
      </c>
      <c r="M203" s="1"/>
      <c r="N203" s="1"/>
      <c r="O203" s="1" t="s">
        <v>31</v>
      </c>
      <c r="P203" s="1">
        <f>IFERROR(((Posts_Cleaned[[#This Row],[Likes]]+Posts_Cleaned[[#This Row],[Shares]]+Posts_Cleaned[[#This Row],[Comments]])/Posts_Cleaned[[#This Row],[Impressions]]),0)</f>
        <v>8.2108498129342594E-2</v>
      </c>
      <c r="Q203" s="7" t="str">
        <f>_xlfn.TEXTJOIN(", ", TRUE, Posts_Cleaned[[#This Row],[Hashtags Used.1]], Posts_Cleaned[[#This Row],[Hashtags Used.2]], Posts_Cleaned[[#This Row],[Hashtags Used.3]])</f>
        <v>#EVRevolution</v>
      </c>
    </row>
    <row r="204" spans="1:17" x14ac:dyDescent="0.25">
      <c r="A204" t="s">
        <v>261</v>
      </c>
      <c r="B204" s="1" t="s">
        <v>33</v>
      </c>
      <c r="C204" s="2">
        <v>45617</v>
      </c>
      <c r="D204" s="1" t="s">
        <v>41</v>
      </c>
      <c r="E204" s="1" t="s">
        <v>69</v>
      </c>
      <c r="F204">
        <v>3773</v>
      </c>
      <c r="G204">
        <v>299</v>
      </c>
      <c r="H204">
        <v>38</v>
      </c>
      <c r="I204">
        <v>71687</v>
      </c>
      <c r="J204">
        <v>71447</v>
      </c>
      <c r="K204">
        <v>286</v>
      </c>
      <c r="L204" s="1" t="s">
        <v>19</v>
      </c>
      <c r="M204" s="1"/>
      <c r="N204" s="1"/>
      <c r="O204" s="1" t="s">
        <v>21</v>
      </c>
      <c r="P204" s="1">
        <f>IFERROR(((Posts_Cleaned[[#This Row],[Likes]]+Posts_Cleaned[[#This Row],[Shares]]+Posts_Cleaned[[#This Row],[Comments]])/Posts_Cleaned[[#This Row],[Impressions]]),0)</f>
        <v>5.7332570758993957E-2</v>
      </c>
      <c r="Q204" s="7" t="str">
        <f>_xlfn.TEXTJOIN(", ", TRUE, Posts_Cleaned[[#This Row],[Hashtags Used.1]], Posts_Cleaned[[#This Row],[Hashtags Used.2]], Posts_Cleaned[[#This Row],[Hashtags Used.3]])</f>
        <v>#FutureOfDriving</v>
      </c>
    </row>
    <row r="205" spans="1:17" x14ac:dyDescent="0.25">
      <c r="A205" t="s">
        <v>262</v>
      </c>
      <c r="B205" s="1" t="s">
        <v>33</v>
      </c>
      <c r="C205" s="2">
        <v>45658</v>
      </c>
      <c r="D205" s="1" t="s">
        <v>41</v>
      </c>
      <c r="E205" s="1" t="s">
        <v>69</v>
      </c>
      <c r="F205">
        <v>2234</v>
      </c>
      <c r="G205">
        <v>653</v>
      </c>
      <c r="H205">
        <v>432</v>
      </c>
      <c r="I205">
        <v>11170</v>
      </c>
      <c r="J205">
        <v>10569</v>
      </c>
      <c r="K205">
        <v>198</v>
      </c>
      <c r="L205" s="1" t="s">
        <v>19</v>
      </c>
      <c r="M205" s="1"/>
      <c r="N205" s="1"/>
      <c r="O205" s="1" t="s">
        <v>31</v>
      </c>
      <c r="P205" s="1">
        <f>IFERROR(((Posts_Cleaned[[#This Row],[Likes]]+Posts_Cleaned[[#This Row],[Shares]]+Posts_Cleaned[[#This Row],[Comments]])/Posts_Cleaned[[#This Row],[Impressions]]),0)</f>
        <v>0.29713518352730528</v>
      </c>
      <c r="Q205" s="7" t="str">
        <f>_xlfn.TEXTJOIN(", ", TRUE, Posts_Cleaned[[#This Row],[Hashtags Used.1]], Posts_Cleaned[[#This Row],[Hashtags Used.2]], Posts_Cleaned[[#This Row],[Hashtags Used.3]])</f>
        <v>#FutureOfDriving</v>
      </c>
    </row>
    <row r="206" spans="1:17" x14ac:dyDescent="0.25">
      <c r="A206" t="s">
        <v>263</v>
      </c>
      <c r="B206" s="1" t="s">
        <v>16</v>
      </c>
      <c r="C206" s="2">
        <v>45771</v>
      </c>
      <c r="D206" s="1" t="s">
        <v>60</v>
      </c>
      <c r="E206" s="1" t="s">
        <v>99</v>
      </c>
      <c r="F206">
        <v>3820</v>
      </c>
      <c r="G206">
        <v>697</v>
      </c>
      <c r="H206">
        <v>268</v>
      </c>
      <c r="I206">
        <v>45840</v>
      </c>
      <c r="J206">
        <v>45631</v>
      </c>
      <c r="K206">
        <v>171</v>
      </c>
      <c r="L206" s="1" t="s">
        <v>25</v>
      </c>
      <c r="M206" s="1" t="s">
        <v>198</v>
      </c>
      <c r="N206" s="1"/>
      <c r="O206" s="1" t="s">
        <v>37</v>
      </c>
      <c r="P206" s="1">
        <f>IFERROR(((Posts_Cleaned[[#This Row],[Likes]]+Posts_Cleaned[[#This Row],[Shares]]+Posts_Cleaned[[#This Row],[Comments]])/Posts_Cleaned[[#This Row],[Impressions]]),0)</f>
        <v>0.1043848167539267</v>
      </c>
      <c r="Q206" s="7" t="str">
        <f>_xlfn.TEXTJOIN(", ", TRUE, Posts_Cleaned[[#This Row],[Hashtags Used.1]], Posts_Cleaned[[#This Row],[Hashtags Used.2]], Posts_Cleaned[[#This Row],[Hashtags Used.3]])</f>
        <v>#TeslaCoInnovation, #SmoothLikeNitroTesla</v>
      </c>
    </row>
    <row r="207" spans="1:17" x14ac:dyDescent="0.25">
      <c r="A207" t="s">
        <v>264</v>
      </c>
      <c r="B207" s="1" t="s">
        <v>16</v>
      </c>
      <c r="C207" s="2">
        <v>45467</v>
      </c>
      <c r="D207" s="1" t="s">
        <v>23</v>
      </c>
      <c r="E207" s="1" t="s">
        <v>24</v>
      </c>
      <c r="F207">
        <v>941</v>
      </c>
      <c r="G207">
        <v>121</v>
      </c>
      <c r="H207">
        <v>458</v>
      </c>
      <c r="I207">
        <v>14115</v>
      </c>
      <c r="J207">
        <v>13838</v>
      </c>
      <c r="K207">
        <v>87</v>
      </c>
      <c r="L207" s="1" t="s">
        <v>36</v>
      </c>
      <c r="M207" s="1"/>
      <c r="N207" s="1"/>
      <c r="O207" s="1" t="s">
        <v>21</v>
      </c>
      <c r="P207" s="1">
        <f>IFERROR(((Posts_Cleaned[[#This Row],[Likes]]+Posts_Cleaned[[#This Row],[Shares]]+Posts_Cleaned[[#This Row],[Comments]])/Posts_Cleaned[[#This Row],[Impressions]]),0)</f>
        <v>0.10768685795253277</v>
      </c>
      <c r="Q207" s="7" t="str">
        <f>_xlfn.TEXTJOIN(", ", TRUE, Posts_Cleaned[[#This Row],[Hashtags Used.1]], Posts_Cleaned[[#This Row],[Hashtags Used.2]], Posts_Cleaned[[#This Row],[Hashtags Used.3]])</f>
        <v>#EVRevolution</v>
      </c>
    </row>
    <row r="208" spans="1:17" x14ac:dyDescent="0.25">
      <c r="A208" t="s">
        <v>265</v>
      </c>
      <c r="B208" s="1" t="s">
        <v>16</v>
      </c>
      <c r="C208" s="2">
        <v>45655</v>
      </c>
      <c r="D208" s="1" t="s">
        <v>41</v>
      </c>
      <c r="E208" s="1" t="s">
        <v>44</v>
      </c>
      <c r="F208">
        <v>4274</v>
      </c>
      <c r="G208">
        <v>340</v>
      </c>
      <c r="H208">
        <v>281</v>
      </c>
      <c r="I208">
        <v>34192</v>
      </c>
      <c r="J208">
        <v>33446</v>
      </c>
      <c r="K208">
        <v>129</v>
      </c>
      <c r="L208" s="1" t="s">
        <v>25</v>
      </c>
      <c r="M208" s="1" t="s">
        <v>198</v>
      </c>
      <c r="N208" s="1"/>
      <c r="O208" s="1" t="s">
        <v>31</v>
      </c>
      <c r="P208" s="1">
        <f>IFERROR(((Posts_Cleaned[[#This Row],[Likes]]+Posts_Cleaned[[#This Row],[Shares]]+Posts_Cleaned[[#This Row],[Comments]])/Posts_Cleaned[[#This Row],[Impressions]]),0)</f>
        <v>0.14316214319138981</v>
      </c>
      <c r="Q208" s="7" t="str">
        <f>_xlfn.TEXTJOIN(", ", TRUE, Posts_Cleaned[[#This Row],[Hashtags Used.1]], Posts_Cleaned[[#This Row],[Hashtags Used.2]], Posts_Cleaned[[#This Row],[Hashtags Used.3]])</f>
        <v>#TeslaCoInnovation, #SmoothLikeNitroTesla</v>
      </c>
    </row>
    <row r="209" spans="1:17" x14ac:dyDescent="0.25">
      <c r="A209" t="s">
        <v>266</v>
      </c>
      <c r="B209" s="1" t="s">
        <v>29</v>
      </c>
      <c r="C209" s="2">
        <v>45467</v>
      </c>
      <c r="D209" s="1" t="s">
        <v>60</v>
      </c>
      <c r="E209" s="1" t="s">
        <v>140</v>
      </c>
      <c r="F209">
        <v>2949</v>
      </c>
      <c r="G209">
        <v>476</v>
      </c>
      <c r="H209">
        <v>403</v>
      </c>
      <c r="I209">
        <v>44235</v>
      </c>
      <c r="J209">
        <v>43705</v>
      </c>
      <c r="K209">
        <v>135</v>
      </c>
      <c r="L209" s="1" t="s">
        <v>25</v>
      </c>
      <c r="M209" s="1"/>
      <c r="N209" s="1"/>
      <c r="O209" s="1" t="s">
        <v>27</v>
      </c>
      <c r="P209" s="1">
        <f>IFERROR(((Posts_Cleaned[[#This Row],[Likes]]+Posts_Cleaned[[#This Row],[Shares]]+Posts_Cleaned[[#This Row],[Comments]])/Posts_Cleaned[[#This Row],[Impressions]]),0)</f>
        <v>8.6537809426924378E-2</v>
      </c>
      <c r="Q209" s="7" t="str">
        <f>_xlfn.TEXTJOIN(", ", TRUE, Posts_Cleaned[[#This Row],[Hashtags Used.1]], Posts_Cleaned[[#This Row],[Hashtags Used.2]], Posts_Cleaned[[#This Row],[Hashtags Used.3]])</f>
        <v>#TeslaCoInnovation</v>
      </c>
    </row>
    <row r="210" spans="1:17" x14ac:dyDescent="0.25">
      <c r="A210" t="s">
        <v>267</v>
      </c>
      <c r="B210" s="1" t="s">
        <v>16</v>
      </c>
      <c r="C210" s="2">
        <v>45735</v>
      </c>
      <c r="D210" s="1" t="s">
        <v>60</v>
      </c>
      <c r="E210" s="1" t="s">
        <v>99</v>
      </c>
      <c r="F210">
        <v>3160</v>
      </c>
      <c r="G210">
        <v>204</v>
      </c>
      <c r="H210">
        <v>297</v>
      </c>
      <c r="I210">
        <v>44240</v>
      </c>
      <c r="J210">
        <v>43666</v>
      </c>
      <c r="K210">
        <v>49</v>
      </c>
      <c r="L210" s="1" t="s">
        <v>19</v>
      </c>
      <c r="M210" s="1" t="s">
        <v>20</v>
      </c>
      <c r="N210" s="1"/>
      <c r="O210" s="1" t="s">
        <v>37</v>
      </c>
      <c r="P210" s="1">
        <f>IFERROR(((Posts_Cleaned[[#This Row],[Likes]]+Posts_Cleaned[[#This Row],[Shares]]+Posts_Cleaned[[#This Row],[Comments]])/Posts_Cleaned[[#This Row],[Impressions]]),0)</f>
        <v>8.2753164556962022E-2</v>
      </c>
      <c r="Q210" s="7" t="str">
        <f>_xlfn.TEXTJOIN(", ", TRUE, Posts_Cleaned[[#This Row],[Hashtags Used.1]], Posts_Cleaned[[#This Row],[Hashtags Used.2]], Posts_Cleaned[[#This Row],[Hashtags Used.3]])</f>
        <v>#FutureOfDriving, #AnytimeIsTeslaTime</v>
      </c>
    </row>
    <row r="211" spans="1:17" x14ac:dyDescent="0.25">
      <c r="A211" t="s">
        <v>268</v>
      </c>
      <c r="B211" s="1" t="s">
        <v>29</v>
      </c>
      <c r="C211" s="2">
        <v>45707</v>
      </c>
      <c r="D211" s="1" t="s">
        <v>46</v>
      </c>
      <c r="E211" s="1" t="s">
        <v>47</v>
      </c>
      <c r="F211">
        <v>257</v>
      </c>
      <c r="G211">
        <v>966</v>
      </c>
      <c r="H211">
        <v>398</v>
      </c>
      <c r="I211">
        <v>3341</v>
      </c>
      <c r="J211">
        <v>2753</v>
      </c>
      <c r="K211">
        <v>287</v>
      </c>
      <c r="L211" s="1" t="s">
        <v>19</v>
      </c>
      <c r="M211" s="1"/>
      <c r="N211" s="1"/>
      <c r="O211" s="1" t="s">
        <v>21</v>
      </c>
      <c r="P211" s="1">
        <f>IFERROR(((Posts_Cleaned[[#This Row],[Likes]]+Posts_Cleaned[[#This Row],[Shares]]+Posts_Cleaned[[#This Row],[Comments]])/Posts_Cleaned[[#This Row],[Impressions]]),0)</f>
        <v>0.48518407662376534</v>
      </c>
      <c r="Q211" s="7" t="str">
        <f>_xlfn.TEXTJOIN(", ", TRUE, Posts_Cleaned[[#This Row],[Hashtags Used.1]], Posts_Cleaned[[#This Row],[Hashtags Used.2]], Posts_Cleaned[[#This Row],[Hashtags Used.3]])</f>
        <v>#FutureOfDriving</v>
      </c>
    </row>
    <row r="212" spans="1:17" x14ac:dyDescent="0.25">
      <c r="A212" t="s">
        <v>269</v>
      </c>
      <c r="B212" s="1" t="s">
        <v>16</v>
      </c>
      <c r="C212" s="2">
        <v>45491</v>
      </c>
      <c r="D212" s="1" t="s">
        <v>41</v>
      </c>
      <c r="E212" s="1" t="s">
        <v>44</v>
      </c>
      <c r="F212">
        <v>2120</v>
      </c>
      <c r="G212">
        <v>38</v>
      </c>
      <c r="H212">
        <v>212</v>
      </c>
      <c r="I212">
        <v>12720</v>
      </c>
      <c r="J212">
        <v>12564</v>
      </c>
      <c r="K212">
        <v>21</v>
      </c>
      <c r="L212" s="1" t="s">
        <v>19</v>
      </c>
      <c r="M212" s="1"/>
      <c r="N212" s="1"/>
      <c r="O212" s="1" t="s">
        <v>37</v>
      </c>
      <c r="P212" s="1">
        <f>IFERROR(((Posts_Cleaned[[#This Row],[Likes]]+Posts_Cleaned[[#This Row],[Shares]]+Posts_Cleaned[[#This Row],[Comments]])/Posts_Cleaned[[#This Row],[Impressions]]),0)</f>
        <v>0.18632075471698112</v>
      </c>
      <c r="Q212" s="7" t="str">
        <f>_xlfn.TEXTJOIN(", ", TRUE, Posts_Cleaned[[#This Row],[Hashtags Used.1]], Posts_Cleaned[[#This Row],[Hashtags Used.2]], Posts_Cleaned[[#This Row],[Hashtags Used.3]])</f>
        <v>#FutureOfDriving</v>
      </c>
    </row>
    <row r="213" spans="1:17" x14ac:dyDescent="0.25">
      <c r="A213" t="s">
        <v>270</v>
      </c>
      <c r="B213" s="1" t="s">
        <v>29</v>
      </c>
      <c r="C213" s="2">
        <v>45719</v>
      </c>
      <c r="D213" s="1" t="s">
        <v>60</v>
      </c>
      <c r="E213" s="1" t="s">
        <v>140</v>
      </c>
      <c r="F213">
        <v>3874</v>
      </c>
      <c r="G213">
        <v>884</v>
      </c>
      <c r="H213">
        <v>19</v>
      </c>
      <c r="I213">
        <v>38740</v>
      </c>
      <c r="J213">
        <v>38552</v>
      </c>
      <c r="K213">
        <v>219</v>
      </c>
      <c r="L213" s="1" t="s">
        <v>25</v>
      </c>
      <c r="M213" s="1"/>
      <c r="N213" s="1"/>
      <c r="O213" s="1" t="s">
        <v>27</v>
      </c>
      <c r="P213" s="1">
        <f>IFERROR(((Posts_Cleaned[[#This Row],[Likes]]+Posts_Cleaned[[#This Row],[Shares]]+Posts_Cleaned[[#This Row],[Comments]])/Posts_Cleaned[[#This Row],[Impressions]]),0)</f>
        <v>0.123309241094476</v>
      </c>
      <c r="Q213" s="7" t="str">
        <f>_xlfn.TEXTJOIN(", ", TRUE, Posts_Cleaned[[#This Row],[Hashtags Used.1]], Posts_Cleaned[[#This Row],[Hashtags Used.2]], Posts_Cleaned[[#This Row],[Hashtags Used.3]])</f>
        <v>#TeslaCoInnovation</v>
      </c>
    </row>
    <row r="214" spans="1:17" x14ac:dyDescent="0.25">
      <c r="A214" t="s">
        <v>271</v>
      </c>
      <c r="B214" s="1" t="s">
        <v>40</v>
      </c>
      <c r="C214" s="2">
        <v>45778</v>
      </c>
      <c r="D214" s="1" t="s">
        <v>41</v>
      </c>
      <c r="E214" s="1" t="s">
        <v>42</v>
      </c>
      <c r="F214">
        <v>2696</v>
      </c>
      <c r="G214">
        <v>628</v>
      </c>
      <c r="H214">
        <v>443</v>
      </c>
      <c r="I214">
        <v>45832</v>
      </c>
      <c r="J214">
        <v>45632</v>
      </c>
      <c r="K214">
        <v>248</v>
      </c>
      <c r="L214" s="1" t="s">
        <v>36</v>
      </c>
      <c r="M214" s="1"/>
      <c r="N214" s="1"/>
      <c r="O214" s="1" t="s">
        <v>37</v>
      </c>
      <c r="P214" s="1">
        <f>IFERROR(((Posts_Cleaned[[#This Row],[Likes]]+Posts_Cleaned[[#This Row],[Shares]]+Posts_Cleaned[[#This Row],[Comments]])/Posts_Cleaned[[#This Row],[Impressions]]),0)</f>
        <v>8.21914819340199E-2</v>
      </c>
      <c r="Q214" s="7" t="str">
        <f>_xlfn.TEXTJOIN(", ", TRUE, Posts_Cleaned[[#This Row],[Hashtags Used.1]], Posts_Cleaned[[#This Row],[Hashtags Used.2]], Posts_Cleaned[[#This Row],[Hashtags Used.3]])</f>
        <v>#EVRevolution</v>
      </c>
    </row>
    <row r="215" spans="1:17" x14ac:dyDescent="0.25">
      <c r="A215" t="s">
        <v>272</v>
      </c>
      <c r="B215" s="1" t="s">
        <v>33</v>
      </c>
      <c r="C215" s="2">
        <v>45649</v>
      </c>
      <c r="D215" s="1" t="s">
        <v>46</v>
      </c>
      <c r="E215" s="1" t="s">
        <v>138</v>
      </c>
      <c r="F215">
        <v>521</v>
      </c>
      <c r="G215">
        <v>746</v>
      </c>
      <c r="H215">
        <v>315</v>
      </c>
      <c r="I215">
        <v>4168</v>
      </c>
      <c r="J215">
        <v>3399</v>
      </c>
      <c r="K215">
        <v>282</v>
      </c>
      <c r="L215" s="1" t="s">
        <v>19</v>
      </c>
      <c r="M215" s="1"/>
      <c r="N215" s="1"/>
      <c r="O215" s="1" t="s">
        <v>27</v>
      </c>
      <c r="P215" s="1">
        <f>IFERROR(((Posts_Cleaned[[#This Row],[Likes]]+Posts_Cleaned[[#This Row],[Shares]]+Posts_Cleaned[[#This Row],[Comments]])/Posts_Cleaned[[#This Row],[Impressions]]),0)</f>
        <v>0.37955854126679461</v>
      </c>
      <c r="Q215" s="7" t="str">
        <f>_xlfn.TEXTJOIN(", ", TRUE, Posts_Cleaned[[#This Row],[Hashtags Used.1]], Posts_Cleaned[[#This Row],[Hashtags Used.2]], Posts_Cleaned[[#This Row],[Hashtags Used.3]])</f>
        <v>#FutureOfDriving</v>
      </c>
    </row>
    <row r="216" spans="1:17" x14ac:dyDescent="0.25">
      <c r="A216" t="s">
        <v>273</v>
      </c>
      <c r="B216" s="1" t="s">
        <v>40</v>
      </c>
      <c r="C216" s="2">
        <v>45783</v>
      </c>
      <c r="D216" s="1" t="s">
        <v>46</v>
      </c>
      <c r="E216" s="1" t="s">
        <v>51</v>
      </c>
      <c r="F216">
        <v>4872</v>
      </c>
      <c r="G216">
        <v>925</v>
      </c>
      <c r="H216">
        <v>176</v>
      </c>
      <c r="I216">
        <v>82824</v>
      </c>
      <c r="J216">
        <v>82543</v>
      </c>
      <c r="K216">
        <v>89</v>
      </c>
      <c r="L216" s="1" t="s">
        <v>36</v>
      </c>
      <c r="M216" s="1"/>
      <c r="N216" s="1"/>
      <c r="O216" s="1" t="s">
        <v>27</v>
      </c>
      <c r="P216" s="1">
        <f>IFERROR(((Posts_Cleaned[[#This Row],[Likes]]+Posts_Cleaned[[#This Row],[Shares]]+Posts_Cleaned[[#This Row],[Comments]])/Posts_Cleaned[[#This Row],[Impressions]]),0)</f>
        <v>7.2116777745580993E-2</v>
      </c>
      <c r="Q216" s="7" t="str">
        <f>_xlfn.TEXTJOIN(", ", TRUE, Posts_Cleaned[[#This Row],[Hashtags Used.1]], Posts_Cleaned[[#This Row],[Hashtags Used.2]], Posts_Cleaned[[#This Row],[Hashtags Used.3]])</f>
        <v>#EVRevolution</v>
      </c>
    </row>
    <row r="217" spans="1:17" x14ac:dyDescent="0.25">
      <c r="A217" t="s">
        <v>274</v>
      </c>
      <c r="B217" s="1" t="s">
        <v>29</v>
      </c>
      <c r="C217" s="2">
        <v>45502</v>
      </c>
      <c r="D217" s="1" t="s">
        <v>34</v>
      </c>
      <c r="E217" s="1" t="s">
        <v>105</v>
      </c>
      <c r="F217">
        <v>1509</v>
      </c>
      <c r="G217">
        <v>88</v>
      </c>
      <c r="H217">
        <v>163</v>
      </c>
      <c r="I217">
        <v>30180</v>
      </c>
      <c r="J217">
        <v>29689</v>
      </c>
      <c r="K217">
        <v>119</v>
      </c>
      <c r="L217" s="1" t="s">
        <v>36</v>
      </c>
      <c r="M217" s="1"/>
      <c r="N217" s="1"/>
      <c r="O217" s="1" t="s">
        <v>27</v>
      </c>
      <c r="P217" s="1">
        <f>IFERROR(((Posts_Cleaned[[#This Row],[Likes]]+Posts_Cleaned[[#This Row],[Shares]]+Posts_Cleaned[[#This Row],[Comments]])/Posts_Cleaned[[#This Row],[Impressions]]),0)</f>
        <v>5.8316766070245198E-2</v>
      </c>
      <c r="Q217" s="7" t="str">
        <f>_xlfn.TEXTJOIN(", ", TRUE, Posts_Cleaned[[#This Row],[Hashtags Used.1]], Posts_Cleaned[[#This Row],[Hashtags Used.2]], Posts_Cleaned[[#This Row],[Hashtags Used.3]])</f>
        <v>#EVRevolution</v>
      </c>
    </row>
    <row r="218" spans="1:17" x14ac:dyDescent="0.25">
      <c r="A218" t="s">
        <v>275</v>
      </c>
      <c r="B218" s="1" t="s">
        <v>40</v>
      </c>
      <c r="C218" s="2">
        <v>45629</v>
      </c>
      <c r="D218" s="1" t="s">
        <v>46</v>
      </c>
      <c r="E218" s="1" t="s">
        <v>51</v>
      </c>
      <c r="F218">
        <v>4606</v>
      </c>
      <c r="G218">
        <v>931</v>
      </c>
      <c r="H218">
        <v>230</v>
      </c>
      <c r="I218">
        <v>92120</v>
      </c>
      <c r="J218">
        <v>91440</v>
      </c>
      <c r="K218">
        <v>56</v>
      </c>
      <c r="L218" s="1" t="s">
        <v>25</v>
      </c>
      <c r="M218" s="1"/>
      <c r="N218" s="1"/>
      <c r="O218" s="1"/>
      <c r="P218" s="1">
        <f>IFERROR(((Posts_Cleaned[[#This Row],[Likes]]+Posts_Cleaned[[#This Row],[Shares]]+Posts_Cleaned[[#This Row],[Comments]])/Posts_Cleaned[[#This Row],[Impressions]]),0)</f>
        <v>6.2603126356925748E-2</v>
      </c>
      <c r="Q218" s="7" t="str">
        <f>_xlfn.TEXTJOIN(", ", TRUE, Posts_Cleaned[[#This Row],[Hashtags Used.1]], Posts_Cleaned[[#This Row],[Hashtags Used.2]], Posts_Cleaned[[#This Row],[Hashtags Used.3]])</f>
        <v>#TeslaCoInnovation</v>
      </c>
    </row>
    <row r="219" spans="1:17" x14ac:dyDescent="0.25">
      <c r="A219" t="s">
        <v>276</v>
      </c>
      <c r="B219" s="1" t="s">
        <v>40</v>
      </c>
      <c r="C219" s="2">
        <v>45454</v>
      </c>
      <c r="D219" s="1" t="s">
        <v>41</v>
      </c>
      <c r="E219" s="1" t="s">
        <v>42</v>
      </c>
      <c r="F219">
        <v>1869</v>
      </c>
      <c r="G219">
        <v>453</v>
      </c>
      <c r="H219">
        <v>490</v>
      </c>
      <c r="I219">
        <v>14952</v>
      </c>
      <c r="J219">
        <v>14309</v>
      </c>
      <c r="K219">
        <v>275</v>
      </c>
      <c r="L219" s="1" t="s">
        <v>25</v>
      </c>
      <c r="M219" s="1"/>
      <c r="N219" s="1"/>
      <c r="O219" s="1" t="s">
        <v>37</v>
      </c>
      <c r="P219" s="1">
        <f>IFERROR(((Posts_Cleaned[[#This Row],[Likes]]+Posts_Cleaned[[#This Row],[Shares]]+Posts_Cleaned[[#This Row],[Comments]])/Posts_Cleaned[[#This Row],[Impressions]]),0)</f>
        <v>0.18806848582129482</v>
      </c>
      <c r="Q219" s="7" t="str">
        <f>_xlfn.TEXTJOIN(", ", TRUE, Posts_Cleaned[[#This Row],[Hashtags Used.1]], Posts_Cleaned[[#This Row],[Hashtags Used.2]], Posts_Cleaned[[#This Row],[Hashtags Used.3]])</f>
        <v>#TeslaCoInnovation</v>
      </c>
    </row>
    <row r="220" spans="1:17" x14ac:dyDescent="0.25">
      <c r="A220" t="s">
        <v>277</v>
      </c>
      <c r="B220" s="1" t="s">
        <v>16</v>
      </c>
      <c r="C220" s="2">
        <v>45685</v>
      </c>
      <c r="D220" s="1" t="s">
        <v>17</v>
      </c>
      <c r="E220" s="1" t="s">
        <v>18</v>
      </c>
      <c r="F220">
        <v>1188</v>
      </c>
      <c r="G220">
        <v>470</v>
      </c>
      <c r="H220">
        <v>174</v>
      </c>
      <c r="I220">
        <v>7128</v>
      </c>
      <c r="J220">
        <v>6145</v>
      </c>
      <c r="K220">
        <v>270</v>
      </c>
      <c r="L220" s="1" t="s">
        <v>25</v>
      </c>
      <c r="M220" s="1"/>
      <c r="N220" s="1"/>
      <c r="O220" s="1" t="s">
        <v>37</v>
      </c>
      <c r="P220" s="1">
        <f>IFERROR(((Posts_Cleaned[[#This Row],[Likes]]+Posts_Cleaned[[#This Row],[Shares]]+Posts_Cleaned[[#This Row],[Comments]])/Posts_Cleaned[[#This Row],[Impressions]]),0)</f>
        <v>0.25701459034792368</v>
      </c>
      <c r="Q220" s="7" t="str">
        <f>_xlfn.TEXTJOIN(", ", TRUE, Posts_Cleaned[[#This Row],[Hashtags Used.1]], Posts_Cleaned[[#This Row],[Hashtags Used.2]], Posts_Cleaned[[#This Row],[Hashtags Used.3]])</f>
        <v>#TeslaCoInnovation</v>
      </c>
    </row>
    <row r="221" spans="1:17" x14ac:dyDescent="0.25">
      <c r="A221" t="s">
        <v>278</v>
      </c>
      <c r="B221" s="1" t="s">
        <v>33</v>
      </c>
      <c r="C221" s="2">
        <v>45445</v>
      </c>
      <c r="D221" s="1" t="s">
        <v>34</v>
      </c>
      <c r="E221" s="1" t="s">
        <v>35</v>
      </c>
      <c r="F221">
        <v>84</v>
      </c>
      <c r="G221">
        <v>897</v>
      </c>
      <c r="H221">
        <v>85</v>
      </c>
      <c r="I221">
        <v>588</v>
      </c>
      <c r="J221">
        <v>8</v>
      </c>
      <c r="K221">
        <v>12</v>
      </c>
      <c r="L221" s="1" t="s">
        <v>36</v>
      </c>
      <c r="M221" s="1"/>
      <c r="N221" s="1"/>
      <c r="O221" s="1"/>
      <c r="P221" s="1">
        <f>IFERROR(((Posts_Cleaned[[#This Row],[Likes]]+Posts_Cleaned[[#This Row],[Shares]]+Posts_Cleaned[[#This Row],[Comments]])/Posts_Cleaned[[#This Row],[Impressions]]),0)</f>
        <v>1.8129251700680271</v>
      </c>
      <c r="Q221" s="7" t="str">
        <f>_xlfn.TEXTJOIN(", ", TRUE, Posts_Cleaned[[#This Row],[Hashtags Used.1]], Posts_Cleaned[[#This Row],[Hashtags Used.2]], Posts_Cleaned[[#This Row],[Hashtags Used.3]])</f>
        <v>#EVRevolution</v>
      </c>
    </row>
    <row r="222" spans="1:17" x14ac:dyDescent="0.25">
      <c r="A222" t="s">
        <v>279</v>
      </c>
      <c r="B222" s="1" t="s">
        <v>40</v>
      </c>
      <c r="C222" s="2">
        <v>45739</v>
      </c>
      <c r="D222" s="1" t="s">
        <v>60</v>
      </c>
      <c r="E222" s="1" t="s">
        <v>61</v>
      </c>
      <c r="F222">
        <v>4453</v>
      </c>
      <c r="G222">
        <v>111</v>
      </c>
      <c r="H222">
        <v>420</v>
      </c>
      <c r="I222">
        <v>31171</v>
      </c>
      <c r="J222">
        <v>30565</v>
      </c>
      <c r="K222">
        <v>23</v>
      </c>
      <c r="L222" s="1" t="s">
        <v>25</v>
      </c>
      <c r="M222" s="1"/>
      <c r="N222" s="1"/>
      <c r="O222" s="1"/>
      <c r="P222" s="1">
        <f>IFERROR(((Posts_Cleaned[[#This Row],[Likes]]+Posts_Cleaned[[#This Row],[Shares]]+Posts_Cleaned[[#This Row],[Comments]])/Posts_Cleaned[[#This Row],[Impressions]]),0)</f>
        <v>0.15989220750056141</v>
      </c>
      <c r="Q222" s="7" t="str">
        <f>_xlfn.TEXTJOIN(", ", TRUE, Posts_Cleaned[[#This Row],[Hashtags Used.1]], Posts_Cleaned[[#This Row],[Hashtags Used.2]], Posts_Cleaned[[#This Row],[Hashtags Used.3]])</f>
        <v>#TeslaCoInnovation</v>
      </c>
    </row>
    <row r="223" spans="1:17" x14ac:dyDescent="0.25">
      <c r="A223" t="s">
        <v>280</v>
      </c>
      <c r="B223" s="1" t="s">
        <v>40</v>
      </c>
      <c r="C223" s="2">
        <v>45573</v>
      </c>
      <c r="D223" s="1" t="s">
        <v>17</v>
      </c>
      <c r="E223" s="1" t="s">
        <v>54</v>
      </c>
      <c r="F223">
        <v>1814</v>
      </c>
      <c r="G223">
        <v>653</v>
      </c>
      <c r="H223">
        <v>363</v>
      </c>
      <c r="I223">
        <v>25396</v>
      </c>
      <c r="J223">
        <v>25286</v>
      </c>
      <c r="K223">
        <v>39</v>
      </c>
      <c r="L223" s="1" t="s">
        <v>19</v>
      </c>
      <c r="M223" s="1" t="s">
        <v>198</v>
      </c>
      <c r="N223" s="1"/>
      <c r="O223" s="1" t="s">
        <v>21</v>
      </c>
      <c r="P223" s="1">
        <f>IFERROR(((Posts_Cleaned[[#This Row],[Likes]]+Posts_Cleaned[[#This Row],[Shares]]+Posts_Cleaned[[#This Row],[Comments]])/Posts_Cleaned[[#This Row],[Impressions]]),0)</f>
        <v>0.11143487163332809</v>
      </c>
      <c r="Q223" s="7" t="str">
        <f>_xlfn.TEXTJOIN(", ", TRUE, Posts_Cleaned[[#This Row],[Hashtags Used.1]], Posts_Cleaned[[#This Row],[Hashtags Used.2]], Posts_Cleaned[[#This Row],[Hashtags Used.3]])</f>
        <v>#FutureOfDriving, #SmoothLikeNitroTesla</v>
      </c>
    </row>
    <row r="224" spans="1:17" x14ac:dyDescent="0.25">
      <c r="A224" t="s">
        <v>281</v>
      </c>
      <c r="B224" s="1" t="s">
        <v>16</v>
      </c>
      <c r="C224" s="2">
        <v>45608</v>
      </c>
      <c r="D224" s="1" t="s">
        <v>46</v>
      </c>
      <c r="E224" s="1" t="s">
        <v>92</v>
      </c>
      <c r="F224">
        <v>3338</v>
      </c>
      <c r="G224">
        <v>277</v>
      </c>
      <c r="H224">
        <v>118</v>
      </c>
      <c r="I224">
        <v>60084</v>
      </c>
      <c r="J224">
        <v>59842</v>
      </c>
      <c r="K224">
        <v>252</v>
      </c>
      <c r="L224" s="1" t="s">
        <v>25</v>
      </c>
      <c r="M224" s="1"/>
      <c r="N224" s="1"/>
      <c r="O224" s="1"/>
      <c r="P224" s="1">
        <f>IFERROR(((Posts_Cleaned[[#This Row],[Likes]]+Posts_Cleaned[[#This Row],[Shares]]+Posts_Cleaned[[#This Row],[Comments]])/Posts_Cleaned[[#This Row],[Impressions]]),0)</f>
        <v>6.2129685107516146E-2</v>
      </c>
      <c r="Q224" s="7" t="str">
        <f>_xlfn.TEXTJOIN(", ", TRUE, Posts_Cleaned[[#This Row],[Hashtags Used.1]], Posts_Cleaned[[#This Row],[Hashtags Used.2]], Posts_Cleaned[[#This Row],[Hashtags Used.3]])</f>
        <v>#TeslaCoInnovation</v>
      </c>
    </row>
    <row r="225" spans="1:17" x14ac:dyDescent="0.25">
      <c r="A225" t="s">
        <v>282</v>
      </c>
      <c r="B225" s="1" t="s">
        <v>40</v>
      </c>
      <c r="C225" s="2">
        <v>45790</v>
      </c>
      <c r="D225" s="1" t="s">
        <v>46</v>
      </c>
      <c r="E225" s="1" t="s">
        <v>51</v>
      </c>
      <c r="F225">
        <v>602</v>
      </c>
      <c r="G225">
        <v>594</v>
      </c>
      <c r="H225">
        <v>156</v>
      </c>
      <c r="I225">
        <v>4214</v>
      </c>
      <c r="J225">
        <v>3363</v>
      </c>
      <c r="K225">
        <v>164</v>
      </c>
      <c r="L225" s="1" t="s">
        <v>25</v>
      </c>
      <c r="M225" s="1"/>
      <c r="N225" s="1"/>
      <c r="O225" s="1" t="s">
        <v>31</v>
      </c>
      <c r="P225" s="1">
        <f>IFERROR(((Posts_Cleaned[[#This Row],[Likes]]+Posts_Cleaned[[#This Row],[Shares]]+Posts_Cleaned[[#This Row],[Comments]])/Posts_Cleaned[[#This Row],[Impressions]]),0)</f>
        <v>0.32083531086853345</v>
      </c>
      <c r="Q225" s="7" t="str">
        <f>_xlfn.TEXTJOIN(", ", TRUE, Posts_Cleaned[[#This Row],[Hashtags Used.1]], Posts_Cleaned[[#This Row],[Hashtags Used.2]], Posts_Cleaned[[#This Row],[Hashtags Used.3]])</f>
        <v>#TeslaCoInnovation</v>
      </c>
    </row>
    <row r="226" spans="1:17" x14ac:dyDescent="0.25">
      <c r="A226" t="s">
        <v>283</v>
      </c>
      <c r="B226" s="1" t="s">
        <v>16</v>
      </c>
      <c r="C226" s="2">
        <v>45463</v>
      </c>
      <c r="D226" s="1" t="s">
        <v>41</v>
      </c>
      <c r="E226" s="1" t="s">
        <v>44</v>
      </c>
      <c r="F226">
        <v>4672</v>
      </c>
      <c r="G226">
        <v>325</v>
      </c>
      <c r="H226">
        <v>32</v>
      </c>
      <c r="I226">
        <v>88768</v>
      </c>
      <c r="J226">
        <v>87833</v>
      </c>
      <c r="K226">
        <v>118</v>
      </c>
      <c r="L226" s="1" t="s">
        <v>36</v>
      </c>
      <c r="M226" s="1"/>
      <c r="N226" s="1"/>
      <c r="O226" s="1"/>
      <c r="P226" s="1">
        <f>IFERROR(((Posts_Cleaned[[#This Row],[Likes]]+Posts_Cleaned[[#This Row],[Shares]]+Posts_Cleaned[[#This Row],[Comments]])/Posts_Cleaned[[#This Row],[Impressions]]),0)</f>
        <v>5.6653298485940883E-2</v>
      </c>
      <c r="Q226" s="7" t="str">
        <f>_xlfn.TEXTJOIN(", ", TRUE, Posts_Cleaned[[#This Row],[Hashtags Used.1]], Posts_Cleaned[[#This Row],[Hashtags Used.2]], Posts_Cleaned[[#This Row],[Hashtags Used.3]])</f>
        <v>#EVRevolution</v>
      </c>
    </row>
    <row r="227" spans="1:17" x14ac:dyDescent="0.25">
      <c r="A227" t="s">
        <v>284</v>
      </c>
      <c r="B227" s="1" t="s">
        <v>33</v>
      </c>
      <c r="C227" s="2">
        <v>45511</v>
      </c>
      <c r="D227" s="1" t="s">
        <v>41</v>
      </c>
      <c r="E227" s="1" t="s">
        <v>69</v>
      </c>
      <c r="F227">
        <v>1741</v>
      </c>
      <c r="G227">
        <v>164</v>
      </c>
      <c r="H227">
        <v>318</v>
      </c>
      <c r="I227">
        <v>8705</v>
      </c>
      <c r="J227">
        <v>8272</v>
      </c>
      <c r="K227">
        <v>121</v>
      </c>
      <c r="L227" s="1" t="s">
        <v>25</v>
      </c>
      <c r="M227" s="1"/>
      <c r="N227" s="1"/>
      <c r="O227" s="1"/>
      <c r="P227" s="1">
        <f>IFERROR(((Posts_Cleaned[[#This Row],[Likes]]+Posts_Cleaned[[#This Row],[Shares]]+Posts_Cleaned[[#This Row],[Comments]])/Posts_Cleaned[[#This Row],[Impressions]]),0)</f>
        <v>0.25537047673750718</v>
      </c>
      <c r="Q227" s="7" t="str">
        <f>_xlfn.TEXTJOIN(", ", TRUE, Posts_Cleaned[[#This Row],[Hashtags Used.1]], Posts_Cleaned[[#This Row],[Hashtags Used.2]], Posts_Cleaned[[#This Row],[Hashtags Used.3]])</f>
        <v>#TeslaCoInnovation</v>
      </c>
    </row>
    <row r="228" spans="1:17" x14ac:dyDescent="0.25">
      <c r="A228" t="s">
        <v>285</v>
      </c>
      <c r="B228" s="1" t="s">
        <v>33</v>
      </c>
      <c r="C228" s="2">
        <v>45455</v>
      </c>
      <c r="D228" s="1" t="s">
        <v>23</v>
      </c>
      <c r="E228" s="1" t="s">
        <v>82</v>
      </c>
      <c r="F228">
        <v>246</v>
      </c>
      <c r="G228">
        <v>149</v>
      </c>
      <c r="H228">
        <v>130</v>
      </c>
      <c r="I228">
        <v>4674</v>
      </c>
      <c r="J228">
        <v>4390</v>
      </c>
      <c r="K228">
        <v>217</v>
      </c>
      <c r="L228" s="1" t="s">
        <v>19</v>
      </c>
      <c r="M228" s="1"/>
      <c r="N228" s="1"/>
      <c r="O228" s="1" t="s">
        <v>31</v>
      </c>
      <c r="P228" s="1">
        <f>IFERROR(((Posts_Cleaned[[#This Row],[Likes]]+Posts_Cleaned[[#This Row],[Shares]]+Posts_Cleaned[[#This Row],[Comments]])/Posts_Cleaned[[#This Row],[Impressions]]),0)</f>
        <v>0.11232349165596919</v>
      </c>
      <c r="Q228" s="7" t="str">
        <f>_xlfn.TEXTJOIN(", ", TRUE, Posts_Cleaned[[#This Row],[Hashtags Used.1]], Posts_Cleaned[[#This Row],[Hashtags Used.2]], Posts_Cleaned[[#This Row],[Hashtags Used.3]])</f>
        <v>#FutureOfDriving</v>
      </c>
    </row>
    <row r="229" spans="1:17" x14ac:dyDescent="0.25">
      <c r="A229" t="s">
        <v>286</v>
      </c>
      <c r="B229" s="1" t="s">
        <v>33</v>
      </c>
      <c r="C229" s="2">
        <v>45474</v>
      </c>
      <c r="D229" s="1" t="s">
        <v>34</v>
      </c>
      <c r="E229" s="1" t="s">
        <v>35</v>
      </c>
      <c r="F229">
        <v>4808</v>
      </c>
      <c r="G229">
        <v>772</v>
      </c>
      <c r="H229">
        <v>320</v>
      </c>
      <c r="I229">
        <v>72120</v>
      </c>
      <c r="J229">
        <v>71696</v>
      </c>
      <c r="K229">
        <v>195</v>
      </c>
      <c r="L229" s="1" t="s">
        <v>36</v>
      </c>
      <c r="M229" s="1"/>
      <c r="N229" s="1"/>
      <c r="O229" s="1" t="s">
        <v>21</v>
      </c>
      <c r="P229" s="1">
        <f>IFERROR(((Posts_Cleaned[[#This Row],[Likes]]+Posts_Cleaned[[#This Row],[Shares]]+Posts_Cleaned[[#This Row],[Comments]])/Posts_Cleaned[[#This Row],[Impressions]]),0)</f>
        <v>8.1808097615085965E-2</v>
      </c>
      <c r="Q229" s="7" t="str">
        <f>_xlfn.TEXTJOIN(", ", TRUE, Posts_Cleaned[[#This Row],[Hashtags Used.1]], Posts_Cleaned[[#This Row],[Hashtags Used.2]], Posts_Cleaned[[#This Row],[Hashtags Used.3]])</f>
        <v>#EVRevolution</v>
      </c>
    </row>
    <row r="230" spans="1:17" x14ac:dyDescent="0.25">
      <c r="A230" t="s">
        <v>287</v>
      </c>
      <c r="B230" s="1" t="s">
        <v>33</v>
      </c>
      <c r="C230" s="2">
        <v>45476</v>
      </c>
      <c r="D230" s="1" t="s">
        <v>41</v>
      </c>
      <c r="E230" s="1" t="s">
        <v>69</v>
      </c>
      <c r="F230">
        <v>4799</v>
      </c>
      <c r="G230">
        <v>694</v>
      </c>
      <c r="H230">
        <v>289</v>
      </c>
      <c r="I230">
        <v>43191</v>
      </c>
      <c r="J230">
        <v>42228</v>
      </c>
      <c r="K230">
        <v>118</v>
      </c>
      <c r="L230" s="1" t="s">
        <v>25</v>
      </c>
      <c r="M230" s="1"/>
      <c r="N230" s="1"/>
      <c r="O230" s="1"/>
      <c r="P230" s="1">
        <f>IFERROR(((Posts_Cleaned[[#This Row],[Likes]]+Posts_Cleaned[[#This Row],[Shares]]+Posts_Cleaned[[#This Row],[Comments]])/Posts_Cleaned[[#This Row],[Impressions]]),0)</f>
        <v>0.13387048227640017</v>
      </c>
      <c r="Q230" s="7" t="str">
        <f>_xlfn.TEXTJOIN(", ", TRUE, Posts_Cleaned[[#This Row],[Hashtags Used.1]], Posts_Cleaned[[#This Row],[Hashtags Used.2]], Posts_Cleaned[[#This Row],[Hashtags Used.3]])</f>
        <v>#TeslaCoInnovation</v>
      </c>
    </row>
    <row r="231" spans="1:17" x14ac:dyDescent="0.25">
      <c r="A231" t="s">
        <v>288</v>
      </c>
      <c r="B231" s="1" t="s">
        <v>40</v>
      </c>
      <c r="C231" s="2">
        <v>45488</v>
      </c>
      <c r="D231" s="1" t="s">
        <v>17</v>
      </c>
      <c r="E231" s="1" t="s">
        <v>54</v>
      </c>
      <c r="F231">
        <v>3663</v>
      </c>
      <c r="G231">
        <v>17</v>
      </c>
      <c r="H231">
        <v>295</v>
      </c>
      <c r="I231">
        <v>51282</v>
      </c>
      <c r="J231">
        <v>50567</v>
      </c>
      <c r="K231">
        <v>84</v>
      </c>
      <c r="L231" s="1" t="s">
        <v>36</v>
      </c>
      <c r="M231" s="1"/>
      <c r="N231" s="1"/>
      <c r="O231" s="1" t="s">
        <v>31</v>
      </c>
      <c r="P231" s="1">
        <f>IFERROR(((Posts_Cleaned[[#This Row],[Likes]]+Posts_Cleaned[[#This Row],[Shares]]+Posts_Cleaned[[#This Row],[Comments]])/Posts_Cleaned[[#This Row],[Impressions]]),0)</f>
        <v>7.7512577512577507E-2</v>
      </c>
      <c r="Q231" s="7" t="str">
        <f>_xlfn.TEXTJOIN(", ", TRUE, Posts_Cleaned[[#This Row],[Hashtags Used.1]], Posts_Cleaned[[#This Row],[Hashtags Used.2]], Posts_Cleaned[[#This Row],[Hashtags Used.3]])</f>
        <v>#EVRevolution</v>
      </c>
    </row>
    <row r="232" spans="1:17" x14ac:dyDescent="0.25">
      <c r="A232" t="s">
        <v>289</v>
      </c>
      <c r="B232" s="1" t="s">
        <v>33</v>
      </c>
      <c r="C232" s="2">
        <v>45778</v>
      </c>
      <c r="D232" s="1" t="s">
        <v>23</v>
      </c>
      <c r="E232" s="1" t="s">
        <v>82</v>
      </c>
      <c r="F232">
        <v>1430</v>
      </c>
      <c r="G232">
        <v>376</v>
      </c>
      <c r="H232">
        <v>33</v>
      </c>
      <c r="I232">
        <v>21450</v>
      </c>
      <c r="J232">
        <v>20509</v>
      </c>
      <c r="K232">
        <v>251</v>
      </c>
      <c r="L232" s="1" t="s">
        <v>19</v>
      </c>
      <c r="M232" s="1"/>
      <c r="N232" s="1"/>
      <c r="O232" s="1" t="s">
        <v>21</v>
      </c>
      <c r="P232" s="1">
        <f>IFERROR(((Posts_Cleaned[[#This Row],[Likes]]+Posts_Cleaned[[#This Row],[Shares]]+Posts_Cleaned[[#This Row],[Comments]])/Posts_Cleaned[[#This Row],[Impressions]]),0)</f>
        <v>8.5734265734265735E-2</v>
      </c>
      <c r="Q232" s="7" t="str">
        <f>_xlfn.TEXTJOIN(", ", TRUE, Posts_Cleaned[[#This Row],[Hashtags Used.1]], Posts_Cleaned[[#This Row],[Hashtags Used.2]], Posts_Cleaned[[#This Row],[Hashtags Used.3]])</f>
        <v>#FutureOfDriving</v>
      </c>
    </row>
    <row r="233" spans="1:17" x14ac:dyDescent="0.25">
      <c r="A233" t="s">
        <v>290</v>
      </c>
      <c r="B233" s="1" t="s">
        <v>16</v>
      </c>
      <c r="C233" s="2">
        <v>45776</v>
      </c>
      <c r="D233" s="1" t="s">
        <v>34</v>
      </c>
      <c r="E233" s="1" t="s">
        <v>102</v>
      </c>
      <c r="F233">
        <v>249</v>
      </c>
      <c r="G233">
        <v>592</v>
      </c>
      <c r="H233">
        <v>230</v>
      </c>
      <c r="I233">
        <v>1494</v>
      </c>
      <c r="J233">
        <v>1044</v>
      </c>
      <c r="K233">
        <v>201</v>
      </c>
      <c r="L233" s="1" t="s">
        <v>36</v>
      </c>
      <c r="M233" s="1"/>
      <c r="N233" s="1"/>
      <c r="O233" s="1" t="s">
        <v>37</v>
      </c>
      <c r="P233" s="1">
        <f>IFERROR(((Posts_Cleaned[[#This Row],[Likes]]+Posts_Cleaned[[#This Row],[Shares]]+Posts_Cleaned[[#This Row],[Comments]])/Posts_Cleaned[[#This Row],[Impressions]]),0)</f>
        <v>0.7168674698795181</v>
      </c>
      <c r="Q233" s="7" t="str">
        <f>_xlfn.TEXTJOIN(", ", TRUE, Posts_Cleaned[[#This Row],[Hashtags Used.1]], Posts_Cleaned[[#This Row],[Hashtags Used.2]], Posts_Cleaned[[#This Row],[Hashtags Used.3]])</f>
        <v>#EVRevolution</v>
      </c>
    </row>
    <row r="234" spans="1:17" x14ac:dyDescent="0.25">
      <c r="A234" t="s">
        <v>291</v>
      </c>
      <c r="B234" s="1" t="s">
        <v>40</v>
      </c>
      <c r="C234" s="2">
        <v>45724</v>
      </c>
      <c r="D234" s="1" t="s">
        <v>46</v>
      </c>
      <c r="E234" s="1" t="s">
        <v>51</v>
      </c>
      <c r="F234">
        <v>2382</v>
      </c>
      <c r="G234">
        <v>265</v>
      </c>
      <c r="H234">
        <v>134</v>
      </c>
      <c r="I234">
        <v>38112</v>
      </c>
      <c r="J234">
        <v>37437</v>
      </c>
      <c r="K234">
        <v>249</v>
      </c>
      <c r="L234" s="1" t="s">
        <v>19</v>
      </c>
      <c r="M234" s="1"/>
      <c r="N234" s="1"/>
      <c r="O234" s="1" t="s">
        <v>37</v>
      </c>
      <c r="P234" s="1">
        <f>IFERROR(((Posts_Cleaned[[#This Row],[Likes]]+Posts_Cleaned[[#This Row],[Shares]]+Posts_Cleaned[[#This Row],[Comments]])/Posts_Cleaned[[#This Row],[Impressions]]),0)</f>
        <v>7.2969143576826198E-2</v>
      </c>
      <c r="Q234" s="7" t="str">
        <f>_xlfn.TEXTJOIN(", ", TRUE, Posts_Cleaned[[#This Row],[Hashtags Used.1]], Posts_Cleaned[[#This Row],[Hashtags Used.2]], Posts_Cleaned[[#This Row],[Hashtags Used.3]])</f>
        <v>#FutureOfDriving</v>
      </c>
    </row>
    <row r="235" spans="1:17" x14ac:dyDescent="0.25">
      <c r="A235" t="s">
        <v>292</v>
      </c>
      <c r="B235" s="1" t="s">
        <v>40</v>
      </c>
      <c r="C235" s="2">
        <v>45444</v>
      </c>
      <c r="D235" s="1" t="s">
        <v>23</v>
      </c>
      <c r="E235" s="1" t="s">
        <v>49</v>
      </c>
      <c r="F235">
        <v>1272</v>
      </c>
      <c r="G235">
        <v>465</v>
      </c>
      <c r="H235">
        <v>99</v>
      </c>
      <c r="I235">
        <v>24168</v>
      </c>
      <c r="J235">
        <v>23719</v>
      </c>
      <c r="K235">
        <v>42</v>
      </c>
      <c r="L235" s="1" t="s">
        <v>25</v>
      </c>
      <c r="M235" s="1"/>
      <c r="N235" s="1"/>
      <c r="O235" s="1"/>
      <c r="P235" s="1">
        <f>IFERROR(((Posts_Cleaned[[#This Row],[Likes]]+Posts_Cleaned[[#This Row],[Shares]]+Posts_Cleaned[[#This Row],[Comments]])/Posts_Cleaned[[#This Row],[Impressions]]),0)</f>
        <v>7.5968222442899705E-2</v>
      </c>
      <c r="Q235" s="7" t="str">
        <f>_xlfn.TEXTJOIN(", ", TRUE, Posts_Cleaned[[#This Row],[Hashtags Used.1]], Posts_Cleaned[[#This Row],[Hashtags Used.2]], Posts_Cleaned[[#This Row],[Hashtags Used.3]])</f>
        <v>#TeslaCoInnovation</v>
      </c>
    </row>
    <row r="236" spans="1:17" x14ac:dyDescent="0.25">
      <c r="A236" t="s">
        <v>293</v>
      </c>
      <c r="B236" s="1" t="s">
        <v>40</v>
      </c>
      <c r="C236" s="2">
        <v>45648</v>
      </c>
      <c r="D236" s="1" t="s">
        <v>46</v>
      </c>
      <c r="E236" s="1" t="s">
        <v>51</v>
      </c>
      <c r="F236">
        <v>3196</v>
      </c>
      <c r="G236">
        <v>941</v>
      </c>
      <c r="H236">
        <v>376</v>
      </c>
      <c r="I236">
        <v>35156</v>
      </c>
      <c r="J236">
        <v>34444</v>
      </c>
      <c r="K236">
        <v>241</v>
      </c>
      <c r="L236" s="1" t="s">
        <v>25</v>
      </c>
      <c r="M236" s="1"/>
      <c r="N236" s="1"/>
      <c r="O236" s="1" t="s">
        <v>31</v>
      </c>
      <c r="P236" s="1">
        <f>IFERROR(((Posts_Cleaned[[#This Row],[Likes]]+Posts_Cleaned[[#This Row],[Shares]]+Posts_Cleaned[[#This Row],[Comments]])/Posts_Cleaned[[#This Row],[Impressions]]),0)</f>
        <v>0.1283706906360223</v>
      </c>
      <c r="Q236" s="7" t="str">
        <f>_xlfn.TEXTJOIN(", ", TRUE, Posts_Cleaned[[#This Row],[Hashtags Used.1]], Posts_Cleaned[[#This Row],[Hashtags Used.2]], Posts_Cleaned[[#This Row],[Hashtags Used.3]])</f>
        <v>#TeslaCoInnovation</v>
      </c>
    </row>
    <row r="237" spans="1:17" x14ac:dyDescent="0.25">
      <c r="A237" t="s">
        <v>294</v>
      </c>
      <c r="B237" s="1" t="s">
        <v>40</v>
      </c>
      <c r="C237" s="2">
        <v>45523</v>
      </c>
      <c r="D237" s="1" t="s">
        <v>23</v>
      </c>
      <c r="E237" s="1" t="s">
        <v>49</v>
      </c>
      <c r="F237">
        <v>1257</v>
      </c>
      <c r="G237">
        <v>19</v>
      </c>
      <c r="H237">
        <v>351</v>
      </c>
      <c r="I237">
        <v>12570</v>
      </c>
      <c r="J237">
        <v>11660</v>
      </c>
      <c r="K237">
        <v>194</v>
      </c>
      <c r="L237" s="1" t="s">
        <v>19</v>
      </c>
      <c r="M237" s="1" t="s">
        <v>20</v>
      </c>
      <c r="N237" s="1" t="s">
        <v>36</v>
      </c>
      <c r="O237" s="1" t="s">
        <v>27</v>
      </c>
      <c r="P237" s="1">
        <f>IFERROR(((Posts_Cleaned[[#This Row],[Likes]]+Posts_Cleaned[[#This Row],[Shares]]+Posts_Cleaned[[#This Row],[Comments]])/Posts_Cleaned[[#This Row],[Impressions]]),0)</f>
        <v>0.12943516308671441</v>
      </c>
      <c r="Q237" s="7" t="str">
        <f>_xlfn.TEXTJOIN(", ", TRUE, Posts_Cleaned[[#This Row],[Hashtags Used.1]], Posts_Cleaned[[#This Row],[Hashtags Used.2]], Posts_Cleaned[[#This Row],[Hashtags Used.3]])</f>
        <v>#FutureOfDriving, #AnytimeIsTeslaTime, #EVRevolution</v>
      </c>
    </row>
    <row r="238" spans="1:17" x14ac:dyDescent="0.25">
      <c r="A238" t="s">
        <v>295</v>
      </c>
      <c r="B238" s="1" t="s">
        <v>33</v>
      </c>
      <c r="C238" s="2">
        <v>45587</v>
      </c>
      <c r="D238" s="1" t="s">
        <v>34</v>
      </c>
      <c r="E238" s="1" t="s">
        <v>35</v>
      </c>
      <c r="F238">
        <v>3770</v>
      </c>
      <c r="G238">
        <v>917</v>
      </c>
      <c r="H238">
        <v>129</v>
      </c>
      <c r="I238">
        <v>71630</v>
      </c>
      <c r="J238">
        <v>71322</v>
      </c>
      <c r="K238">
        <v>76</v>
      </c>
      <c r="L238" s="1" t="s">
        <v>19</v>
      </c>
      <c r="M238" s="1"/>
      <c r="N238" s="1"/>
      <c r="O238" s="1" t="s">
        <v>21</v>
      </c>
      <c r="P238" s="1">
        <f>IFERROR(((Posts_Cleaned[[#This Row],[Likes]]+Posts_Cleaned[[#This Row],[Shares]]+Posts_Cleaned[[#This Row],[Comments]])/Posts_Cleaned[[#This Row],[Impressions]]),0)</f>
        <v>6.7234398994834563E-2</v>
      </c>
      <c r="Q238" s="7" t="str">
        <f>_xlfn.TEXTJOIN(", ", TRUE, Posts_Cleaned[[#This Row],[Hashtags Used.1]], Posts_Cleaned[[#This Row],[Hashtags Used.2]], Posts_Cleaned[[#This Row],[Hashtags Used.3]])</f>
        <v>#FutureOfDriving</v>
      </c>
    </row>
    <row r="239" spans="1:17" x14ac:dyDescent="0.25">
      <c r="A239" t="s">
        <v>296</v>
      </c>
      <c r="B239" s="1" t="s">
        <v>16</v>
      </c>
      <c r="C239" s="2">
        <v>45489</v>
      </c>
      <c r="D239" s="1" t="s">
        <v>23</v>
      </c>
      <c r="E239" s="1" t="s">
        <v>24</v>
      </c>
      <c r="F239">
        <v>4725</v>
      </c>
      <c r="G239">
        <v>400</v>
      </c>
      <c r="H239">
        <v>362</v>
      </c>
      <c r="I239">
        <v>75600</v>
      </c>
      <c r="J239">
        <v>74927</v>
      </c>
      <c r="K239">
        <v>43</v>
      </c>
      <c r="L239" s="1" t="s">
        <v>19</v>
      </c>
      <c r="M239" s="1"/>
      <c r="N239" s="1"/>
      <c r="O239" s="1" t="s">
        <v>37</v>
      </c>
      <c r="P239" s="1">
        <f>IFERROR(((Posts_Cleaned[[#This Row],[Likes]]+Posts_Cleaned[[#This Row],[Shares]]+Posts_Cleaned[[#This Row],[Comments]])/Posts_Cleaned[[#This Row],[Impressions]]),0)</f>
        <v>7.2579365079365077E-2</v>
      </c>
      <c r="Q239" s="7" t="str">
        <f>_xlfn.TEXTJOIN(", ", TRUE, Posts_Cleaned[[#This Row],[Hashtags Used.1]], Posts_Cleaned[[#This Row],[Hashtags Used.2]], Posts_Cleaned[[#This Row],[Hashtags Used.3]])</f>
        <v>#FutureOfDriving</v>
      </c>
    </row>
    <row r="240" spans="1:17" x14ac:dyDescent="0.25">
      <c r="A240" t="s">
        <v>297</v>
      </c>
      <c r="B240" s="1" t="s">
        <v>29</v>
      </c>
      <c r="C240" s="2">
        <v>45712</v>
      </c>
      <c r="D240" s="1" t="s">
        <v>23</v>
      </c>
      <c r="E240" s="1" t="s">
        <v>77</v>
      </c>
      <c r="F240">
        <v>4188</v>
      </c>
      <c r="G240">
        <v>942</v>
      </c>
      <c r="H240">
        <v>118</v>
      </c>
      <c r="I240">
        <v>20940</v>
      </c>
      <c r="J240">
        <v>20471</v>
      </c>
      <c r="K240">
        <v>102</v>
      </c>
      <c r="L240" s="1" t="s">
        <v>19</v>
      </c>
      <c r="M240" s="1"/>
      <c r="N240" s="1"/>
      <c r="O240" s="1"/>
      <c r="P240" s="1">
        <f>IFERROR(((Posts_Cleaned[[#This Row],[Likes]]+Posts_Cleaned[[#This Row],[Shares]]+Posts_Cleaned[[#This Row],[Comments]])/Posts_Cleaned[[#This Row],[Impressions]]),0)</f>
        <v>0.25062082139446035</v>
      </c>
      <c r="Q240" s="7" t="str">
        <f>_xlfn.TEXTJOIN(", ", TRUE, Posts_Cleaned[[#This Row],[Hashtags Used.1]], Posts_Cleaned[[#This Row],[Hashtags Used.2]], Posts_Cleaned[[#This Row],[Hashtags Used.3]])</f>
        <v>#FutureOfDriving</v>
      </c>
    </row>
    <row r="241" spans="1:17" x14ac:dyDescent="0.25">
      <c r="A241" t="s">
        <v>298</v>
      </c>
      <c r="B241" s="1" t="s">
        <v>16</v>
      </c>
      <c r="C241" s="2">
        <v>45530</v>
      </c>
      <c r="D241" s="1" t="s">
        <v>41</v>
      </c>
      <c r="E241" s="1" t="s">
        <v>44</v>
      </c>
      <c r="F241">
        <v>929</v>
      </c>
      <c r="G241">
        <v>192</v>
      </c>
      <c r="H241">
        <v>322</v>
      </c>
      <c r="I241">
        <v>16722</v>
      </c>
      <c r="J241">
        <v>15996</v>
      </c>
      <c r="K241">
        <v>145</v>
      </c>
      <c r="L241" s="1" t="s">
        <v>36</v>
      </c>
      <c r="M241" s="1" t="s">
        <v>25</v>
      </c>
      <c r="N241" s="1" t="s">
        <v>20</v>
      </c>
      <c r="O241" s="1" t="s">
        <v>31</v>
      </c>
      <c r="P241" s="1">
        <f>IFERROR(((Posts_Cleaned[[#This Row],[Likes]]+Posts_Cleaned[[#This Row],[Shares]]+Posts_Cleaned[[#This Row],[Comments]])/Posts_Cleaned[[#This Row],[Impressions]]),0)</f>
        <v>8.6293505561535699E-2</v>
      </c>
      <c r="Q241" s="7" t="str">
        <f>_xlfn.TEXTJOIN(", ", TRUE, Posts_Cleaned[[#This Row],[Hashtags Used.1]], Posts_Cleaned[[#This Row],[Hashtags Used.2]], Posts_Cleaned[[#This Row],[Hashtags Used.3]])</f>
        <v>#EVRevolution, #TeslaCoInnovation, #AnytimeIsTeslaTime</v>
      </c>
    </row>
    <row r="242" spans="1:17" x14ac:dyDescent="0.25">
      <c r="A242" t="s">
        <v>299</v>
      </c>
      <c r="B242" s="1" t="s">
        <v>40</v>
      </c>
      <c r="C242" s="2">
        <v>45675</v>
      </c>
      <c r="D242" s="1" t="s">
        <v>34</v>
      </c>
      <c r="E242" s="1" t="s">
        <v>58</v>
      </c>
      <c r="F242">
        <v>4321</v>
      </c>
      <c r="G242">
        <v>874</v>
      </c>
      <c r="H242">
        <v>172</v>
      </c>
      <c r="I242">
        <v>30247</v>
      </c>
      <c r="J242">
        <v>29254</v>
      </c>
      <c r="K242">
        <v>122</v>
      </c>
      <c r="L242" s="1" t="s">
        <v>25</v>
      </c>
      <c r="M242" s="1"/>
      <c r="N242" s="1"/>
      <c r="O242" s="1" t="s">
        <v>37</v>
      </c>
      <c r="P242" s="1">
        <f>IFERROR(((Posts_Cleaned[[#This Row],[Likes]]+Posts_Cleaned[[#This Row],[Shares]]+Posts_Cleaned[[#This Row],[Comments]])/Posts_Cleaned[[#This Row],[Impressions]]),0)</f>
        <v>0.17743908486792079</v>
      </c>
      <c r="Q242" s="7" t="str">
        <f>_xlfn.TEXTJOIN(", ", TRUE, Posts_Cleaned[[#This Row],[Hashtags Used.1]], Posts_Cleaned[[#This Row],[Hashtags Used.2]], Posts_Cleaned[[#This Row],[Hashtags Used.3]])</f>
        <v>#TeslaCoInnovation</v>
      </c>
    </row>
    <row r="243" spans="1:17" x14ac:dyDescent="0.25">
      <c r="A243" t="s">
        <v>300</v>
      </c>
      <c r="B243" s="1" t="s">
        <v>40</v>
      </c>
      <c r="C243" s="2">
        <v>45480</v>
      </c>
      <c r="D243" s="1" t="s">
        <v>17</v>
      </c>
      <c r="E243" s="1" t="s">
        <v>54</v>
      </c>
      <c r="F243">
        <v>4767</v>
      </c>
      <c r="G243">
        <v>190</v>
      </c>
      <c r="H243">
        <v>340</v>
      </c>
      <c r="I243">
        <v>28602</v>
      </c>
      <c r="J243">
        <v>28044</v>
      </c>
      <c r="K243">
        <v>210</v>
      </c>
      <c r="L243" s="1" t="s">
        <v>36</v>
      </c>
      <c r="M243" s="1"/>
      <c r="N243" s="1"/>
      <c r="O243" s="1" t="s">
        <v>31</v>
      </c>
      <c r="P243" s="1">
        <f>IFERROR(((Posts_Cleaned[[#This Row],[Likes]]+Posts_Cleaned[[#This Row],[Shares]]+Posts_Cleaned[[#This Row],[Comments]])/Posts_Cleaned[[#This Row],[Impressions]]),0)</f>
        <v>0.18519683938186141</v>
      </c>
      <c r="Q243" s="7" t="str">
        <f>_xlfn.TEXTJOIN(", ", TRUE, Posts_Cleaned[[#This Row],[Hashtags Used.1]], Posts_Cleaned[[#This Row],[Hashtags Used.2]], Posts_Cleaned[[#This Row],[Hashtags Used.3]])</f>
        <v>#EVRevolution</v>
      </c>
    </row>
    <row r="244" spans="1:17" x14ac:dyDescent="0.25">
      <c r="A244" t="s">
        <v>301</v>
      </c>
      <c r="B244" s="1" t="s">
        <v>16</v>
      </c>
      <c r="C244" s="2">
        <v>45722</v>
      </c>
      <c r="D244" s="1" t="s">
        <v>46</v>
      </c>
      <c r="E244" s="1" t="s">
        <v>92</v>
      </c>
      <c r="F244">
        <v>3592</v>
      </c>
      <c r="G244">
        <v>911</v>
      </c>
      <c r="H244">
        <v>375</v>
      </c>
      <c r="I244">
        <v>50288</v>
      </c>
      <c r="J244">
        <v>49490</v>
      </c>
      <c r="K244">
        <v>32</v>
      </c>
      <c r="L244" s="1" t="s">
        <v>19</v>
      </c>
      <c r="M244" s="1"/>
      <c r="N244" s="1"/>
      <c r="O244" s="1" t="s">
        <v>37</v>
      </c>
      <c r="P244" s="1">
        <f>IFERROR(((Posts_Cleaned[[#This Row],[Likes]]+Posts_Cleaned[[#This Row],[Shares]]+Posts_Cleaned[[#This Row],[Comments]])/Posts_Cleaned[[#This Row],[Impressions]]),0)</f>
        <v>9.7001272669424113E-2</v>
      </c>
      <c r="Q244" s="7" t="str">
        <f>_xlfn.TEXTJOIN(", ", TRUE, Posts_Cleaned[[#This Row],[Hashtags Used.1]], Posts_Cleaned[[#This Row],[Hashtags Used.2]], Posts_Cleaned[[#This Row],[Hashtags Used.3]])</f>
        <v>#FutureOfDriving</v>
      </c>
    </row>
    <row r="245" spans="1:17" x14ac:dyDescent="0.25">
      <c r="A245" t="s">
        <v>302</v>
      </c>
      <c r="B245" s="1" t="s">
        <v>29</v>
      </c>
      <c r="C245" s="2">
        <v>45590</v>
      </c>
      <c r="D245" s="1" t="s">
        <v>60</v>
      </c>
      <c r="E245" s="1" t="s">
        <v>140</v>
      </c>
      <c r="F245">
        <v>4661</v>
      </c>
      <c r="G245">
        <v>935</v>
      </c>
      <c r="H245">
        <v>433</v>
      </c>
      <c r="I245">
        <v>23305</v>
      </c>
      <c r="J245">
        <v>22583</v>
      </c>
      <c r="K245">
        <v>63</v>
      </c>
      <c r="L245" s="1" t="s">
        <v>19</v>
      </c>
      <c r="M245" s="1"/>
      <c r="N245" s="1"/>
      <c r="O245" s="1" t="s">
        <v>31</v>
      </c>
      <c r="P245" s="1">
        <f>IFERROR(((Posts_Cleaned[[#This Row],[Likes]]+Posts_Cleaned[[#This Row],[Shares]]+Posts_Cleaned[[#This Row],[Comments]])/Posts_Cleaned[[#This Row],[Impressions]]),0)</f>
        <v>0.25869984981763572</v>
      </c>
      <c r="Q245" s="7" t="str">
        <f>_xlfn.TEXTJOIN(", ", TRUE, Posts_Cleaned[[#This Row],[Hashtags Used.1]], Posts_Cleaned[[#This Row],[Hashtags Used.2]], Posts_Cleaned[[#This Row],[Hashtags Used.3]])</f>
        <v>#FutureOfDriving</v>
      </c>
    </row>
    <row r="246" spans="1:17" x14ac:dyDescent="0.25">
      <c r="A246" t="s">
        <v>303</v>
      </c>
      <c r="B246" s="1" t="s">
        <v>40</v>
      </c>
      <c r="C246" s="2">
        <v>45669</v>
      </c>
      <c r="D246" s="1" t="s">
        <v>17</v>
      </c>
      <c r="E246" s="1" t="s">
        <v>54</v>
      </c>
      <c r="F246">
        <v>4134</v>
      </c>
      <c r="G246">
        <v>824</v>
      </c>
      <c r="H246">
        <v>99</v>
      </c>
      <c r="I246">
        <v>41340</v>
      </c>
      <c r="J246">
        <v>41050</v>
      </c>
      <c r="K246">
        <v>177</v>
      </c>
      <c r="L246" s="1" t="s">
        <v>36</v>
      </c>
      <c r="M246" s="1"/>
      <c r="N246" s="1"/>
      <c r="O246" s="1" t="s">
        <v>21</v>
      </c>
      <c r="P246" s="1">
        <f>IFERROR(((Posts_Cleaned[[#This Row],[Likes]]+Posts_Cleaned[[#This Row],[Shares]]+Posts_Cleaned[[#This Row],[Comments]])/Posts_Cleaned[[#This Row],[Impressions]]),0)</f>
        <v>0.12232704402515723</v>
      </c>
      <c r="Q246" s="7" t="str">
        <f>_xlfn.TEXTJOIN(", ", TRUE, Posts_Cleaned[[#This Row],[Hashtags Used.1]], Posts_Cleaned[[#This Row],[Hashtags Used.2]], Posts_Cleaned[[#This Row],[Hashtags Used.3]])</f>
        <v>#EVRevolution</v>
      </c>
    </row>
    <row r="247" spans="1:17" x14ac:dyDescent="0.25">
      <c r="A247" t="s">
        <v>304</v>
      </c>
      <c r="B247" s="1" t="s">
        <v>40</v>
      </c>
      <c r="C247" s="2">
        <v>45576</v>
      </c>
      <c r="D247" s="1" t="s">
        <v>46</v>
      </c>
      <c r="E247" s="1" t="s">
        <v>51</v>
      </c>
      <c r="F247">
        <v>400</v>
      </c>
      <c r="G247">
        <v>680</v>
      </c>
      <c r="H247">
        <v>434</v>
      </c>
      <c r="I247">
        <v>6400</v>
      </c>
      <c r="J247">
        <v>5472</v>
      </c>
      <c r="K247">
        <v>160</v>
      </c>
      <c r="L247" s="1" t="s">
        <v>19</v>
      </c>
      <c r="M247" s="1"/>
      <c r="N247" s="1"/>
      <c r="O247" s="1" t="s">
        <v>27</v>
      </c>
      <c r="P247" s="1">
        <f>IFERROR(((Posts_Cleaned[[#This Row],[Likes]]+Posts_Cleaned[[#This Row],[Shares]]+Posts_Cleaned[[#This Row],[Comments]])/Posts_Cleaned[[#This Row],[Impressions]]),0)</f>
        <v>0.23656250000000001</v>
      </c>
      <c r="Q247" s="7" t="str">
        <f>_xlfn.TEXTJOIN(", ", TRUE, Posts_Cleaned[[#This Row],[Hashtags Used.1]], Posts_Cleaned[[#This Row],[Hashtags Used.2]], Posts_Cleaned[[#This Row],[Hashtags Used.3]])</f>
        <v>#FutureOfDriving</v>
      </c>
    </row>
    <row r="248" spans="1:17" x14ac:dyDescent="0.25">
      <c r="A248" t="s">
        <v>305</v>
      </c>
      <c r="B248" s="1" t="s">
        <v>40</v>
      </c>
      <c r="C248" s="2">
        <v>45531</v>
      </c>
      <c r="D248" s="1" t="s">
        <v>17</v>
      </c>
      <c r="E248" s="1" t="s">
        <v>54</v>
      </c>
      <c r="F248">
        <v>3960</v>
      </c>
      <c r="G248">
        <v>266</v>
      </c>
      <c r="H248">
        <v>8</v>
      </c>
      <c r="I248">
        <v>35640</v>
      </c>
      <c r="J248">
        <v>34850</v>
      </c>
      <c r="K248">
        <v>208</v>
      </c>
      <c r="L248" s="1" t="s">
        <v>19</v>
      </c>
      <c r="M248" s="1" t="s">
        <v>36</v>
      </c>
      <c r="N248" s="1" t="s">
        <v>26</v>
      </c>
      <c r="O248" s="1"/>
      <c r="P248" s="1">
        <f>IFERROR(((Posts_Cleaned[[#This Row],[Likes]]+Posts_Cleaned[[#This Row],[Shares]]+Posts_Cleaned[[#This Row],[Comments]])/Posts_Cleaned[[#This Row],[Impressions]]),0)</f>
        <v>0.11879910213243547</v>
      </c>
      <c r="Q248" s="7" t="str">
        <f>_xlfn.TEXTJOIN(", ", TRUE, Posts_Cleaned[[#This Row],[Hashtags Used.1]], Posts_Cleaned[[#This Row],[Hashtags Used.2]], Posts_Cleaned[[#This Row],[Hashtags Used.3]])</f>
        <v>#FutureOfDriving, #EVRevolution, #BetterWithTesla</v>
      </c>
    </row>
    <row r="249" spans="1:17" x14ac:dyDescent="0.25">
      <c r="A249" t="s">
        <v>306</v>
      </c>
      <c r="B249" s="1" t="s">
        <v>40</v>
      </c>
      <c r="C249" s="2">
        <v>45690</v>
      </c>
      <c r="D249" s="1" t="s">
        <v>34</v>
      </c>
      <c r="E249" s="1" t="s">
        <v>58</v>
      </c>
      <c r="F249">
        <v>886</v>
      </c>
      <c r="G249">
        <v>126</v>
      </c>
      <c r="H249">
        <v>153</v>
      </c>
      <c r="I249">
        <v>4430</v>
      </c>
      <c r="J249">
        <v>4037</v>
      </c>
      <c r="K249">
        <v>212</v>
      </c>
      <c r="L249" s="1" t="s">
        <v>36</v>
      </c>
      <c r="M249" s="1"/>
      <c r="N249" s="1"/>
      <c r="O249" s="1"/>
      <c r="P249" s="1">
        <f>IFERROR(((Posts_Cleaned[[#This Row],[Likes]]+Posts_Cleaned[[#This Row],[Shares]]+Posts_Cleaned[[#This Row],[Comments]])/Posts_Cleaned[[#This Row],[Impressions]]),0)</f>
        <v>0.26297968397291194</v>
      </c>
      <c r="Q249" s="7" t="str">
        <f>_xlfn.TEXTJOIN(", ", TRUE, Posts_Cleaned[[#This Row],[Hashtags Used.1]], Posts_Cleaned[[#This Row],[Hashtags Used.2]], Posts_Cleaned[[#This Row],[Hashtags Used.3]])</f>
        <v>#EVRevolution</v>
      </c>
    </row>
    <row r="250" spans="1:17" x14ac:dyDescent="0.25">
      <c r="A250" t="s">
        <v>307</v>
      </c>
      <c r="B250" s="1" t="s">
        <v>16</v>
      </c>
      <c r="C250" s="2">
        <v>45491</v>
      </c>
      <c r="D250" s="1" t="s">
        <v>46</v>
      </c>
      <c r="E250" s="1" t="s">
        <v>92</v>
      </c>
      <c r="F250">
        <v>827</v>
      </c>
      <c r="G250">
        <v>77</v>
      </c>
      <c r="H250">
        <v>402</v>
      </c>
      <c r="I250">
        <v>14886</v>
      </c>
      <c r="J250">
        <v>14129</v>
      </c>
      <c r="K250">
        <v>254</v>
      </c>
      <c r="L250" s="1" t="s">
        <v>36</v>
      </c>
      <c r="M250" s="1"/>
      <c r="N250" s="1"/>
      <c r="O250" s="1" t="s">
        <v>27</v>
      </c>
      <c r="P250" s="1">
        <f>IFERROR(((Posts_Cleaned[[#This Row],[Likes]]+Posts_Cleaned[[#This Row],[Shares]]+Posts_Cleaned[[#This Row],[Comments]])/Posts_Cleaned[[#This Row],[Impressions]]),0)</f>
        <v>8.7733440816874911E-2</v>
      </c>
      <c r="Q250" s="7" t="str">
        <f>_xlfn.TEXTJOIN(", ", TRUE, Posts_Cleaned[[#This Row],[Hashtags Used.1]], Posts_Cleaned[[#This Row],[Hashtags Used.2]], Posts_Cleaned[[#This Row],[Hashtags Used.3]])</f>
        <v>#EVRevolution</v>
      </c>
    </row>
    <row r="251" spans="1:17" x14ac:dyDescent="0.25">
      <c r="A251" t="s">
        <v>308</v>
      </c>
      <c r="B251" s="1" t="s">
        <v>40</v>
      </c>
      <c r="C251" s="2">
        <v>45465</v>
      </c>
      <c r="D251" s="1" t="s">
        <v>17</v>
      </c>
      <c r="E251" s="1" t="s">
        <v>54</v>
      </c>
      <c r="F251">
        <v>3813</v>
      </c>
      <c r="G251">
        <v>935</v>
      </c>
      <c r="H251">
        <v>274</v>
      </c>
      <c r="I251">
        <v>68634</v>
      </c>
      <c r="J251">
        <v>68488</v>
      </c>
      <c r="K251">
        <v>251</v>
      </c>
      <c r="L251" s="1" t="s">
        <v>19</v>
      </c>
      <c r="M251" s="1"/>
      <c r="N251" s="1"/>
      <c r="O251" s="1"/>
      <c r="P251" s="1">
        <f>IFERROR(((Posts_Cleaned[[#This Row],[Likes]]+Posts_Cleaned[[#This Row],[Shares]]+Posts_Cleaned[[#This Row],[Comments]])/Posts_Cleaned[[#This Row],[Impressions]]),0)</f>
        <v>7.3170731707317069E-2</v>
      </c>
      <c r="Q251" s="7" t="str">
        <f>_xlfn.TEXTJOIN(", ", TRUE, Posts_Cleaned[[#This Row],[Hashtags Used.1]], Posts_Cleaned[[#This Row],[Hashtags Used.2]], Posts_Cleaned[[#This Row],[Hashtags Used.3]])</f>
        <v>#FutureOfDriving</v>
      </c>
    </row>
    <row r="252" spans="1:17" x14ac:dyDescent="0.25">
      <c r="A252" t="s">
        <v>309</v>
      </c>
      <c r="B252" s="1" t="s">
        <v>33</v>
      </c>
      <c r="C252" s="2">
        <v>45743</v>
      </c>
      <c r="D252" s="1" t="s">
        <v>41</v>
      </c>
      <c r="E252" s="1" t="s">
        <v>69</v>
      </c>
      <c r="F252">
        <v>1377</v>
      </c>
      <c r="G252">
        <v>796</v>
      </c>
      <c r="H252">
        <v>387</v>
      </c>
      <c r="I252">
        <v>22032</v>
      </c>
      <c r="J252">
        <v>21869</v>
      </c>
      <c r="K252">
        <v>189</v>
      </c>
      <c r="L252" s="1" t="s">
        <v>19</v>
      </c>
      <c r="M252" s="1"/>
      <c r="N252" s="1"/>
      <c r="O252" s="1"/>
      <c r="P252" s="1">
        <f>IFERROR(((Posts_Cleaned[[#This Row],[Likes]]+Posts_Cleaned[[#This Row],[Shares]]+Posts_Cleaned[[#This Row],[Comments]])/Posts_Cleaned[[#This Row],[Impressions]]),0)</f>
        <v>0.11619462599854757</v>
      </c>
      <c r="Q252" s="7" t="str">
        <f>_xlfn.TEXTJOIN(", ", TRUE, Posts_Cleaned[[#This Row],[Hashtags Used.1]], Posts_Cleaned[[#This Row],[Hashtags Used.2]], Posts_Cleaned[[#This Row],[Hashtags Used.3]])</f>
        <v>#FutureOfDriving</v>
      </c>
    </row>
    <row r="253" spans="1:17" x14ac:dyDescent="0.25">
      <c r="A253" t="s">
        <v>310</v>
      </c>
      <c r="B253" s="1" t="s">
        <v>40</v>
      </c>
      <c r="C253" s="2">
        <v>45775</v>
      </c>
      <c r="D253" s="1" t="s">
        <v>41</v>
      </c>
      <c r="E253" s="1" t="s">
        <v>42</v>
      </c>
      <c r="F253">
        <v>2089</v>
      </c>
      <c r="G253">
        <v>476</v>
      </c>
      <c r="H253">
        <v>69</v>
      </c>
      <c r="I253">
        <v>16712</v>
      </c>
      <c r="J253">
        <v>16309</v>
      </c>
      <c r="K253">
        <v>64</v>
      </c>
      <c r="L253" s="1" t="s">
        <v>19</v>
      </c>
      <c r="M253" s="1"/>
      <c r="N253" s="1"/>
      <c r="O253" s="1" t="s">
        <v>31</v>
      </c>
      <c r="P253" s="1">
        <f>IFERROR(((Posts_Cleaned[[#This Row],[Likes]]+Posts_Cleaned[[#This Row],[Shares]]+Posts_Cleaned[[#This Row],[Comments]])/Posts_Cleaned[[#This Row],[Impressions]]),0)</f>
        <v>0.15761129727142173</v>
      </c>
      <c r="Q253" s="7" t="str">
        <f>_xlfn.TEXTJOIN(", ", TRUE, Posts_Cleaned[[#This Row],[Hashtags Used.1]], Posts_Cleaned[[#This Row],[Hashtags Used.2]], Posts_Cleaned[[#This Row],[Hashtags Used.3]])</f>
        <v>#FutureOfDriving</v>
      </c>
    </row>
    <row r="254" spans="1:17" x14ac:dyDescent="0.25">
      <c r="A254" t="s">
        <v>311</v>
      </c>
      <c r="B254" s="1" t="s">
        <v>16</v>
      </c>
      <c r="C254" s="2">
        <v>45507</v>
      </c>
      <c r="D254" s="1" t="s">
        <v>17</v>
      </c>
      <c r="E254" s="1" t="s">
        <v>18</v>
      </c>
      <c r="F254">
        <v>3791</v>
      </c>
      <c r="G254">
        <v>593</v>
      </c>
      <c r="H254">
        <v>228</v>
      </c>
      <c r="I254">
        <v>53074</v>
      </c>
      <c r="J254">
        <v>52613</v>
      </c>
      <c r="K254">
        <v>205</v>
      </c>
      <c r="L254" s="1" t="s">
        <v>36</v>
      </c>
      <c r="M254" s="1"/>
      <c r="N254" s="1"/>
      <c r="O254" s="1"/>
      <c r="P254" s="1">
        <f>IFERROR(((Posts_Cleaned[[#This Row],[Likes]]+Posts_Cleaned[[#This Row],[Shares]]+Posts_Cleaned[[#This Row],[Comments]])/Posts_Cleaned[[#This Row],[Impressions]]),0)</f>
        <v>8.6897539284772202E-2</v>
      </c>
      <c r="Q254" s="7" t="str">
        <f>_xlfn.TEXTJOIN(", ", TRUE, Posts_Cleaned[[#This Row],[Hashtags Used.1]], Posts_Cleaned[[#This Row],[Hashtags Used.2]], Posts_Cleaned[[#This Row],[Hashtags Used.3]])</f>
        <v>#EVRevolution</v>
      </c>
    </row>
    <row r="255" spans="1:17" x14ac:dyDescent="0.25">
      <c r="A255" t="s">
        <v>312</v>
      </c>
      <c r="B255" s="1" t="s">
        <v>16</v>
      </c>
      <c r="C255" s="2">
        <v>45671</v>
      </c>
      <c r="D255" s="1" t="s">
        <v>46</v>
      </c>
      <c r="E255" s="1" t="s">
        <v>92</v>
      </c>
      <c r="F255">
        <v>2692</v>
      </c>
      <c r="G255">
        <v>115</v>
      </c>
      <c r="H255">
        <v>64</v>
      </c>
      <c r="I255">
        <v>21536</v>
      </c>
      <c r="J255">
        <v>21120</v>
      </c>
      <c r="K255">
        <v>224</v>
      </c>
      <c r="L255" s="1" t="s">
        <v>19</v>
      </c>
      <c r="M255" s="1"/>
      <c r="N255" s="1"/>
      <c r="O255" s="1" t="s">
        <v>27</v>
      </c>
      <c r="P255" s="1">
        <f>IFERROR(((Posts_Cleaned[[#This Row],[Likes]]+Posts_Cleaned[[#This Row],[Shares]]+Posts_Cleaned[[#This Row],[Comments]])/Posts_Cleaned[[#This Row],[Impressions]]),0)</f>
        <v>0.13331166419019316</v>
      </c>
      <c r="Q255" s="7" t="str">
        <f>_xlfn.TEXTJOIN(", ", TRUE, Posts_Cleaned[[#This Row],[Hashtags Used.1]], Posts_Cleaned[[#This Row],[Hashtags Used.2]], Posts_Cleaned[[#This Row],[Hashtags Used.3]])</f>
        <v>#FutureOfDriving</v>
      </c>
    </row>
    <row r="256" spans="1:17" x14ac:dyDescent="0.25">
      <c r="A256" t="s">
        <v>313</v>
      </c>
      <c r="B256" s="1" t="s">
        <v>40</v>
      </c>
      <c r="C256" s="2">
        <v>45750</v>
      </c>
      <c r="D256" s="1" t="s">
        <v>34</v>
      </c>
      <c r="E256" s="1" t="s">
        <v>58</v>
      </c>
      <c r="F256">
        <v>3767</v>
      </c>
      <c r="G256">
        <v>514</v>
      </c>
      <c r="H256">
        <v>238</v>
      </c>
      <c r="I256">
        <v>37670</v>
      </c>
      <c r="J256">
        <v>36807</v>
      </c>
      <c r="K256">
        <v>226</v>
      </c>
      <c r="L256" s="1" t="s">
        <v>19</v>
      </c>
      <c r="M256" s="1"/>
      <c r="N256" s="1"/>
      <c r="O256" s="1" t="s">
        <v>37</v>
      </c>
      <c r="P256" s="1">
        <f>IFERROR(((Posts_Cleaned[[#This Row],[Likes]]+Posts_Cleaned[[#This Row],[Shares]]+Posts_Cleaned[[#This Row],[Comments]])/Posts_Cleaned[[#This Row],[Impressions]]),0)</f>
        <v>0.11996283514733209</v>
      </c>
      <c r="Q256" s="7" t="str">
        <f>_xlfn.TEXTJOIN(", ", TRUE, Posts_Cleaned[[#This Row],[Hashtags Used.1]], Posts_Cleaned[[#This Row],[Hashtags Used.2]], Posts_Cleaned[[#This Row],[Hashtags Used.3]])</f>
        <v>#FutureOfDriving</v>
      </c>
    </row>
    <row r="257" spans="1:17" x14ac:dyDescent="0.25">
      <c r="A257" t="s">
        <v>314</v>
      </c>
      <c r="B257" s="1" t="s">
        <v>29</v>
      </c>
      <c r="C257" s="2">
        <v>45553</v>
      </c>
      <c r="D257" s="1" t="s">
        <v>41</v>
      </c>
      <c r="E257" s="1" t="s">
        <v>56</v>
      </c>
      <c r="F257">
        <v>2143</v>
      </c>
      <c r="G257">
        <v>12</v>
      </c>
      <c r="H257">
        <v>204</v>
      </c>
      <c r="I257">
        <v>40717</v>
      </c>
      <c r="J257">
        <v>40125</v>
      </c>
      <c r="K257">
        <v>248</v>
      </c>
      <c r="L257" s="1" t="s">
        <v>36</v>
      </c>
      <c r="M257" s="1"/>
      <c r="N257" s="1"/>
      <c r="O257" s="1" t="s">
        <v>27</v>
      </c>
      <c r="P257" s="1">
        <f>IFERROR(((Posts_Cleaned[[#This Row],[Likes]]+Posts_Cleaned[[#This Row],[Shares]]+Posts_Cleaned[[#This Row],[Comments]])/Posts_Cleaned[[#This Row],[Impressions]]),0)</f>
        <v>5.7936488444630008E-2</v>
      </c>
      <c r="Q257" s="7" t="str">
        <f>_xlfn.TEXTJOIN(", ", TRUE, Posts_Cleaned[[#This Row],[Hashtags Used.1]], Posts_Cleaned[[#This Row],[Hashtags Used.2]], Posts_Cleaned[[#This Row],[Hashtags Used.3]])</f>
        <v>#EVRevolution</v>
      </c>
    </row>
    <row r="258" spans="1:17" x14ac:dyDescent="0.25">
      <c r="A258" t="s">
        <v>315</v>
      </c>
      <c r="B258" s="1" t="s">
        <v>40</v>
      </c>
      <c r="C258" s="2">
        <v>45753</v>
      </c>
      <c r="D258" s="1" t="s">
        <v>46</v>
      </c>
      <c r="E258" s="1" t="s">
        <v>51</v>
      </c>
      <c r="F258">
        <v>3090</v>
      </c>
      <c r="G258">
        <v>697</v>
      </c>
      <c r="H258">
        <v>164</v>
      </c>
      <c r="I258">
        <v>49440</v>
      </c>
      <c r="J258">
        <v>48524</v>
      </c>
      <c r="K258">
        <v>25</v>
      </c>
      <c r="L258" s="1" t="s">
        <v>36</v>
      </c>
      <c r="M258" s="1" t="s">
        <v>36</v>
      </c>
      <c r="N258" s="1" t="s">
        <v>26</v>
      </c>
      <c r="O258" s="1" t="s">
        <v>27</v>
      </c>
      <c r="P258" s="1">
        <f>IFERROR(((Posts_Cleaned[[#This Row],[Likes]]+Posts_Cleaned[[#This Row],[Shares]]+Posts_Cleaned[[#This Row],[Comments]])/Posts_Cleaned[[#This Row],[Impressions]]),0)</f>
        <v>7.9915048543689318E-2</v>
      </c>
      <c r="Q258" s="7" t="str">
        <f>_xlfn.TEXTJOIN(", ", TRUE, Posts_Cleaned[[#This Row],[Hashtags Used.1]], Posts_Cleaned[[#This Row],[Hashtags Used.2]], Posts_Cleaned[[#This Row],[Hashtags Used.3]])</f>
        <v>#EVRevolution, #EVRevolution, #BetterWithTesla</v>
      </c>
    </row>
    <row r="259" spans="1:17" x14ac:dyDescent="0.25">
      <c r="A259" t="s">
        <v>316</v>
      </c>
      <c r="B259" s="1" t="s">
        <v>33</v>
      </c>
      <c r="C259" s="2">
        <v>45509</v>
      </c>
      <c r="D259" s="1" t="s">
        <v>34</v>
      </c>
      <c r="E259" s="1" t="s">
        <v>35</v>
      </c>
      <c r="F259">
        <v>3601</v>
      </c>
      <c r="G259">
        <v>695</v>
      </c>
      <c r="H259">
        <v>75</v>
      </c>
      <c r="I259">
        <v>21606</v>
      </c>
      <c r="J259">
        <v>21454</v>
      </c>
      <c r="K259">
        <v>172</v>
      </c>
      <c r="L259" s="1" t="s">
        <v>36</v>
      </c>
      <c r="M259" s="1"/>
      <c r="N259" s="1"/>
      <c r="O259" s="1" t="s">
        <v>27</v>
      </c>
      <c r="P259" s="1">
        <f>IFERROR(((Posts_Cleaned[[#This Row],[Likes]]+Posts_Cleaned[[#This Row],[Shares]]+Posts_Cleaned[[#This Row],[Comments]])/Posts_Cleaned[[#This Row],[Impressions]]),0)</f>
        <v>0.2023049153013052</v>
      </c>
      <c r="Q259" s="7" t="str">
        <f>_xlfn.TEXTJOIN(", ", TRUE, Posts_Cleaned[[#This Row],[Hashtags Used.1]], Posts_Cleaned[[#This Row],[Hashtags Used.2]], Posts_Cleaned[[#This Row],[Hashtags Used.3]])</f>
        <v>#EVRevolution</v>
      </c>
    </row>
    <row r="260" spans="1:17" x14ac:dyDescent="0.25">
      <c r="A260" t="s">
        <v>317</v>
      </c>
      <c r="B260" s="1" t="s">
        <v>40</v>
      </c>
      <c r="C260" s="2">
        <v>45698</v>
      </c>
      <c r="D260" s="1" t="s">
        <v>23</v>
      </c>
      <c r="E260" s="1" t="s">
        <v>49</v>
      </c>
      <c r="F260">
        <v>562</v>
      </c>
      <c r="G260">
        <v>158</v>
      </c>
      <c r="H260">
        <v>149</v>
      </c>
      <c r="I260">
        <v>3372</v>
      </c>
      <c r="J260">
        <v>2940</v>
      </c>
      <c r="K260">
        <v>93</v>
      </c>
      <c r="L260" s="1" t="s">
        <v>25</v>
      </c>
      <c r="M260" s="1"/>
      <c r="N260" s="1"/>
      <c r="O260" s="1" t="s">
        <v>21</v>
      </c>
      <c r="P260" s="1">
        <f>IFERROR(((Posts_Cleaned[[#This Row],[Likes]]+Posts_Cleaned[[#This Row],[Shares]]+Posts_Cleaned[[#This Row],[Comments]])/Posts_Cleaned[[#This Row],[Impressions]]),0)</f>
        <v>0.25771055753262156</v>
      </c>
      <c r="Q260" s="7" t="str">
        <f>_xlfn.TEXTJOIN(", ", TRUE, Posts_Cleaned[[#This Row],[Hashtags Used.1]], Posts_Cleaned[[#This Row],[Hashtags Used.2]], Posts_Cleaned[[#This Row],[Hashtags Used.3]])</f>
        <v>#TeslaCoInnovation</v>
      </c>
    </row>
    <row r="261" spans="1:17" x14ac:dyDescent="0.25">
      <c r="A261" t="s">
        <v>318</v>
      </c>
      <c r="B261" s="1" t="s">
        <v>33</v>
      </c>
      <c r="C261" s="2">
        <v>45700</v>
      </c>
      <c r="D261" s="1" t="s">
        <v>34</v>
      </c>
      <c r="E261" s="1" t="s">
        <v>35</v>
      </c>
      <c r="F261">
        <v>4332</v>
      </c>
      <c r="G261">
        <v>771</v>
      </c>
      <c r="H261">
        <v>219</v>
      </c>
      <c r="I261">
        <v>60648</v>
      </c>
      <c r="J261">
        <v>60397</v>
      </c>
      <c r="K261">
        <v>10</v>
      </c>
      <c r="L261" s="1" t="s">
        <v>25</v>
      </c>
      <c r="M261" s="1" t="s">
        <v>36</v>
      </c>
      <c r="N261" s="1" t="s">
        <v>26</v>
      </c>
      <c r="O261" s="1" t="s">
        <v>31</v>
      </c>
      <c r="P261" s="1">
        <f>IFERROR(((Posts_Cleaned[[#This Row],[Likes]]+Posts_Cleaned[[#This Row],[Shares]]+Posts_Cleaned[[#This Row],[Comments]])/Posts_Cleaned[[#This Row],[Impressions]]),0)</f>
        <v>8.7752275425405618E-2</v>
      </c>
      <c r="Q261" s="7" t="str">
        <f>_xlfn.TEXTJOIN(", ", TRUE, Posts_Cleaned[[#This Row],[Hashtags Used.1]], Posts_Cleaned[[#This Row],[Hashtags Used.2]], Posts_Cleaned[[#This Row],[Hashtags Used.3]])</f>
        <v>#TeslaCoInnovation, #EVRevolution, #BetterWithTesla</v>
      </c>
    </row>
    <row r="262" spans="1:17" x14ac:dyDescent="0.25">
      <c r="A262" t="s">
        <v>319</v>
      </c>
      <c r="B262" s="1" t="s">
        <v>33</v>
      </c>
      <c r="C262" s="2">
        <v>45592</v>
      </c>
      <c r="D262" s="1" t="s">
        <v>46</v>
      </c>
      <c r="E262" s="1" t="s">
        <v>138</v>
      </c>
      <c r="F262">
        <v>4853</v>
      </c>
      <c r="G262">
        <v>837</v>
      </c>
      <c r="H262">
        <v>340</v>
      </c>
      <c r="I262">
        <v>72795</v>
      </c>
      <c r="J262">
        <v>72237</v>
      </c>
      <c r="K262">
        <v>170</v>
      </c>
      <c r="L262" s="1" t="s">
        <v>36</v>
      </c>
      <c r="M262" s="1"/>
      <c r="N262" s="1"/>
      <c r="O262" s="1" t="s">
        <v>21</v>
      </c>
      <c r="P262" s="1">
        <f>IFERROR(((Posts_Cleaned[[#This Row],[Likes]]+Posts_Cleaned[[#This Row],[Shares]]+Posts_Cleaned[[#This Row],[Comments]])/Posts_Cleaned[[#This Row],[Impressions]]),0)</f>
        <v>8.2835359571399134E-2</v>
      </c>
      <c r="Q262" s="7" t="str">
        <f>_xlfn.TEXTJOIN(", ", TRUE, Posts_Cleaned[[#This Row],[Hashtags Used.1]], Posts_Cleaned[[#This Row],[Hashtags Used.2]], Posts_Cleaned[[#This Row],[Hashtags Used.3]])</f>
        <v>#EVRevolution</v>
      </c>
    </row>
    <row r="263" spans="1:17" x14ac:dyDescent="0.25">
      <c r="A263" t="s">
        <v>320</v>
      </c>
      <c r="B263" s="1" t="s">
        <v>29</v>
      </c>
      <c r="C263" s="2">
        <v>45675</v>
      </c>
      <c r="D263" s="1" t="s">
        <v>46</v>
      </c>
      <c r="E263" s="1" t="s">
        <v>47</v>
      </c>
      <c r="F263">
        <v>1206</v>
      </c>
      <c r="G263">
        <v>238</v>
      </c>
      <c r="H263">
        <v>36</v>
      </c>
      <c r="I263">
        <v>9648</v>
      </c>
      <c r="J263">
        <v>9417</v>
      </c>
      <c r="K263">
        <v>237</v>
      </c>
      <c r="L263" s="1" t="s">
        <v>25</v>
      </c>
      <c r="M263" s="1"/>
      <c r="N263" s="1"/>
      <c r="O263" s="1"/>
      <c r="P263" s="1">
        <f>IFERROR(((Posts_Cleaned[[#This Row],[Likes]]+Posts_Cleaned[[#This Row],[Shares]]+Posts_Cleaned[[#This Row],[Comments]])/Posts_Cleaned[[#This Row],[Impressions]]),0)</f>
        <v>0.15339966832504145</v>
      </c>
      <c r="Q263" s="7" t="str">
        <f>_xlfn.TEXTJOIN(", ", TRUE, Posts_Cleaned[[#This Row],[Hashtags Used.1]], Posts_Cleaned[[#This Row],[Hashtags Used.2]], Posts_Cleaned[[#This Row],[Hashtags Used.3]])</f>
        <v>#TeslaCoInnovation</v>
      </c>
    </row>
    <row r="264" spans="1:17" x14ac:dyDescent="0.25">
      <c r="A264" t="s">
        <v>321</v>
      </c>
      <c r="B264" s="1" t="s">
        <v>33</v>
      </c>
      <c r="C264" s="2">
        <v>45524</v>
      </c>
      <c r="D264" s="1" t="s">
        <v>17</v>
      </c>
      <c r="E264" s="1" t="s">
        <v>65</v>
      </c>
      <c r="F264">
        <v>2603</v>
      </c>
      <c r="G264">
        <v>690</v>
      </c>
      <c r="H264">
        <v>205</v>
      </c>
      <c r="I264">
        <v>13015</v>
      </c>
      <c r="J264">
        <v>12130</v>
      </c>
      <c r="K264">
        <v>20</v>
      </c>
      <c r="L264" s="1" t="s">
        <v>19</v>
      </c>
      <c r="M264" s="1"/>
      <c r="N264" s="1"/>
      <c r="O264" s="1" t="s">
        <v>27</v>
      </c>
      <c r="P264" s="1">
        <f>IFERROR(((Posts_Cleaned[[#This Row],[Likes]]+Posts_Cleaned[[#This Row],[Shares]]+Posts_Cleaned[[#This Row],[Comments]])/Posts_Cleaned[[#This Row],[Impressions]]),0)</f>
        <v>0.26876680752977333</v>
      </c>
      <c r="Q264" s="7" t="str">
        <f>_xlfn.TEXTJOIN(", ", TRUE, Posts_Cleaned[[#This Row],[Hashtags Used.1]], Posts_Cleaned[[#This Row],[Hashtags Used.2]], Posts_Cleaned[[#This Row],[Hashtags Used.3]])</f>
        <v>#FutureOfDriving</v>
      </c>
    </row>
    <row r="265" spans="1:17" x14ac:dyDescent="0.25">
      <c r="A265" t="s">
        <v>322</v>
      </c>
      <c r="B265" s="1" t="s">
        <v>16</v>
      </c>
      <c r="C265" s="2">
        <v>45687</v>
      </c>
      <c r="D265" s="1" t="s">
        <v>46</v>
      </c>
      <c r="E265" s="1" t="s">
        <v>92</v>
      </c>
      <c r="F265">
        <v>59</v>
      </c>
      <c r="G265">
        <v>163</v>
      </c>
      <c r="H265">
        <v>93</v>
      </c>
      <c r="I265">
        <v>590</v>
      </c>
      <c r="J265">
        <v>475</v>
      </c>
      <c r="K265">
        <v>293</v>
      </c>
      <c r="L265" s="1" t="s">
        <v>25</v>
      </c>
      <c r="M265" s="1"/>
      <c r="N265" s="1"/>
      <c r="O265" s="1" t="s">
        <v>27</v>
      </c>
      <c r="P265" s="1">
        <f>IFERROR(((Posts_Cleaned[[#This Row],[Likes]]+Posts_Cleaned[[#This Row],[Shares]]+Posts_Cleaned[[#This Row],[Comments]])/Posts_Cleaned[[#This Row],[Impressions]]),0)</f>
        <v>0.53389830508474578</v>
      </c>
      <c r="Q265" s="7" t="str">
        <f>_xlfn.TEXTJOIN(", ", TRUE, Posts_Cleaned[[#This Row],[Hashtags Used.1]], Posts_Cleaned[[#This Row],[Hashtags Used.2]], Posts_Cleaned[[#This Row],[Hashtags Used.3]])</f>
        <v>#TeslaCoInnovation</v>
      </c>
    </row>
    <row r="266" spans="1:17" x14ac:dyDescent="0.25">
      <c r="A266" t="s">
        <v>323</v>
      </c>
      <c r="B266" s="1" t="s">
        <v>16</v>
      </c>
      <c r="C266" s="2">
        <v>45708</v>
      </c>
      <c r="D266" s="1" t="s">
        <v>41</v>
      </c>
      <c r="E266" s="1" t="s">
        <v>44</v>
      </c>
      <c r="F266">
        <v>1877</v>
      </c>
      <c r="G266">
        <v>745</v>
      </c>
      <c r="H266">
        <v>225</v>
      </c>
      <c r="I266">
        <v>11262</v>
      </c>
      <c r="J266">
        <v>10967</v>
      </c>
      <c r="K266">
        <v>41</v>
      </c>
      <c r="L266" s="1" t="s">
        <v>36</v>
      </c>
      <c r="M266" s="1"/>
      <c r="N266" s="1"/>
      <c r="O266" s="1" t="s">
        <v>37</v>
      </c>
      <c r="P266" s="1">
        <f>IFERROR(((Posts_Cleaned[[#This Row],[Likes]]+Posts_Cleaned[[#This Row],[Shares]]+Posts_Cleaned[[#This Row],[Comments]])/Posts_Cleaned[[#This Row],[Impressions]]),0)</f>
        <v>0.25279701651571657</v>
      </c>
      <c r="Q266" s="7" t="str">
        <f>_xlfn.TEXTJOIN(", ", TRUE, Posts_Cleaned[[#This Row],[Hashtags Used.1]], Posts_Cleaned[[#This Row],[Hashtags Used.2]], Posts_Cleaned[[#This Row],[Hashtags Used.3]])</f>
        <v>#EVRevolution</v>
      </c>
    </row>
    <row r="267" spans="1:17" x14ac:dyDescent="0.25">
      <c r="A267" t="s">
        <v>324</v>
      </c>
      <c r="B267" s="1" t="s">
        <v>40</v>
      </c>
      <c r="C267" s="2">
        <v>45621</v>
      </c>
      <c r="D267" s="1" t="s">
        <v>34</v>
      </c>
      <c r="E267" s="1" t="s">
        <v>58</v>
      </c>
      <c r="F267">
        <v>4182</v>
      </c>
      <c r="G267">
        <v>640</v>
      </c>
      <c r="H267">
        <v>240</v>
      </c>
      <c r="I267">
        <v>50184</v>
      </c>
      <c r="J267">
        <v>49351</v>
      </c>
      <c r="K267">
        <v>10</v>
      </c>
      <c r="L267" s="1" t="s">
        <v>25</v>
      </c>
      <c r="M267" s="1"/>
      <c r="N267" s="1"/>
      <c r="O267" s="1" t="s">
        <v>31</v>
      </c>
      <c r="P267" s="1">
        <f>IFERROR(((Posts_Cleaned[[#This Row],[Likes]]+Posts_Cleaned[[#This Row],[Shares]]+Posts_Cleaned[[#This Row],[Comments]])/Posts_Cleaned[[#This Row],[Impressions]]),0)</f>
        <v>0.10086880280567512</v>
      </c>
      <c r="Q267" s="7" t="str">
        <f>_xlfn.TEXTJOIN(", ", TRUE, Posts_Cleaned[[#This Row],[Hashtags Used.1]], Posts_Cleaned[[#This Row],[Hashtags Used.2]], Posts_Cleaned[[#This Row],[Hashtags Used.3]])</f>
        <v>#TeslaCoInnovation</v>
      </c>
    </row>
    <row r="268" spans="1:17" x14ac:dyDescent="0.25">
      <c r="A268" t="s">
        <v>325</v>
      </c>
      <c r="B268" s="1" t="s">
        <v>16</v>
      </c>
      <c r="C268" s="2">
        <v>45569</v>
      </c>
      <c r="D268" s="1" t="s">
        <v>17</v>
      </c>
      <c r="E268" s="1" t="s">
        <v>18</v>
      </c>
      <c r="F268">
        <v>4187</v>
      </c>
      <c r="G268">
        <v>66</v>
      </c>
      <c r="H268">
        <v>31</v>
      </c>
      <c r="I268">
        <v>66992</v>
      </c>
      <c r="J268">
        <v>66614</v>
      </c>
      <c r="K268">
        <v>62</v>
      </c>
      <c r="L268" s="1" t="s">
        <v>19</v>
      </c>
      <c r="M268" s="1"/>
      <c r="N268" s="1"/>
      <c r="O268" s="1"/>
      <c r="P268" s="1">
        <f>IFERROR(((Posts_Cleaned[[#This Row],[Likes]]+Posts_Cleaned[[#This Row],[Shares]]+Posts_Cleaned[[#This Row],[Comments]])/Posts_Cleaned[[#This Row],[Impressions]]),0)</f>
        <v>6.3947934081681396E-2</v>
      </c>
      <c r="Q268" s="7" t="str">
        <f>_xlfn.TEXTJOIN(", ", TRUE, Posts_Cleaned[[#This Row],[Hashtags Used.1]], Posts_Cleaned[[#This Row],[Hashtags Used.2]], Posts_Cleaned[[#This Row],[Hashtags Used.3]])</f>
        <v>#FutureOfDriving</v>
      </c>
    </row>
    <row r="269" spans="1:17" x14ac:dyDescent="0.25">
      <c r="A269" t="s">
        <v>326</v>
      </c>
      <c r="B269" s="1" t="s">
        <v>33</v>
      </c>
      <c r="C269" s="2">
        <v>45760</v>
      </c>
      <c r="D269" s="1" t="s">
        <v>17</v>
      </c>
      <c r="E269" s="1" t="s">
        <v>65</v>
      </c>
      <c r="F269">
        <v>4579</v>
      </c>
      <c r="G269">
        <v>125</v>
      </c>
      <c r="H269">
        <v>300</v>
      </c>
      <c r="I269">
        <v>59527</v>
      </c>
      <c r="J269">
        <v>59400</v>
      </c>
      <c r="K269">
        <v>269</v>
      </c>
      <c r="L269" s="1" t="s">
        <v>36</v>
      </c>
      <c r="M269" s="1"/>
      <c r="N269" s="1"/>
      <c r="O269" s="1" t="s">
        <v>21</v>
      </c>
      <c r="P269" s="1">
        <f>IFERROR(((Posts_Cleaned[[#This Row],[Likes]]+Posts_Cleaned[[#This Row],[Shares]]+Posts_Cleaned[[#This Row],[Comments]])/Posts_Cleaned[[#This Row],[Impressions]]),0)</f>
        <v>8.4062694239588759E-2</v>
      </c>
      <c r="Q269" s="7" t="str">
        <f>_xlfn.TEXTJOIN(", ", TRUE, Posts_Cleaned[[#This Row],[Hashtags Used.1]], Posts_Cleaned[[#This Row],[Hashtags Used.2]], Posts_Cleaned[[#This Row],[Hashtags Used.3]])</f>
        <v>#EVRevolution</v>
      </c>
    </row>
    <row r="270" spans="1:17" x14ac:dyDescent="0.25">
      <c r="A270" t="s">
        <v>327</v>
      </c>
      <c r="B270" s="1" t="s">
        <v>33</v>
      </c>
      <c r="C270" s="2">
        <v>45601</v>
      </c>
      <c r="D270" s="1" t="s">
        <v>60</v>
      </c>
      <c r="E270" s="1" t="s">
        <v>67</v>
      </c>
      <c r="F270">
        <v>4561</v>
      </c>
      <c r="G270">
        <v>51</v>
      </c>
      <c r="H270">
        <v>441</v>
      </c>
      <c r="I270">
        <v>22805</v>
      </c>
      <c r="J270">
        <v>21890</v>
      </c>
      <c r="K270">
        <v>45</v>
      </c>
      <c r="L270" s="1" t="s">
        <v>25</v>
      </c>
      <c r="M270" s="1"/>
      <c r="N270" s="1"/>
      <c r="O270" s="1" t="s">
        <v>27</v>
      </c>
      <c r="P270" s="1">
        <f>IFERROR(((Posts_Cleaned[[#This Row],[Likes]]+Posts_Cleaned[[#This Row],[Shares]]+Posts_Cleaned[[#This Row],[Comments]])/Posts_Cleaned[[#This Row],[Impressions]]),0)</f>
        <v>0.22157421618066214</v>
      </c>
      <c r="Q270" s="7" t="str">
        <f>_xlfn.TEXTJOIN(", ", TRUE, Posts_Cleaned[[#This Row],[Hashtags Used.1]], Posts_Cleaned[[#This Row],[Hashtags Used.2]], Posts_Cleaned[[#This Row],[Hashtags Used.3]])</f>
        <v>#TeslaCoInnovation</v>
      </c>
    </row>
    <row r="271" spans="1:17" x14ac:dyDescent="0.25">
      <c r="A271" t="s">
        <v>328</v>
      </c>
      <c r="B271" s="1" t="s">
        <v>29</v>
      </c>
      <c r="C271" s="2">
        <v>45672</v>
      </c>
      <c r="D271" s="1" t="s">
        <v>17</v>
      </c>
      <c r="E271" s="1" t="s">
        <v>30</v>
      </c>
      <c r="F271">
        <v>3774</v>
      </c>
      <c r="G271">
        <v>239</v>
      </c>
      <c r="H271">
        <v>39</v>
      </c>
      <c r="I271">
        <v>60384</v>
      </c>
      <c r="J271">
        <v>59490</v>
      </c>
      <c r="K271">
        <v>241</v>
      </c>
      <c r="L271" s="1" t="s">
        <v>25</v>
      </c>
      <c r="M271" s="1"/>
      <c r="N271" s="1"/>
      <c r="O271" s="1" t="s">
        <v>31</v>
      </c>
      <c r="P271" s="1">
        <f>IFERROR(((Posts_Cleaned[[#This Row],[Likes]]+Posts_Cleaned[[#This Row],[Shares]]+Posts_Cleaned[[#This Row],[Comments]])/Posts_Cleaned[[#This Row],[Impressions]]),0)</f>
        <v>6.7103868574456813E-2</v>
      </c>
      <c r="Q271" s="7" t="str">
        <f>_xlfn.TEXTJOIN(", ", TRUE, Posts_Cleaned[[#This Row],[Hashtags Used.1]], Posts_Cleaned[[#This Row],[Hashtags Used.2]], Posts_Cleaned[[#This Row],[Hashtags Used.3]])</f>
        <v>#TeslaCoInnovation</v>
      </c>
    </row>
    <row r="272" spans="1:17" x14ac:dyDescent="0.25">
      <c r="A272" t="s">
        <v>329</v>
      </c>
      <c r="B272" s="1" t="s">
        <v>33</v>
      </c>
      <c r="C272" s="2">
        <v>45582</v>
      </c>
      <c r="D272" s="1" t="s">
        <v>60</v>
      </c>
      <c r="E272" s="1" t="s">
        <v>67</v>
      </c>
      <c r="F272">
        <v>3575</v>
      </c>
      <c r="G272">
        <v>749</v>
      </c>
      <c r="H272">
        <v>111</v>
      </c>
      <c r="I272">
        <v>21450</v>
      </c>
      <c r="J272">
        <v>20785</v>
      </c>
      <c r="K272">
        <v>195</v>
      </c>
      <c r="L272" s="1" t="s">
        <v>36</v>
      </c>
      <c r="M272" s="1"/>
      <c r="N272" s="1"/>
      <c r="O272" s="1" t="s">
        <v>27</v>
      </c>
      <c r="P272" s="1">
        <f>IFERROR(((Posts_Cleaned[[#This Row],[Likes]]+Posts_Cleaned[[#This Row],[Shares]]+Posts_Cleaned[[#This Row],[Comments]])/Posts_Cleaned[[#This Row],[Impressions]]),0)</f>
        <v>0.20675990675990677</v>
      </c>
      <c r="Q272" s="7" t="str">
        <f>_xlfn.TEXTJOIN(", ", TRUE, Posts_Cleaned[[#This Row],[Hashtags Used.1]], Posts_Cleaned[[#This Row],[Hashtags Used.2]], Posts_Cleaned[[#This Row],[Hashtags Used.3]])</f>
        <v>#EVRevolution</v>
      </c>
    </row>
    <row r="273" spans="1:17" x14ac:dyDescent="0.25">
      <c r="A273" t="s">
        <v>330</v>
      </c>
      <c r="B273" s="1" t="s">
        <v>33</v>
      </c>
      <c r="C273" s="2">
        <v>45743</v>
      </c>
      <c r="D273" s="1" t="s">
        <v>23</v>
      </c>
      <c r="E273" s="1" t="s">
        <v>82</v>
      </c>
      <c r="F273">
        <v>4941</v>
      </c>
      <c r="G273">
        <v>414</v>
      </c>
      <c r="H273">
        <v>266</v>
      </c>
      <c r="I273">
        <v>39528</v>
      </c>
      <c r="J273">
        <v>39154</v>
      </c>
      <c r="K273">
        <v>217</v>
      </c>
      <c r="L273" s="1" t="s">
        <v>25</v>
      </c>
      <c r="M273" s="1"/>
      <c r="N273" s="1"/>
      <c r="O273" s="1" t="s">
        <v>31</v>
      </c>
      <c r="P273" s="1">
        <f>IFERROR(((Posts_Cleaned[[#This Row],[Likes]]+Posts_Cleaned[[#This Row],[Shares]]+Posts_Cleaned[[#This Row],[Comments]])/Posts_Cleaned[[#This Row],[Impressions]]),0)</f>
        <v>0.14220299534507186</v>
      </c>
      <c r="Q273" s="7" t="str">
        <f>_xlfn.TEXTJOIN(", ", TRUE, Posts_Cleaned[[#This Row],[Hashtags Used.1]], Posts_Cleaned[[#This Row],[Hashtags Used.2]], Posts_Cleaned[[#This Row],[Hashtags Used.3]])</f>
        <v>#TeslaCoInnovation</v>
      </c>
    </row>
    <row r="274" spans="1:17" x14ac:dyDescent="0.25">
      <c r="A274" t="s">
        <v>331</v>
      </c>
      <c r="B274" s="1" t="s">
        <v>29</v>
      </c>
      <c r="C274" s="2">
        <v>45577</v>
      </c>
      <c r="D274" s="1" t="s">
        <v>34</v>
      </c>
      <c r="E274" s="1" t="s">
        <v>105</v>
      </c>
      <c r="F274">
        <v>3641</v>
      </c>
      <c r="G274">
        <v>226</v>
      </c>
      <c r="H274">
        <v>46</v>
      </c>
      <c r="I274">
        <v>40051</v>
      </c>
      <c r="J274">
        <v>39319</v>
      </c>
      <c r="K274">
        <v>296</v>
      </c>
      <c r="L274" s="1" t="s">
        <v>36</v>
      </c>
      <c r="M274" s="1"/>
      <c r="N274" s="1"/>
      <c r="O274" s="1" t="s">
        <v>37</v>
      </c>
      <c r="P274" s="1">
        <f>IFERROR(((Posts_Cleaned[[#This Row],[Likes]]+Posts_Cleaned[[#This Row],[Shares]]+Posts_Cleaned[[#This Row],[Comments]])/Posts_Cleaned[[#This Row],[Impressions]]),0)</f>
        <v>9.7700431949264685E-2</v>
      </c>
      <c r="Q274" s="7" t="str">
        <f>_xlfn.TEXTJOIN(", ", TRUE, Posts_Cleaned[[#This Row],[Hashtags Used.1]], Posts_Cleaned[[#This Row],[Hashtags Used.2]], Posts_Cleaned[[#This Row],[Hashtags Used.3]])</f>
        <v>#EVRevolution</v>
      </c>
    </row>
    <row r="275" spans="1:17" x14ac:dyDescent="0.25">
      <c r="A275" t="s">
        <v>332</v>
      </c>
      <c r="B275" s="1" t="s">
        <v>16</v>
      </c>
      <c r="C275" s="2">
        <v>45658</v>
      </c>
      <c r="D275" s="1" t="s">
        <v>41</v>
      </c>
      <c r="E275" s="1" t="s">
        <v>44</v>
      </c>
      <c r="F275">
        <v>3535</v>
      </c>
      <c r="G275">
        <v>494</v>
      </c>
      <c r="H275">
        <v>152</v>
      </c>
      <c r="I275">
        <v>53025</v>
      </c>
      <c r="J275">
        <v>52791</v>
      </c>
      <c r="K275">
        <v>44</v>
      </c>
      <c r="L275" s="1" t="s">
        <v>25</v>
      </c>
      <c r="M275" s="1"/>
      <c r="N275" s="1"/>
      <c r="O275" s="1" t="s">
        <v>37</v>
      </c>
      <c r="P275" s="1">
        <f>IFERROR(((Posts_Cleaned[[#This Row],[Likes]]+Posts_Cleaned[[#This Row],[Shares]]+Posts_Cleaned[[#This Row],[Comments]])/Posts_Cleaned[[#This Row],[Impressions]]),0)</f>
        <v>7.8849599245638849E-2</v>
      </c>
      <c r="Q275" s="7" t="str">
        <f>_xlfn.TEXTJOIN(", ", TRUE, Posts_Cleaned[[#This Row],[Hashtags Used.1]], Posts_Cleaned[[#This Row],[Hashtags Used.2]], Posts_Cleaned[[#This Row],[Hashtags Used.3]])</f>
        <v>#TeslaCoInnovation</v>
      </c>
    </row>
    <row r="276" spans="1:17" x14ac:dyDescent="0.25">
      <c r="A276" t="s">
        <v>333</v>
      </c>
      <c r="B276" s="1" t="s">
        <v>40</v>
      </c>
      <c r="C276" s="2">
        <v>45509</v>
      </c>
      <c r="D276" s="1" t="s">
        <v>17</v>
      </c>
      <c r="E276" s="1" t="s">
        <v>54</v>
      </c>
      <c r="F276">
        <v>1741</v>
      </c>
      <c r="G276">
        <v>831</v>
      </c>
      <c r="H276">
        <v>345</v>
      </c>
      <c r="I276">
        <v>17410</v>
      </c>
      <c r="J276">
        <v>16844</v>
      </c>
      <c r="K276">
        <v>58</v>
      </c>
      <c r="L276" s="1" t="s">
        <v>36</v>
      </c>
      <c r="M276" s="1"/>
      <c r="N276" s="1"/>
      <c r="O276" s="1" t="s">
        <v>31</v>
      </c>
      <c r="P276" s="1">
        <f>IFERROR(((Posts_Cleaned[[#This Row],[Likes]]+Posts_Cleaned[[#This Row],[Shares]]+Posts_Cleaned[[#This Row],[Comments]])/Posts_Cleaned[[#This Row],[Impressions]]),0)</f>
        <v>0.16754738655944859</v>
      </c>
      <c r="Q276" s="7" t="str">
        <f>_xlfn.TEXTJOIN(", ", TRUE, Posts_Cleaned[[#This Row],[Hashtags Used.1]], Posts_Cleaned[[#This Row],[Hashtags Used.2]], Posts_Cleaned[[#This Row],[Hashtags Used.3]])</f>
        <v>#EVRevolution</v>
      </c>
    </row>
    <row r="277" spans="1:17" x14ac:dyDescent="0.25">
      <c r="A277" t="s">
        <v>334</v>
      </c>
      <c r="B277" s="1" t="s">
        <v>16</v>
      </c>
      <c r="C277" s="2">
        <v>45450</v>
      </c>
      <c r="D277" s="1" t="s">
        <v>41</v>
      </c>
      <c r="E277" s="1" t="s">
        <v>44</v>
      </c>
      <c r="F277">
        <v>1556</v>
      </c>
      <c r="G277">
        <v>195</v>
      </c>
      <c r="H277">
        <v>131</v>
      </c>
      <c r="I277">
        <v>9336</v>
      </c>
      <c r="J277">
        <v>8875</v>
      </c>
      <c r="K277">
        <v>137</v>
      </c>
      <c r="L277" s="1" t="s">
        <v>25</v>
      </c>
      <c r="M277" s="1"/>
      <c r="N277" s="1"/>
      <c r="O277" s="1" t="s">
        <v>27</v>
      </c>
      <c r="P277" s="1">
        <f>IFERROR(((Posts_Cleaned[[#This Row],[Likes]]+Posts_Cleaned[[#This Row],[Shares]]+Posts_Cleaned[[#This Row],[Comments]])/Posts_Cleaned[[#This Row],[Impressions]]),0)</f>
        <v>0.2015852613538989</v>
      </c>
      <c r="Q277" s="7" t="str">
        <f>_xlfn.TEXTJOIN(", ", TRUE, Posts_Cleaned[[#This Row],[Hashtags Used.1]], Posts_Cleaned[[#This Row],[Hashtags Used.2]], Posts_Cleaned[[#This Row],[Hashtags Used.3]])</f>
        <v>#TeslaCoInnovation</v>
      </c>
    </row>
    <row r="278" spans="1:17" x14ac:dyDescent="0.25">
      <c r="A278" t="s">
        <v>335</v>
      </c>
      <c r="B278" s="1" t="s">
        <v>40</v>
      </c>
      <c r="C278" s="2">
        <v>45753</v>
      </c>
      <c r="D278" s="1" t="s">
        <v>46</v>
      </c>
      <c r="E278" s="1" t="s">
        <v>51</v>
      </c>
      <c r="F278">
        <v>4236</v>
      </c>
      <c r="G278">
        <v>711</v>
      </c>
      <c r="H278">
        <v>298</v>
      </c>
      <c r="I278">
        <v>21180</v>
      </c>
      <c r="J278">
        <v>20516</v>
      </c>
      <c r="K278">
        <v>238</v>
      </c>
      <c r="L278" s="1" t="s">
        <v>19</v>
      </c>
      <c r="M278" s="1"/>
      <c r="N278" s="1"/>
      <c r="O278" s="1" t="s">
        <v>21</v>
      </c>
      <c r="P278" s="1">
        <f>IFERROR(((Posts_Cleaned[[#This Row],[Likes]]+Posts_Cleaned[[#This Row],[Shares]]+Posts_Cleaned[[#This Row],[Comments]])/Posts_Cleaned[[#This Row],[Impressions]]),0)</f>
        <v>0.24763928234183191</v>
      </c>
      <c r="Q278" s="7" t="str">
        <f>_xlfn.TEXTJOIN(", ", TRUE, Posts_Cleaned[[#This Row],[Hashtags Used.1]], Posts_Cleaned[[#This Row],[Hashtags Used.2]], Posts_Cleaned[[#This Row],[Hashtags Used.3]])</f>
        <v>#FutureOfDriving</v>
      </c>
    </row>
    <row r="279" spans="1:17" x14ac:dyDescent="0.25">
      <c r="A279" t="s">
        <v>336</v>
      </c>
      <c r="B279" s="1" t="s">
        <v>16</v>
      </c>
      <c r="C279" s="2">
        <v>45622</v>
      </c>
      <c r="D279" s="1" t="s">
        <v>23</v>
      </c>
      <c r="E279" s="1" t="s">
        <v>24</v>
      </c>
      <c r="F279">
        <v>4516</v>
      </c>
      <c r="G279">
        <v>836</v>
      </c>
      <c r="H279">
        <v>169</v>
      </c>
      <c r="I279">
        <v>49676</v>
      </c>
      <c r="J279">
        <v>49257</v>
      </c>
      <c r="K279">
        <v>282</v>
      </c>
      <c r="L279" s="1" t="s">
        <v>36</v>
      </c>
      <c r="M279" s="1"/>
      <c r="N279" s="1"/>
      <c r="O279" s="1" t="s">
        <v>37</v>
      </c>
      <c r="P279" s="1">
        <f>IFERROR(((Posts_Cleaned[[#This Row],[Likes]]+Posts_Cleaned[[#This Row],[Shares]]+Posts_Cleaned[[#This Row],[Comments]])/Posts_Cleaned[[#This Row],[Impressions]]),0)</f>
        <v>0.11114018842096787</v>
      </c>
      <c r="Q279" s="7" t="str">
        <f>_xlfn.TEXTJOIN(", ", TRUE, Posts_Cleaned[[#This Row],[Hashtags Used.1]], Posts_Cleaned[[#This Row],[Hashtags Used.2]], Posts_Cleaned[[#This Row],[Hashtags Used.3]])</f>
        <v>#EVRevolution</v>
      </c>
    </row>
    <row r="280" spans="1:17" x14ac:dyDescent="0.25">
      <c r="A280" t="s">
        <v>337</v>
      </c>
      <c r="B280" s="1" t="s">
        <v>29</v>
      </c>
      <c r="C280" s="2">
        <v>45537</v>
      </c>
      <c r="D280" s="1" t="s">
        <v>46</v>
      </c>
      <c r="E280" s="1" t="s">
        <v>47</v>
      </c>
      <c r="F280">
        <v>4905</v>
      </c>
      <c r="G280">
        <v>845</v>
      </c>
      <c r="H280">
        <v>129</v>
      </c>
      <c r="I280">
        <v>98100</v>
      </c>
      <c r="J280">
        <v>97772</v>
      </c>
      <c r="K280">
        <v>279</v>
      </c>
      <c r="L280" s="1" t="s">
        <v>25</v>
      </c>
      <c r="M280" s="1"/>
      <c r="N280" s="1"/>
      <c r="O280" s="1" t="s">
        <v>27</v>
      </c>
      <c r="P280" s="1">
        <f>IFERROR(((Posts_Cleaned[[#This Row],[Likes]]+Posts_Cleaned[[#This Row],[Shares]]+Posts_Cleaned[[#This Row],[Comments]])/Posts_Cleaned[[#This Row],[Impressions]]),0)</f>
        <v>5.9928644240570844E-2</v>
      </c>
      <c r="Q280" s="7" t="str">
        <f>_xlfn.TEXTJOIN(", ", TRUE, Posts_Cleaned[[#This Row],[Hashtags Used.1]], Posts_Cleaned[[#This Row],[Hashtags Used.2]], Posts_Cleaned[[#This Row],[Hashtags Used.3]])</f>
        <v>#TeslaCoInnovation</v>
      </c>
    </row>
    <row r="281" spans="1:17" x14ac:dyDescent="0.25">
      <c r="A281" t="s">
        <v>338</v>
      </c>
      <c r="B281" s="1" t="s">
        <v>29</v>
      </c>
      <c r="C281" s="2">
        <v>45586</v>
      </c>
      <c r="D281" s="1" t="s">
        <v>60</v>
      </c>
      <c r="E281" s="1" t="s">
        <v>140</v>
      </c>
      <c r="F281">
        <v>4275</v>
      </c>
      <c r="G281">
        <v>680</v>
      </c>
      <c r="H281">
        <v>385</v>
      </c>
      <c r="I281">
        <v>64125</v>
      </c>
      <c r="J281">
        <v>63650</v>
      </c>
      <c r="K281">
        <v>104</v>
      </c>
      <c r="L281" s="1" t="s">
        <v>36</v>
      </c>
      <c r="M281" s="1" t="s">
        <v>25</v>
      </c>
      <c r="N281" s="1" t="s">
        <v>20</v>
      </c>
      <c r="O281" s="1" t="s">
        <v>37</v>
      </c>
      <c r="P281" s="1">
        <f>IFERROR(((Posts_Cleaned[[#This Row],[Likes]]+Posts_Cleaned[[#This Row],[Shares]]+Posts_Cleaned[[#This Row],[Comments]])/Posts_Cleaned[[#This Row],[Impressions]]),0)</f>
        <v>8.3274853801169585E-2</v>
      </c>
      <c r="Q281" s="7" t="str">
        <f>_xlfn.TEXTJOIN(", ", TRUE, Posts_Cleaned[[#This Row],[Hashtags Used.1]], Posts_Cleaned[[#This Row],[Hashtags Used.2]], Posts_Cleaned[[#This Row],[Hashtags Used.3]])</f>
        <v>#EVRevolution, #TeslaCoInnovation, #AnytimeIsTeslaTime</v>
      </c>
    </row>
    <row r="282" spans="1:17" x14ac:dyDescent="0.25">
      <c r="A282" t="s">
        <v>339</v>
      </c>
      <c r="B282" s="1" t="s">
        <v>29</v>
      </c>
      <c r="C282" s="2">
        <v>45738</v>
      </c>
      <c r="D282" s="1" t="s">
        <v>46</v>
      </c>
      <c r="E282" s="1" t="s">
        <v>47</v>
      </c>
      <c r="F282">
        <v>3166</v>
      </c>
      <c r="G282">
        <v>90</v>
      </c>
      <c r="H282">
        <v>341</v>
      </c>
      <c r="I282">
        <v>56988</v>
      </c>
      <c r="J282">
        <v>56125</v>
      </c>
      <c r="K282">
        <v>135</v>
      </c>
      <c r="L282" s="1" t="s">
        <v>36</v>
      </c>
      <c r="M282" s="1"/>
      <c r="N282" s="1"/>
      <c r="O282" s="1" t="s">
        <v>27</v>
      </c>
      <c r="P282" s="1">
        <f>IFERROR(((Posts_Cleaned[[#This Row],[Likes]]+Posts_Cleaned[[#This Row],[Shares]]+Posts_Cleaned[[#This Row],[Comments]])/Posts_Cleaned[[#This Row],[Impressions]]),0)</f>
        <v>6.3118551273952411E-2</v>
      </c>
      <c r="Q282" s="7" t="str">
        <f>_xlfn.TEXTJOIN(", ", TRUE, Posts_Cleaned[[#This Row],[Hashtags Used.1]], Posts_Cleaned[[#This Row],[Hashtags Used.2]], Posts_Cleaned[[#This Row],[Hashtags Used.3]])</f>
        <v>#EVRevolution</v>
      </c>
    </row>
    <row r="283" spans="1:17" x14ac:dyDescent="0.25">
      <c r="A283" t="s">
        <v>340</v>
      </c>
      <c r="B283" s="1" t="s">
        <v>33</v>
      </c>
      <c r="C283" s="2">
        <v>45568</v>
      </c>
      <c r="D283" s="1" t="s">
        <v>60</v>
      </c>
      <c r="E283" s="1" t="s">
        <v>67</v>
      </c>
      <c r="F283">
        <v>1488</v>
      </c>
      <c r="G283">
        <v>417</v>
      </c>
      <c r="H283">
        <v>168</v>
      </c>
      <c r="I283">
        <v>19344</v>
      </c>
      <c r="J283">
        <v>18395</v>
      </c>
      <c r="K283">
        <v>30</v>
      </c>
      <c r="L283" s="1" t="s">
        <v>19</v>
      </c>
      <c r="M283" s="1"/>
      <c r="N283" s="1"/>
      <c r="O283" s="1" t="s">
        <v>31</v>
      </c>
      <c r="P283" s="1">
        <f>IFERROR(((Posts_Cleaned[[#This Row],[Likes]]+Posts_Cleaned[[#This Row],[Shares]]+Posts_Cleaned[[#This Row],[Comments]])/Posts_Cleaned[[#This Row],[Impressions]]),0)</f>
        <v>0.1071650124069479</v>
      </c>
      <c r="Q283" s="7" t="str">
        <f>_xlfn.TEXTJOIN(", ", TRUE, Posts_Cleaned[[#This Row],[Hashtags Used.1]], Posts_Cleaned[[#This Row],[Hashtags Used.2]], Posts_Cleaned[[#This Row],[Hashtags Used.3]])</f>
        <v>#FutureOfDriving</v>
      </c>
    </row>
    <row r="284" spans="1:17" x14ac:dyDescent="0.25">
      <c r="A284" t="s">
        <v>341</v>
      </c>
      <c r="B284" s="1" t="s">
        <v>16</v>
      </c>
      <c r="C284" s="2">
        <v>45786</v>
      </c>
      <c r="D284" s="1" t="s">
        <v>17</v>
      </c>
      <c r="E284" s="1" t="s">
        <v>18</v>
      </c>
      <c r="F284">
        <v>3367</v>
      </c>
      <c r="G284">
        <v>302</v>
      </c>
      <c r="H284">
        <v>57</v>
      </c>
      <c r="I284">
        <v>63973</v>
      </c>
      <c r="J284">
        <v>63789</v>
      </c>
      <c r="K284">
        <v>157</v>
      </c>
      <c r="L284" s="1" t="s">
        <v>19</v>
      </c>
      <c r="M284" s="1"/>
      <c r="N284" s="1"/>
      <c r="O284" s="1" t="s">
        <v>27</v>
      </c>
      <c r="P284" s="1">
        <f>IFERROR(((Posts_Cleaned[[#This Row],[Likes]]+Posts_Cleaned[[#This Row],[Shares]]+Posts_Cleaned[[#This Row],[Comments]])/Posts_Cleaned[[#This Row],[Impressions]]),0)</f>
        <v>5.8243321401216137E-2</v>
      </c>
      <c r="Q284" s="7" t="str">
        <f>_xlfn.TEXTJOIN(", ", TRUE, Posts_Cleaned[[#This Row],[Hashtags Used.1]], Posts_Cleaned[[#This Row],[Hashtags Used.2]], Posts_Cleaned[[#This Row],[Hashtags Used.3]])</f>
        <v>#FutureOfDriving</v>
      </c>
    </row>
    <row r="285" spans="1:17" x14ac:dyDescent="0.25">
      <c r="A285" t="s">
        <v>342</v>
      </c>
      <c r="B285" s="1" t="s">
        <v>16</v>
      </c>
      <c r="C285" s="2">
        <v>45552</v>
      </c>
      <c r="D285" s="1" t="s">
        <v>23</v>
      </c>
      <c r="E285" s="1" t="s">
        <v>24</v>
      </c>
      <c r="F285">
        <v>571</v>
      </c>
      <c r="G285">
        <v>190</v>
      </c>
      <c r="H285">
        <v>352</v>
      </c>
      <c r="I285">
        <v>9707</v>
      </c>
      <c r="J285">
        <v>9418</v>
      </c>
      <c r="K285">
        <v>231</v>
      </c>
      <c r="L285" s="1" t="s">
        <v>25</v>
      </c>
      <c r="M285" s="1"/>
      <c r="N285" s="1"/>
      <c r="O285" s="1" t="s">
        <v>37</v>
      </c>
      <c r="P285" s="1">
        <f>IFERROR(((Posts_Cleaned[[#This Row],[Likes]]+Posts_Cleaned[[#This Row],[Shares]]+Posts_Cleaned[[#This Row],[Comments]])/Posts_Cleaned[[#This Row],[Impressions]]),0)</f>
        <v>0.11465952405480581</v>
      </c>
      <c r="Q285" s="7" t="str">
        <f>_xlfn.TEXTJOIN(", ", TRUE, Posts_Cleaned[[#This Row],[Hashtags Used.1]], Posts_Cleaned[[#This Row],[Hashtags Used.2]], Posts_Cleaned[[#This Row],[Hashtags Used.3]])</f>
        <v>#TeslaCoInnovation</v>
      </c>
    </row>
    <row r="286" spans="1:17" x14ac:dyDescent="0.25">
      <c r="A286" t="s">
        <v>343</v>
      </c>
      <c r="B286" s="1" t="s">
        <v>29</v>
      </c>
      <c r="C286" s="2">
        <v>45491</v>
      </c>
      <c r="D286" s="1" t="s">
        <v>23</v>
      </c>
      <c r="E286" s="1" t="s">
        <v>77</v>
      </c>
      <c r="F286">
        <v>4021</v>
      </c>
      <c r="G286">
        <v>794</v>
      </c>
      <c r="H286">
        <v>77</v>
      </c>
      <c r="I286">
        <v>36189</v>
      </c>
      <c r="J286">
        <v>35505</v>
      </c>
      <c r="K286">
        <v>174</v>
      </c>
      <c r="L286" s="1" t="s">
        <v>36</v>
      </c>
      <c r="M286" s="1"/>
      <c r="N286" s="1"/>
      <c r="O286" s="1"/>
      <c r="P286" s="1">
        <f>IFERROR(((Posts_Cleaned[[#This Row],[Likes]]+Posts_Cleaned[[#This Row],[Shares]]+Posts_Cleaned[[#This Row],[Comments]])/Posts_Cleaned[[#This Row],[Impressions]]),0)</f>
        <v>0.13517919809886983</v>
      </c>
      <c r="Q286" s="7" t="str">
        <f>_xlfn.TEXTJOIN(", ", TRUE, Posts_Cleaned[[#This Row],[Hashtags Used.1]], Posts_Cleaned[[#This Row],[Hashtags Used.2]], Posts_Cleaned[[#This Row],[Hashtags Used.3]])</f>
        <v>#EVRevolution</v>
      </c>
    </row>
    <row r="287" spans="1:17" x14ac:dyDescent="0.25">
      <c r="A287" t="s">
        <v>344</v>
      </c>
      <c r="B287" s="1" t="s">
        <v>29</v>
      </c>
      <c r="C287" s="2">
        <v>45560</v>
      </c>
      <c r="D287" s="1" t="s">
        <v>60</v>
      </c>
      <c r="E287" s="1" t="s">
        <v>140</v>
      </c>
      <c r="F287">
        <v>3389</v>
      </c>
      <c r="G287">
        <v>344</v>
      </c>
      <c r="H287">
        <v>229</v>
      </c>
      <c r="I287">
        <v>20334</v>
      </c>
      <c r="J287">
        <v>19443</v>
      </c>
      <c r="K287">
        <v>228</v>
      </c>
      <c r="L287" s="1" t="s">
        <v>19</v>
      </c>
      <c r="M287" s="1"/>
      <c r="N287" s="1"/>
      <c r="O287" s="1" t="s">
        <v>31</v>
      </c>
      <c r="P287" s="1">
        <f>IFERROR(((Posts_Cleaned[[#This Row],[Likes]]+Posts_Cleaned[[#This Row],[Shares]]+Posts_Cleaned[[#This Row],[Comments]])/Posts_Cleaned[[#This Row],[Impressions]]),0)</f>
        <v>0.19484607062063539</v>
      </c>
      <c r="Q287" s="7" t="str">
        <f>_xlfn.TEXTJOIN(", ", TRUE, Posts_Cleaned[[#This Row],[Hashtags Used.1]], Posts_Cleaned[[#This Row],[Hashtags Used.2]], Posts_Cleaned[[#This Row],[Hashtags Used.3]])</f>
        <v>#FutureOfDriving</v>
      </c>
    </row>
    <row r="288" spans="1:17" x14ac:dyDescent="0.25">
      <c r="A288" t="s">
        <v>345</v>
      </c>
      <c r="B288" s="1" t="s">
        <v>33</v>
      </c>
      <c r="C288" s="2">
        <v>45519</v>
      </c>
      <c r="D288" s="1" t="s">
        <v>17</v>
      </c>
      <c r="E288" s="1" t="s">
        <v>65</v>
      </c>
      <c r="F288">
        <v>1164</v>
      </c>
      <c r="G288">
        <v>616</v>
      </c>
      <c r="H288">
        <v>324</v>
      </c>
      <c r="I288">
        <v>6984</v>
      </c>
      <c r="J288">
        <v>6636</v>
      </c>
      <c r="K288">
        <v>82</v>
      </c>
      <c r="L288" s="1" t="s">
        <v>36</v>
      </c>
      <c r="M288" s="1"/>
      <c r="N288" s="1"/>
      <c r="O288" s="1" t="s">
        <v>21</v>
      </c>
      <c r="P288" s="1">
        <f>IFERROR(((Posts_Cleaned[[#This Row],[Likes]]+Posts_Cleaned[[#This Row],[Shares]]+Posts_Cleaned[[#This Row],[Comments]])/Posts_Cleaned[[#This Row],[Impressions]]),0)</f>
        <v>0.30126002290950743</v>
      </c>
      <c r="Q288" s="7" t="str">
        <f>_xlfn.TEXTJOIN(", ", TRUE, Posts_Cleaned[[#This Row],[Hashtags Used.1]], Posts_Cleaned[[#This Row],[Hashtags Used.2]], Posts_Cleaned[[#This Row],[Hashtags Used.3]])</f>
        <v>#EVRevolution</v>
      </c>
    </row>
    <row r="289" spans="1:17" x14ac:dyDescent="0.25">
      <c r="A289" t="s">
        <v>346</v>
      </c>
      <c r="B289" s="1" t="s">
        <v>29</v>
      </c>
      <c r="C289" s="2">
        <v>45764</v>
      </c>
      <c r="D289" s="1" t="s">
        <v>41</v>
      </c>
      <c r="E289" s="1" t="s">
        <v>56</v>
      </c>
      <c r="F289">
        <v>4780</v>
      </c>
      <c r="G289">
        <v>691</v>
      </c>
      <c r="H289">
        <v>380</v>
      </c>
      <c r="I289">
        <v>86040</v>
      </c>
      <c r="J289">
        <v>85743</v>
      </c>
      <c r="K289">
        <v>262</v>
      </c>
      <c r="L289" s="1" t="s">
        <v>19</v>
      </c>
      <c r="M289" s="1"/>
      <c r="N289" s="1"/>
      <c r="O289" s="1" t="s">
        <v>31</v>
      </c>
      <c r="P289" s="1">
        <f>IFERROR(((Posts_Cleaned[[#This Row],[Likes]]+Posts_Cleaned[[#This Row],[Shares]]+Posts_Cleaned[[#This Row],[Comments]])/Posts_Cleaned[[#This Row],[Impressions]]),0)</f>
        <v>6.800325430032543E-2</v>
      </c>
      <c r="Q289" s="7" t="str">
        <f>_xlfn.TEXTJOIN(", ", TRUE, Posts_Cleaned[[#This Row],[Hashtags Used.1]], Posts_Cleaned[[#This Row],[Hashtags Used.2]], Posts_Cleaned[[#This Row],[Hashtags Used.3]])</f>
        <v>#FutureOfDriving</v>
      </c>
    </row>
    <row r="290" spans="1:17" x14ac:dyDescent="0.25">
      <c r="A290" t="s">
        <v>347</v>
      </c>
      <c r="B290" s="1" t="s">
        <v>40</v>
      </c>
      <c r="C290" s="2">
        <v>45624</v>
      </c>
      <c r="D290" s="1" t="s">
        <v>41</v>
      </c>
      <c r="E290" s="1" t="s">
        <v>42</v>
      </c>
      <c r="F290">
        <v>2751</v>
      </c>
      <c r="G290">
        <v>33</v>
      </c>
      <c r="H290">
        <v>430</v>
      </c>
      <c r="I290">
        <v>44016</v>
      </c>
      <c r="J290">
        <v>43415</v>
      </c>
      <c r="K290">
        <v>129</v>
      </c>
      <c r="L290" s="1" t="s">
        <v>19</v>
      </c>
      <c r="M290" s="1"/>
      <c r="N290" s="1"/>
      <c r="O290" s="1"/>
      <c r="P290" s="1">
        <f>IFERROR(((Posts_Cleaned[[#This Row],[Likes]]+Posts_Cleaned[[#This Row],[Shares]]+Posts_Cleaned[[#This Row],[Comments]])/Posts_Cleaned[[#This Row],[Impressions]]),0)</f>
        <v>7.3018902217375503E-2</v>
      </c>
      <c r="Q290" s="7" t="str">
        <f>_xlfn.TEXTJOIN(", ", TRUE, Posts_Cleaned[[#This Row],[Hashtags Used.1]], Posts_Cleaned[[#This Row],[Hashtags Used.2]], Posts_Cleaned[[#This Row],[Hashtags Used.3]])</f>
        <v>#FutureOfDriving</v>
      </c>
    </row>
    <row r="291" spans="1:17" x14ac:dyDescent="0.25">
      <c r="A291" t="s">
        <v>348</v>
      </c>
      <c r="B291" s="1" t="s">
        <v>33</v>
      </c>
      <c r="C291" s="2">
        <v>45646</v>
      </c>
      <c r="D291" s="1" t="s">
        <v>41</v>
      </c>
      <c r="E291" s="1" t="s">
        <v>69</v>
      </c>
      <c r="F291">
        <v>2107</v>
      </c>
      <c r="G291">
        <v>550</v>
      </c>
      <c r="H291">
        <v>349</v>
      </c>
      <c r="I291">
        <v>35819</v>
      </c>
      <c r="J291">
        <v>35340</v>
      </c>
      <c r="K291">
        <v>191</v>
      </c>
      <c r="L291" s="1" t="s">
        <v>36</v>
      </c>
      <c r="M291" s="1"/>
      <c r="N291" s="1"/>
      <c r="O291" s="1" t="s">
        <v>37</v>
      </c>
      <c r="P291" s="1">
        <f>IFERROR(((Posts_Cleaned[[#This Row],[Likes]]+Posts_Cleaned[[#This Row],[Shares]]+Posts_Cleaned[[#This Row],[Comments]])/Posts_Cleaned[[#This Row],[Impressions]]),0)</f>
        <v>8.3921940869371006E-2</v>
      </c>
      <c r="Q291" s="7" t="str">
        <f>_xlfn.TEXTJOIN(", ", TRUE, Posts_Cleaned[[#This Row],[Hashtags Used.1]], Posts_Cleaned[[#This Row],[Hashtags Used.2]], Posts_Cleaned[[#This Row],[Hashtags Used.3]])</f>
        <v>#EVRevolution</v>
      </c>
    </row>
    <row r="292" spans="1:17" x14ac:dyDescent="0.25">
      <c r="A292" t="s">
        <v>349</v>
      </c>
      <c r="B292" s="1" t="s">
        <v>40</v>
      </c>
      <c r="C292" s="2">
        <v>45602</v>
      </c>
      <c r="D292" s="1" t="s">
        <v>60</v>
      </c>
      <c r="E292" s="1" t="s">
        <v>61</v>
      </c>
      <c r="F292">
        <v>4663</v>
      </c>
      <c r="G292">
        <v>145</v>
      </c>
      <c r="H292">
        <v>225</v>
      </c>
      <c r="I292">
        <v>69945</v>
      </c>
      <c r="J292">
        <v>69596</v>
      </c>
      <c r="K292">
        <v>35</v>
      </c>
      <c r="L292" s="1" t="s">
        <v>36</v>
      </c>
      <c r="M292" s="1"/>
      <c r="N292" s="1"/>
      <c r="O292" s="1" t="s">
        <v>37</v>
      </c>
      <c r="P292" s="1">
        <f>IFERROR(((Posts_Cleaned[[#This Row],[Likes]]+Posts_Cleaned[[#This Row],[Shares]]+Posts_Cleaned[[#This Row],[Comments]])/Posts_Cleaned[[#This Row],[Impressions]]),0)</f>
        <v>7.1956537279290869E-2</v>
      </c>
      <c r="Q292" s="7" t="str">
        <f>_xlfn.TEXTJOIN(", ", TRUE, Posts_Cleaned[[#This Row],[Hashtags Used.1]], Posts_Cleaned[[#This Row],[Hashtags Used.2]], Posts_Cleaned[[#This Row],[Hashtags Used.3]])</f>
        <v>#EVRevolution</v>
      </c>
    </row>
    <row r="293" spans="1:17" x14ac:dyDescent="0.25">
      <c r="A293" t="s">
        <v>350</v>
      </c>
      <c r="B293" s="1" t="s">
        <v>40</v>
      </c>
      <c r="C293" s="2">
        <v>45613</v>
      </c>
      <c r="D293" s="1" t="s">
        <v>23</v>
      </c>
      <c r="E293" s="1" t="s">
        <v>49</v>
      </c>
      <c r="F293">
        <v>880</v>
      </c>
      <c r="G293">
        <v>297</v>
      </c>
      <c r="H293">
        <v>345</v>
      </c>
      <c r="I293">
        <v>12320</v>
      </c>
      <c r="J293">
        <v>11978</v>
      </c>
      <c r="K293">
        <v>238</v>
      </c>
      <c r="L293" s="1" t="s">
        <v>25</v>
      </c>
      <c r="M293" s="1" t="s">
        <v>20</v>
      </c>
      <c r="N293" s="1"/>
      <c r="O293" s="1"/>
      <c r="P293" s="1">
        <f>IFERROR(((Posts_Cleaned[[#This Row],[Likes]]+Posts_Cleaned[[#This Row],[Shares]]+Posts_Cleaned[[#This Row],[Comments]])/Posts_Cleaned[[#This Row],[Impressions]]),0)</f>
        <v>0.12353896103896105</v>
      </c>
      <c r="Q293" s="7" t="str">
        <f>_xlfn.TEXTJOIN(", ", TRUE, Posts_Cleaned[[#This Row],[Hashtags Used.1]], Posts_Cleaned[[#This Row],[Hashtags Used.2]], Posts_Cleaned[[#This Row],[Hashtags Used.3]])</f>
        <v>#TeslaCoInnovation, #AnytimeIsTeslaTime</v>
      </c>
    </row>
    <row r="294" spans="1:17" x14ac:dyDescent="0.25">
      <c r="A294" t="s">
        <v>351</v>
      </c>
      <c r="B294" s="1" t="s">
        <v>40</v>
      </c>
      <c r="C294" s="2">
        <v>45791</v>
      </c>
      <c r="D294" s="1" t="s">
        <v>23</v>
      </c>
      <c r="E294" s="1" t="s">
        <v>49</v>
      </c>
      <c r="F294">
        <v>2634</v>
      </c>
      <c r="G294">
        <v>726</v>
      </c>
      <c r="H294">
        <v>241</v>
      </c>
      <c r="I294">
        <v>28974</v>
      </c>
      <c r="J294">
        <v>28102</v>
      </c>
      <c r="K294">
        <v>277</v>
      </c>
      <c r="L294" s="1" t="s">
        <v>36</v>
      </c>
      <c r="M294" s="1"/>
      <c r="N294" s="1"/>
      <c r="O294" s="1" t="s">
        <v>21</v>
      </c>
      <c r="P294" s="1">
        <f>IFERROR(((Posts_Cleaned[[#This Row],[Likes]]+Posts_Cleaned[[#This Row],[Shares]]+Posts_Cleaned[[#This Row],[Comments]])/Posts_Cleaned[[#This Row],[Impressions]]),0)</f>
        <v>0.12428384068475185</v>
      </c>
      <c r="Q294" s="7" t="str">
        <f>_xlfn.TEXTJOIN(", ", TRUE, Posts_Cleaned[[#This Row],[Hashtags Used.1]], Posts_Cleaned[[#This Row],[Hashtags Used.2]], Posts_Cleaned[[#This Row],[Hashtags Used.3]])</f>
        <v>#EVRevolution</v>
      </c>
    </row>
    <row r="295" spans="1:17" x14ac:dyDescent="0.25">
      <c r="A295" t="s">
        <v>352</v>
      </c>
      <c r="B295" s="1" t="s">
        <v>40</v>
      </c>
      <c r="C295" s="2">
        <v>45462</v>
      </c>
      <c r="D295" s="1" t="s">
        <v>41</v>
      </c>
      <c r="E295" s="1" t="s">
        <v>42</v>
      </c>
      <c r="F295">
        <v>4731</v>
      </c>
      <c r="G295">
        <v>173</v>
      </c>
      <c r="H295">
        <v>276</v>
      </c>
      <c r="I295">
        <v>28386</v>
      </c>
      <c r="J295">
        <v>28185</v>
      </c>
      <c r="K295">
        <v>89</v>
      </c>
      <c r="L295" s="1" t="s">
        <v>36</v>
      </c>
      <c r="M295" s="1"/>
      <c r="N295" s="1"/>
      <c r="O295" s="1" t="s">
        <v>31</v>
      </c>
      <c r="P295" s="1">
        <f>IFERROR(((Posts_Cleaned[[#This Row],[Likes]]+Posts_Cleaned[[#This Row],[Shares]]+Posts_Cleaned[[#This Row],[Comments]])/Posts_Cleaned[[#This Row],[Impressions]]),0)</f>
        <v>0.18248432325794406</v>
      </c>
      <c r="Q295" s="7" t="str">
        <f>_xlfn.TEXTJOIN(", ", TRUE, Posts_Cleaned[[#This Row],[Hashtags Used.1]], Posts_Cleaned[[#This Row],[Hashtags Used.2]], Posts_Cleaned[[#This Row],[Hashtags Used.3]])</f>
        <v>#EVRevolution</v>
      </c>
    </row>
    <row r="296" spans="1:17" x14ac:dyDescent="0.25">
      <c r="A296" t="s">
        <v>353</v>
      </c>
      <c r="B296" s="1" t="s">
        <v>16</v>
      </c>
      <c r="C296" s="2">
        <v>45783</v>
      </c>
      <c r="D296" s="1" t="s">
        <v>46</v>
      </c>
      <c r="E296" s="1" t="s">
        <v>92</v>
      </c>
      <c r="F296">
        <v>1952</v>
      </c>
      <c r="G296">
        <v>344</v>
      </c>
      <c r="H296">
        <v>287</v>
      </c>
      <c r="I296">
        <v>15616</v>
      </c>
      <c r="J296">
        <v>15403</v>
      </c>
      <c r="K296">
        <v>235</v>
      </c>
      <c r="L296" s="1" t="s">
        <v>19</v>
      </c>
      <c r="M296" s="1" t="s">
        <v>25</v>
      </c>
      <c r="N296" s="1" t="s">
        <v>20</v>
      </c>
      <c r="O296" s="1" t="s">
        <v>27</v>
      </c>
      <c r="P296" s="1">
        <f>IFERROR(((Posts_Cleaned[[#This Row],[Likes]]+Posts_Cleaned[[#This Row],[Shares]]+Posts_Cleaned[[#This Row],[Comments]])/Posts_Cleaned[[#This Row],[Impressions]]),0)</f>
        <v>0.16540727459016394</v>
      </c>
      <c r="Q296" s="7" t="str">
        <f>_xlfn.TEXTJOIN(", ", TRUE, Posts_Cleaned[[#This Row],[Hashtags Used.1]], Posts_Cleaned[[#This Row],[Hashtags Used.2]], Posts_Cleaned[[#This Row],[Hashtags Used.3]])</f>
        <v>#FutureOfDriving, #TeslaCoInnovation, #AnytimeIsTeslaTime</v>
      </c>
    </row>
    <row r="297" spans="1:17" x14ac:dyDescent="0.25">
      <c r="A297" t="s">
        <v>354</v>
      </c>
      <c r="B297" s="1" t="s">
        <v>16</v>
      </c>
      <c r="C297" s="2">
        <v>45699</v>
      </c>
      <c r="D297" s="1" t="s">
        <v>60</v>
      </c>
      <c r="E297" s="1" t="s">
        <v>99</v>
      </c>
      <c r="F297">
        <v>3440</v>
      </c>
      <c r="G297">
        <v>13</v>
      </c>
      <c r="H297">
        <v>20</v>
      </c>
      <c r="I297">
        <v>58480</v>
      </c>
      <c r="J297">
        <v>58146</v>
      </c>
      <c r="K297">
        <v>210</v>
      </c>
      <c r="L297" s="1" t="s">
        <v>25</v>
      </c>
      <c r="M297" s="1" t="s">
        <v>198</v>
      </c>
      <c r="N297" s="1"/>
      <c r="O297" s="1" t="s">
        <v>37</v>
      </c>
      <c r="P297" s="1">
        <f>IFERROR(((Posts_Cleaned[[#This Row],[Likes]]+Posts_Cleaned[[#This Row],[Shares]]+Posts_Cleaned[[#This Row],[Comments]])/Posts_Cleaned[[#This Row],[Impressions]]),0)</f>
        <v>5.9387824897400819E-2</v>
      </c>
      <c r="Q297" s="7" t="str">
        <f>_xlfn.TEXTJOIN(", ", TRUE, Posts_Cleaned[[#This Row],[Hashtags Used.1]], Posts_Cleaned[[#This Row],[Hashtags Used.2]], Posts_Cleaned[[#This Row],[Hashtags Used.3]])</f>
        <v>#TeslaCoInnovation, #SmoothLikeNitroTesla</v>
      </c>
    </row>
    <row r="298" spans="1:17" x14ac:dyDescent="0.25">
      <c r="A298" t="s">
        <v>355</v>
      </c>
      <c r="B298" s="1" t="s">
        <v>16</v>
      </c>
      <c r="C298" s="2">
        <v>45650</v>
      </c>
      <c r="D298" s="1" t="s">
        <v>23</v>
      </c>
      <c r="E298" s="1" t="s">
        <v>24</v>
      </c>
      <c r="F298">
        <v>2166</v>
      </c>
      <c r="G298">
        <v>354</v>
      </c>
      <c r="H298">
        <v>117</v>
      </c>
      <c r="I298">
        <v>10830</v>
      </c>
      <c r="J298">
        <v>10245</v>
      </c>
      <c r="K298">
        <v>24</v>
      </c>
      <c r="L298" s="1" t="s">
        <v>36</v>
      </c>
      <c r="M298" s="1"/>
      <c r="N298" s="1"/>
      <c r="O298" s="1" t="s">
        <v>37</v>
      </c>
      <c r="P298" s="1">
        <f>IFERROR(((Posts_Cleaned[[#This Row],[Likes]]+Posts_Cleaned[[#This Row],[Shares]]+Posts_Cleaned[[#This Row],[Comments]])/Posts_Cleaned[[#This Row],[Impressions]]),0)</f>
        <v>0.24349030470914126</v>
      </c>
      <c r="Q298" s="7" t="str">
        <f>_xlfn.TEXTJOIN(", ", TRUE, Posts_Cleaned[[#This Row],[Hashtags Used.1]], Posts_Cleaned[[#This Row],[Hashtags Used.2]], Posts_Cleaned[[#This Row],[Hashtags Used.3]])</f>
        <v>#EVRevolution</v>
      </c>
    </row>
    <row r="299" spans="1:17" x14ac:dyDescent="0.25">
      <c r="A299" t="s">
        <v>356</v>
      </c>
      <c r="B299" s="1" t="s">
        <v>40</v>
      </c>
      <c r="C299" s="2">
        <v>45589</v>
      </c>
      <c r="D299" s="1" t="s">
        <v>46</v>
      </c>
      <c r="E299" s="1" t="s">
        <v>51</v>
      </c>
      <c r="F299">
        <v>4303</v>
      </c>
      <c r="G299">
        <v>451</v>
      </c>
      <c r="H299">
        <v>286</v>
      </c>
      <c r="I299">
        <v>86060</v>
      </c>
      <c r="J299">
        <v>85823</v>
      </c>
      <c r="K299">
        <v>14</v>
      </c>
      <c r="L299" s="1" t="s">
        <v>25</v>
      </c>
      <c r="M299" s="1"/>
      <c r="N299" s="1"/>
      <c r="O299" s="1" t="s">
        <v>31</v>
      </c>
      <c r="P299" s="1">
        <f>IFERROR(((Posts_Cleaned[[#This Row],[Likes]]+Posts_Cleaned[[#This Row],[Shares]]+Posts_Cleaned[[#This Row],[Comments]])/Posts_Cleaned[[#This Row],[Impressions]]),0)</f>
        <v>5.8563792702765516E-2</v>
      </c>
      <c r="Q299" s="7" t="str">
        <f>_xlfn.TEXTJOIN(", ", TRUE, Posts_Cleaned[[#This Row],[Hashtags Used.1]], Posts_Cleaned[[#This Row],[Hashtags Used.2]], Posts_Cleaned[[#This Row],[Hashtags Used.3]])</f>
        <v>#TeslaCoInnovation</v>
      </c>
    </row>
    <row r="300" spans="1:17" x14ac:dyDescent="0.25">
      <c r="A300" t="s">
        <v>357</v>
      </c>
      <c r="B300" s="1" t="s">
        <v>40</v>
      </c>
      <c r="C300" s="2">
        <v>45530</v>
      </c>
      <c r="D300" s="1" t="s">
        <v>46</v>
      </c>
      <c r="E300" s="1" t="s">
        <v>51</v>
      </c>
      <c r="F300">
        <v>2581</v>
      </c>
      <c r="G300">
        <v>517</v>
      </c>
      <c r="H300">
        <v>117</v>
      </c>
      <c r="I300">
        <v>23229</v>
      </c>
      <c r="J300">
        <v>22331</v>
      </c>
      <c r="K300">
        <v>70</v>
      </c>
      <c r="L300" s="1" t="s">
        <v>19</v>
      </c>
      <c r="M300" s="1"/>
      <c r="N300" s="1"/>
      <c r="O300" s="1" t="s">
        <v>31</v>
      </c>
      <c r="P300" s="1">
        <f>IFERROR(((Posts_Cleaned[[#This Row],[Likes]]+Posts_Cleaned[[#This Row],[Shares]]+Posts_Cleaned[[#This Row],[Comments]])/Posts_Cleaned[[#This Row],[Impressions]]),0)</f>
        <v>0.13840458048129492</v>
      </c>
      <c r="Q300" s="7" t="str">
        <f>_xlfn.TEXTJOIN(", ", TRUE, Posts_Cleaned[[#This Row],[Hashtags Used.1]], Posts_Cleaned[[#This Row],[Hashtags Used.2]], Posts_Cleaned[[#This Row],[Hashtags Used.3]])</f>
        <v>#FutureOfDriving</v>
      </c>
    </row>
    <row r="301" spans="1:17" x14ac:dyDescent="0.25">
      <c r="A301" t="s">
        <v>358</v>
      </c>
      <c r="B301" s="1" t="s">
        <v>16</v>
      </c>
      <c r="C301" s="2">
        <v>45535</v>
      </c>
      <c r="D301" s="1" t="s">
        <v>41</v>
      </c>
      <c r="E301" s="1" t="s">
        <v>44</v>
      </c>
      <c r="F301">
        <v>4494</v>
      </c>
      <c r="G301">
        <v>717</v>
      </c>
      <c r="H301">
        <v>45</v>
      </c>
      <c r="I301">
        <v>62916</v>
      </c>
      <c r="J301">
        <v>62688</v>
      </c>
      <c r="K301">
        <v>191</v>
      </c>
      <c r="L301" s="1" t="s">
        <v>25</v>
      </c>
      <c r="M301" s="1" t="s">
        <v>36</v>
      </c>
      <c r="N301" s="1" t="s">
        <v>26</v>
      </c>
      <c r="O301" s="1" t="s">
        <v>21</v>
      </c>
      <c r="P301" s="1">
        <f>IFERROR(((Posts_Cleaned[[#This Row],[Likes]]+Posts_Cleaned[[#This Row],[Shares]]+Posts_Cleaned[[#This Row],[Comments]])/Posts_Cleaned[[#This Row],[Impressions]]),0)</f>
        <v>8.3539958039290485E-2</v>
      </c>
      <c r="Q301" s="7" t="str">
        <f>_xlfn.TEXTJOIN(", ", TRUE, Posts_Cleaned[[#This Row],[Hashtags Used.1]], Posts_Cleaned[[#This Row],[Hashtags Used.2]], Posts_Cleaned[[#This Row],[Hashtags Used.3]])</f>
        <v>#TeslaCoInnovation, #EVRevolution, #BetterWithTesla</v>
      </c>
    </row>
    <row r="302" spans="1:17" x14ac:dyDescent="0.25">
      <c r="B302" s="1"/>
      <c r="C302" s="2"/>
      <c r="D302" s="1"/>
      <c r="E302" s="1"/>
      <c r="L302" s="1"/>
      <c r="M302" s="1"/>
      <c r="N302" s="1"/>
      <c r="O302" s="1"/>
      <c r="P302" s="1">
        <f>IFERROR(((Posts_Cleaned[[#This Row],[Likes]]+Posts_Cleaned[[#This Row],[Shares]]+Posts_Cleaned[[#This Row],[Comments]])/Posts_Cleaned[[#This Row],[Impressions]]),0)</f>
        <v>0</v>
      </c>
      <c r="Q302" s="1" t="str">
        <f>_xlfn.TEXTJOIN(", ", TRUE, Posts_Cleaned[[#This Row],[Hashtags Used.1]], Posts_Cleaned[[#This Row],[Hashtags Used.2]], Posts_Cleaned[[#This Row],[Hashtags Used.3]])</f>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BF97-8605-4D3D-A799-31FADF94FCE9}">
  <dimension ref="A1:D340"/>
  <sheetViews>
    <sheetView workbookViewId="0">
      <selection activeCell="B6" sqref="B6"/>
    </sheetView>
  </sheetViews>
  <sheetFormatPr defaultRowHeight="15" x14ac:dyDescent="0.25"/>
  <cols>
    <col min="1" max="1" width="10.42578125" customWidth="1"/>
    <col min="2" max="2" width="27.140625" customWidth="1"/>
    <col min="3" max="3" width="19.7109375" customWidth="1"/>
    <col min="4" max="4" width="35.140625" customWidth="1"/>
    <col min="5" max="5" width="8.28515625" bestFit="1" customWidth="1"/>
  </cols>
  <sheetData>
    <row r="1" spans="1:4" x14ac:dyDescent="0.25">
      <c r="A1" t="s">
        <v>366</v>
      </c>
      <c r="B1" t="s">
        <v>359</v>
      </c>
      <c r="C1" t="s">
        <v>364</v>
      </c>
      <c r="D1" t="s">
        <v>365</v>
      </c>
    </row>
    <row r="2" spans="1:4" x14ac:dyDescent="0.25">
      <c r="A2" t="s">
        <v>15</v>
      </c>
      <c r="B2">
        <v>9.0759753593429152E-2</v>
      </c>
      <c r="C2" t="s">
        <v>11</v>
      </c>
      <c r="D2" t="s">
        <v>19</v>
      </c>
    </row>
    <row r="3" spans="1:4" x14ac:dyDescent="0.25">
      <c r="A3" t="s">
        <v>15</v>
      </c>
      <c r="B3">
        <v>9.0759753593429152E-2</v>
      </c>
      <c r="C3" t="s">
        <v>12</v>
      </c>
      <c r="D3" t="s">
        <v>20</v>
      </c>
    </row>
    <row r="4" spans="1:4" x14ac:dyDescent="0.25">
      <c r="A4" t="s">
        <v>22</v>
      </c>
      <c r="B4">
        <v>7.6097681302417369E-2</v>
      </c>
      <c r="C4" t="s">
        <v>11</v>
      </c>
      <c r="D4" t="s">
        <v>25</v>
      </c>
    </row>
    <row r="5" spans="1:4" x14ac:dyDescent="0.25">
      <c r="A5" t="s">
        <v>22</v>
      </c>
      <c r="B5">
        <v>7.6097681302417369E-2</v>
      </c>
      <c r="C5" t="s">
        <v>12</v>
      </c>
      <c r="D5" t="s">
        <v>26</v>
      </c>
    </row>
    <row r="6" spans="1:4" x14ac:dyDescent="0.25">
      <c r="A6" t="s">
        <v>28</v>
      </c>
      <c r="B6">
        <v>5.5531494209584788E-2</v>
      </c>
      <c r="C6" t="s">
        <v>11</v>
      </c>
      <c r="D6" t="s">
        <v>25</v>
      </c>
    </row>
    <row r="7" spans="1:4" x14ac:dyDescent="0.25">
      <c r="A7" t="s">
        <v>32</v>
      </c>
      <c r="B7">
        <v>0.15105033277870217</v>
      </c>
      <c r="C7" t="s">
        <v>11</v>
      </c>
      <c r="D7" t="s">
        <v>36</v>
      </c>
    </row>
    <row r="8" spans="1:4" x14ac:dyDescent="0.25">
      <c r="A8" t="s">
        <v>38</v>
      </c>
      <c r="B8">
        <v>6.5617093055946027E-2</v>
      </c>
      <c r="C8" t="s">
        <v>11</v>
      </c>
      <c r="D8" t="s">
        <v>36</v>
      </c>
    </row>
    <row r="9" spans="1:4" x14ac:dyDescent="0.25">
      <c r="A9" t="s">
        <v>38</v>
      </c>
      <c r="B9">
        <v>6.5617093055946027E-2</v>
      </c>
      <c r="C9" t="s">
        <v>12</v>
      </c>
      <c r="D9" t="s">
        <v>25</v>
      </c>
    </row>
    <row r="10" spans="1:4" x14ac:dyDescent="0.25">
      <c r="A10" t="s">
        <v>39</v>
      </c>
      <c r="B10">
        <v>0.17954159592529711</v>
      </c>
      <c r="C10" t="s">
        <v>11</v>
      </c>
      <c r="D10" t="s">
        <v>25</v>
      </c>
    </row>
    <row r="11" spans="1:4" x14ac:dyDescent="0.25">
      <c r="A11" t="s">
        <v>43</v>
      </c>
      <c r="B11">
        <v>7.0272020725388601E-2</v>
      </c>
      <c r="C11" t="s">
        <v>11</v>
      </c>
      <c r="D11" t="s">
        <v>25</v>
      </c>
    </row>
    <row r="12" spans="1:4" x14ac:dyDescent="0.25">
      <c r="A12" t="s">
        <v>45</v>
      </c>
      <c r="B12">
        <v>0.10340359564080613</v>
      </c>
      <c r="C12" t="s">
        <v>11</v>
      </c>
      <c r="D12" t="s">
        <v>36</v>
      </c>
    </row>
    <row r="13" spans="1:4" x14ac:dyDescent="0.25">
      <c r="A13" t="s">
        <v>48</v>
      </c>
      <c r="B13">
        <v>8.8019732205778717E-2</v>
      </c>
      <c r="C13" t="s">
        <v>11</v>
      </c>
      <c r="D13" t="s">
        <v>25</v>
      </c>
    </row>
    <row r="14" spans="1:4" x14ac:dyDescent="0.25">
      <c r="A14" t="s">
        <v>50</v>
      </c>
      <c r="B14">
        <v>7.198635172059864E-2</v>
      </c>
      <c r="C14" t="s">
        <v>11</v>
      </c>
      <c r="D14" t="s">
        <v>25</v>
      </c>
    </row>
    <row r="15" spans="1:4" x14ac:dyDescent="0.25">
      <c r="A15" t="s">
        <v>52</v>
      </c>
      <c r="B15">
        <v>0.11571269132653061</v>
      </c>
      <c r="C15" t="s">
        <v>11</v>
      </c>
      <c r="D15" t="s">
        <v>19</v>
      </c>
    </row>
    <row r="16" spans="1:4" x14ac:dyDescent="0.25">
      <c r="A16" t="s">
        <v>53</v>
      </c>
      <c r="B16">
        <v>0.12885405960945528</v>
      </c>
      <c r="C16" t="s">
        <v>11</v>
      </c>
      <c r="D16" t="s">
        <v>19</v>
      </c>
    </row>
    <row r="17" spans="1:4" x14ac:dyDescent="0.25">
      <c r="A17" t="s">
        <v>55</v>
      </c>
      <c r="B17">
        <v>7.5868578363072495E-2</v>
      </c>
      <c r="C17" t="s">
        <v>11</v>
      </c>
      <c r="D17" t="s">
        <v>36</v>
      </c>
    </row>
    <row r="18" spans="1:4" x14ac:dyDescent="0.25">
      <c r="A18" t="s">
        <v>57</v>
      </c>
      <c r="B18">
        <v>0.14521452145214522</v>
      </c>
      <c r="C18" t="s">
        <v>11</v>
      </c>
      <c r="D18" t="s">
        <v>19</v>
      </c>
    </row>
    <row r="19" spans="1:4" x14ac:dyDescent="0.25">
      <c r="A19" t="s">
        <v>59</v>
      </c>
      <c r="B19">
        <v>5.941358024691358E-2</v>
      </c>
      <c r="C19" t="s">
        <v>11</v>
      </c>
      <c r="D19" t="s">
        <v>19</v>
      </c>
    </row>
    <row r="20" spans="1:4" x14ac:dyDescent="0.25">
      <c r="A20" t="s">
        <v>62</v>
      </c>
      <c r="B20">
        <v>7.5843713789107758E-2</v>
      </c>
      <c r="C20" t="s">
        <v>11</v>
      </c>
      <c r="D20" t="s">
        <v>19</v>
      </c>
    </row>
    <row r="21" spans="1:4" x14ac:dyDescent="0.25">
      <c r="A21" t="s">
        <v>63</v>
      </c>
      <c r="B21">
        <v>9.4235532537716729E-2</v>
      </c>
      <c r="C21" t="s">
        <v>11</v>
      </c>
      <c r="D21" t="s">
        <v>36</v>
      </c>
    </row>
    <row r="22" spans="1:4" x14ac:dyDescent="0.25">
      <c r="A22" t="s">
        <v>64</v>
      </c>
      <c r="B22">
        <v>0.10297222222222223</v>
      </c>
      <c r="C22" t="s">
        <v>11</v>
      </c>
      <c r="D22" t="s">
        <v>19</v>
      </c>
    </row>
    <row r="23" spans="1:4" x14ac:dyDescent="0.25">
      <c r="A23" t="s">
        <v>66</v>
      </c>
      <c r="B23">
        <v>0.10034235916588857</v>
      </c>
      <c r="C23" t="s">
        <v>11</v>
      </c>
      <c r="D23" t="s">
        <v>25</v>
      </c>
    </row>
    <row r="24" spans="1:4" x14ac:dyDescent="0.25">
      <c r="A24" t="s">
        <v>68</v>
      </c>
      <c r="B24">
        <v>6.3809622724794221E-2</v>
      </c>
      <c r="C24" t="s">
        <v>11</v>
      </c>
      <c r="D24" t="s">
        <v>25</v>
      </c>
    </row>
    <row r="25" spans="1:4" x14ac:dyDescent="0.25">
      <c r="A25" t="s">
        <v>70</v>
      </c>
      <c r="B25">
        <v>7.7249552156538517E-2</v>
      </c>
      <c r="C25" t="s">
        <v>11</v>
      </c>
      <c r="D25" t="s">
        <v>19</v>
      </c>
    </row>
    <row r="26" spans="1:4" x14ac:dyDescent="0.25">
      <c r="A26" t="s">
        <v>71</v>
      </c>
      <c r="B26">
        <v>8.0294585987261149E-2</v>
      </c>
      <c r="C26" t="s">
        <v>11</v>
      </c>
      <c r="D26" t="s">
        <v>25</v>
      </c>
    </row>
    <row r="27" spans="1:4" x14ac:dyDescent="0.25">
      <c r="A27" t="s">
        <v>72</v>
      </c>
      <c r="B27">
        <v>7.6867995018679955E-2</v>
      </c>
      <c r="C27" t="s">
        <v>11</v>
      </c>
      <c r="D27" t="s">
        <v>25</v>
      </c>
    </row>
    <row r="28" spans="1:4" x14ac:dyDescent="0.25">
      <c r="A28" t="s">
        <v>72</v>
      </c>
      <c r="B28">
        <v>7.6867995018679955E-2</v>
      </c>
      <c r="C28" t="s">
        <v>12</v>
      </c>
      <c r="D28" t="s">
        <v>20</v>
      </c>
    </row>
    <row r="29" spans="1:4" x14ac:dyDescent="0.25">
      <c r="A29" t="s">
        <v>73</v>
      </c>
      <c r="B29">
        <v>7.2070332803659209E-2</v>
      </c>
      <c r="C29" t="s">
        <v>11</v>
      </c>
      <c r="D29" t="s">
        <v>19</v>
      </c>
    </row>
    <row r="30" spans="1:4" x14ac:dyDescent="0.25">
      <c r="A30" t="s">
        <v>74</v>
      </c>
      <c r="B30">
        <v>5.9496567505720827E-2</v>
      </c>
      <c r="C30" t="s">
        <v>11</v>
      </c>
      <c r="D30" t="s">
        <v>36</v>
      </c>
    </row>
    <row r="31" spans="1:4" x14ac:dyDescent="0.25">
      <c r="A31" t="s">
        <v>75</v>
      </c>
      <c r="B31">
        <v>8.9730807577268201E-2</v>
      </c>
      <c r="C31" t="s">
        <v>11</v>
      </c>
      <c r="D31" t="s">
        <v>19</v>
      </c>
    </row>
    <row r="32" spans="1:4" x14ac:dyDescent="0.25">
      <c r="A32" t="s">
        <v>76</v>
      </c>
      <c r="B32">
        <v>7.1501685934489398E-2</v>
      </c>
      <c r="C32" t="s">
        <v>11</v>
      </c>
      <c r="D32" t="s">
        <v>19</v>
      </c>
    </row>
    <row r="33" spans="1:4" x14ac:dyDescent="0.25">
      <c r="A33" t="s">
        <v>78</v>
      </c>
      <c r="B33">
        <v>0.17057291666666666</v>
      </c>
      <c r="C33" t="s">
        <v>11</v>
      </c>
      <c r="D33" t="s">
        <v>19</v>
      </c>
    </row>
    <row r="34" spans="1:4" x14ac:dyDescent="0.25">
      <c r="A34" t="s">
        <v>79</v>
      </c>
      <c r="B34">
        <v>0.21208106001558846</v>
      </c>
      <c r="C34" t="s">
        <v>11</v>
      </c>
      <c r="D34" t="s">
        <v>19</v>
      </c>
    </row>
    <row r="35" spans="1:4" x14ac:dyDescent="0.25">
      <c r="A35" t="s">
        <v>80</v>
      </c>
      <c r="B35">
        <v>5.7655717106444085E-2</v>
      </c>
      <c r="C35" t="s">
        <v>11</v>
      </c>
      <c r="D35" t="s">
        <v>36</v>
      </c>
    </row>
    <row r="36" spans="1:4" x14ac:dyDescent="0.25">
      <c r="A36" t="s">
        <v>81</v>
      </c>
      <c r="B36">
        <v>0.28245270711024134</v>
      </c>
      <c r="C36" t="s">
        <v>11</v>
      </c>
      <c r="D36" t="s">
        <v>25</v>
      </c>
    </row>
    <row r="37" spans="1:4" x14ac:dyDescent="0.25">
      <c r="A37" t="s">
        <v>83</v>
      </c>
      <c r="B37">
        <v>0.19088381621305239</v>
      </c>
      <c r="C37" t="s">
        <v>11</v>
      </c>
      <c r="D37" t="s">
        <v>36</v>
      </c>
    </row>
    <row r="38" spans="1:4" x14ac:dyDescent="0.25">
      <c r="A38" t="s">
        <v>84</v>
      </c>
      <c r="B38">
        <v>0.12781331438047855</v>
      </c>
      <c r="C38" t="s">
        <v>11</v>
      </c>
      <c r="D38" t="s">
        <v>25</v>
      </c>
    </row>
    <row r="39" spans="1:4" x14ac:dyDescent="0.25">
      <c r="A39" t="s">
        <v>85</v>
      </c>
      <c r="B39">
        <v>7.055421038471886E-2</v>
      </c>
      <c r="C39" t="s">
        <v>11</v>
      </c>
      <c r="D39" t="s">
        <v>25</v>
      </c>
    </row>
    <row r="40" spans="1:4" x14ac:dyDescent="0.25">
      <c r="A40" t="s">
        <v>86</v>
      </c>
      <c r="B40">
        <v>0.11861662987490802</v>
      </c>
      <c r="C40" t="s">
        <v>11</v>
      </c>
      <c r="D40" t="s">
        <v>19</v>
      </c>
    </row>
    <row r="41" spans="1:4" x14ac:dyDescent="0.25">
      <c r="A41" t="s">
        <v>87</v>
      </c>
      <c r="B41">
        <v>7.6523535487678915E-2</v>
      </c>
      <c r="C41" t="s">
        <v>11</v>
      </c>
      <c r="D41" t="s">
        <v>36</v>
      </c>
    </row>
    <row r="42" spans="1:4" x14ac:dyDescent="0.25">
      <c r="A42" t="s">
        <v>88</v>
      </c>
      <c r="B42">
        <v>0.17770337301587302</v>
      </c>
      <c r="C42" t="s">
        <v>11</v>
      </c>
      <c r="D42" t="s">
        <v>36</v>
      </c>
    </row>
    <row r="43" spans="1:4" x14ac:dyDescent="0.25">
      <c r="A43" t="s">
        <v>89</v>
      </c>
      <c r="B43">
        <v>0.12577012959422137</v>
      </c>
      <c r="C43" t="s">
        <v>11</v>
      </c>
      <c r="D43" t="s">
        <v>25</v>
      </c>
    </row>
    <row r="44" spans="1:4" x14ac:dyDescent="0.25">
      <c r="A44" t="s">
        <v>90</v>
      </c>
      <c r="B44">
        <v>7.2126493695121141E-2</v>
      </c>
      <c r="C44" t="s">
        <v>11</v>
      </c>
      <c r="D44" t="s">
        <v>25</v>
      </c>
    </row>
    <row r="45" spans="1:4" x14ac:dyDescent="0.25">
      <c r="A45" t="s">
        <v>91</v>
      </c>
      <c r="B45">
        <v>0.13989473684210527</v>
      </c>
      <c r="C45" t="s">
        <v>11</v>
      </c>
      <c r="D45" t="s">
        <v>36</v>
      </c>
    </row>
    <row r="46" spans="1:4" x14ac:dyDescent="0.25">
      <c r="A46" t="s">
        <v>93</v>
      </c>
      <c r="B46">
        <v>0.18433235867446393</v>
      </c>
      <c r="C46" t="s">
        <v>11</v>
      </c>
      <c r="D46" t="s">
        <v>19</v>
      </c>
    </row>
    <row r="47" spans="1:4" x14ac:dyDescent="0.25">
      <c r="A47" t="s">
        <v>94</v>
      </c>
      <c r="B47">
        <v>0.21840570317563188</v>
      </c>
      <c r="C47" t="s">
        <v>11</v>
      </c>
      <c r="D47" t="s">
        <v>36</v>
      </c>
    </row>
    <row r="48" spans="1:4" x14ac:dyDescent="0.25">
      <c r="A48" t="s">
        <v>95</v>
      </c>
      <c r="B48">
        <v>0.21826126954921804</v>
      </c>
      <c r="C48" t="s">
        <v>11</v>
      </c>
      <c r="D48" t="s">
        <v>25</v>
      </c>
    </row>
    <row r="49" spans="1:4" x14ac:dyDescent="0.25">
      <c r="A49" t="s">
        <v>96</v>
      </c>
      <c r="B49">
        <v>9.8558100084817649E-2</v>
      </c>
      <c r="C49" t="s">
        <v>11</v>
      </c>
      <c r="D49" t="s">
        <v>25</v>
      </c>
    </row>
    <row r="50" spans="1:4" x14ac:dyDescent="0.25">
      <c r="A50" t="s">
        <v>97</v>
      </c>
      <c r="B50">
        <v>7.5229902106199939E-2</v>
      </c>
      <c r="C50" t="s">
        <v>11</v>
      </c>
      <c r="D50" t="s">
        <v>19</v>
      </c>
    </row>
    <row r="51" spans="1:4" x14ac:dyDescent="0.25">
      <c r="A51" t="s">
        <v>98</v>
      </c>
      <c r="B51">
        <v>0.16888537906137185</v>
      </c>
      <c r="C51" t="s">
        <v>11</v>
      </c>
      <c r="D51" t="s">
        <v>25</v>
      </c>
    </row>
    <row r="52" spans="1:4" x14ac:dyDescent="0.25">
      <c r="A52" t="s">
        <v>100</v>
      </c>
      <c r="B52">
        <v>0.16683616863905326</v>
      </c>
      <c r="C52" t="s">
        <v>11</v>
      </c>
      <c r="D52" t="s">
        <v>19</v>
      </c>
    </row>
    <row r="53" spans="1:4" x14ac:dyDescent="0.25">
      <c r="A53" t="s">
        <v>101</v>
      </c>
      <c r="B53">
        <v>7.349527665317139E-2</v>
      </c>
      <c r="C53" t="s">
        <v>11</v>
      </c>
      <c r="D53" t="s">
        <v>25</v>
      </c>
    </row>
    <row r="54" spans="1:4" x14ac:dyDescent="0.25">
      <c r="A54" t="s">
        <v>103</v>
      </c>
      <c r="B54">
        <v>0.10617801791554102</v>
      </c>
      <c r="C54" t="s">
        <v>11</v>
      </c>
      <c r="D54" t="s">
        <v>25</v>
      </c>
    </row>
    <row r="55" spans="1:4" x14ac:dyDescent="0.25">
      <c r="A55" t="s">
        <v>104</v>
      </c>
      <c r="B55">
        <v>0.13498547567175018</v>
      </c>
      <c r="C55" t="s">
        <v>11</v>
      </c>
      <c r="D55" t="s">
        <v>25</v>
      </c>
    </row>
    <row r="56" spans="1:4" x14ac:dyDescent="0.25">
      <c r="A56" t="s">
        <v>106</v>
      </c>
      <c r="B56">
        <v>7.8689839572192513E-2</v>
      </c>
      <c r="C56" t="s">
        <v>11</v>
      </c>
      <c r="D56" t="s">
        <v>19</v>
      </c>
    </row>
    <row r="57" spans="1:4" x14ac:dyDescent="0.25">
      <c r="A57" t="s">
        <v>107</v>
      </c>
      <c r="B57">
        <v>0.1569549774407219</v>
      </c>
      <c r="C57" t="s">
        <v>11</v>
      </c>
      <c r="D57" t="s">
        <v>25</v>
      </c>
    </row>
    <row r="58" spans="1:4" x14ac:dyDescent="0.25">
      <c r="A58" t="s">
        <v>108</v>
      </c>
      <c r="B58">
        <v>0.36965174129353234</v>
      </c>
      <c r="C58" t="s">
        <v>11</v>
      </c>
      <c r="D58" t="s">
        <v>36</v>
      </c>
    </row>
    <row r="59" spans="1:4" x14ac:dyDescent="0.25">
      <c r="A59" t="s">
        <v>108</v>
      </c>
      <c r="B59">
        <v>0.36965174129353234</v>
      </c>
      <c r="C59" t="s">
        <v>12</v>
      </c>
      <c r="D59" t="s">
        <v>26</v>
      </c>
    </row>
    <row r="60" spans="1:4" x14ac:dyDescent="0.25">
      <c r="A60" t="s">
        <v>109</v>
      </c>
      <c r="B60">
        <v>0.16510298716704411</v>
      </c>
      <c r="C60" t="s">
        <v>11</v>
      </c>
      <c r="D60" t="s">
        <v>19</v>
      </c>
    </row>
    <row r="61" spans="1:4" x14ac:dyDescent="0.25">
      <c r="A61" t="s">
        <v>110</v>
      </c>
      <c r="B61">
        <v>9.1897770527460579E-2</v>
      </c>
      <c r="C61" t="s">
        <v>11</v>
      </c>
      <c r="D61" t="s">
        <v>36</v>
      </c>
    </row>
    <row r="62" spans="1:4" x14ac:dyDescent="0.25">
      <c r="A62" t="s">
        <v>111</v>
      </c>
      <c r="B62">
        <v>0.12936184657162253</v>
      </c>
      <c r="C62" t="s">
        <v>11</v>
      </c>
      <c r="D62" t="s">
        <v>19</v>
      </c>
    </row>
    <row r="63" spans="1:4" x14ac:dyDescent="0.25">
      <c r="A63" t="s">
        <v>112</v>
      </c>
      <c r="B63">
        <v>8.0862831858407078E-2</v>
      </c>
      <c r="C63" t="s">
        <v>11</v>
      </c>
      <c r="D63" t="s">
        <v>25</v>
      </c>
    </row>
    <row r="64" spans="1:4" x14ac:dyDescent="0.25">
      <c r="A64" t="s">
        <v>113</v>
      </c>
      <c r="B64">
        <v>0.86601941747572819</v>
      </c>
      <c r="C64" t="s">
        <v>11</v>
      </c>
      <c r="D64" t="s">
        <v>25</v>
      </c>
    </row>
    <row r="65" spans="1:4" x14ac:dyDescent="0.25">
      <c r="A65" t="s">
        <v>114</v>
      </c>
      <c r="B65">
        <v>9.2726081258191345E-2</v>
      </c>
      <c r="C65" t="s">
        <v>11</v>
      </c>
      <c r="D65" t="s">
        <v>36</v>
      </c>
    </row>
    <row r="66" spans="1:4" x14ac:dyDescent="0.25">
      <c r="A66" t="s">
        <v>115</v>
      </c>
      <c r="B66">
        <v>0.1650782845473111</v>
      </c>
      <c r="C66" t="s">
        <v>11</v>
      </c>
      <c r="D66" t="s">
        <v>36</v>
      </c>
    </row>
    <row r="67" spans="1:4" x14ac:dyDescent="0.25">
      <c r="A67" t="s">
        <v>115</v>
      </c>
      <c r="B67">
        <v>0.1650782845473111</v>
      </c>
      <c r="C67" t="s">
        <v>12</v>
      </c>
      <c r="D67" t="s">
        <v>25</v>
      </c>
    </row>
    <row r="68" spans="1:4" x14ac:dyDescent="0.25">
      <c r="A68" t="s">
        <v>115</v>
      </c>
      <c r="B68">
        <v>0.1650782845473111</v>
      </c>
      <c r="C68" t="s">
        <v>13</v>
      </c>
      <c r="D68" t="s">
        <v>20</v>
      </c>
    </row>
    <row r="69" spans="1:4" x14ac:dyDescent="0.25">
      <c r="A69" t="s">
        <v>116</v>
      </c>
      <c r="B69">
        <v>0.14276618001546368</v>
      </c>
      <c r="C69" t="s">
        <v>11</v>
      </c>
      <c r="D69" t="s">
        <v>25</v>
      </c>
    </row>
    <row r="70" spans="1:4" x14ac:dyDescent="0.25">
      <c r="A70" t="s">
        <v>117</v>
      </c>
      <c r="B70">
        <v>0.53773584905660377</v>
      </c>
      <c r="C70" t="s">
        <v>11</v>
      </c>
      <c r="D70" t="s">
        <v>25</v>
      </c>
    </row>
    <row r="71" spans="1:4" x14ac:dyDescent="0.25">
      <c r="A71" t="s">
        <v>118</v>
      </c>
      <c r="B71">
        <v>5.2551586421122697E-2</v>
      </c>
      <c r="C71" t="s">
        <v>11</v>
      </c>
      <c r="D71" t="s">
        <v>19</v>
      </c>
    </row>
    <row r="72" spans="1:4" x14ac:dyDescent="0.25">
      <c r="A72" t="s">
        <v>119</v>
      </c>
      <c r="B72">
        <v>8.2047718322909427E-2</v>
      </c>
      <c r="C72" t="s">
        <v>11</v>
      </c>
      <c r="D72" t="s">
        <v>19</v>
      </c>
    </row>
    <row r="73" spans="1:4" x14ac:dyDescent="0.25">
      <c r="A73" t="s">
        <v>120</v>
      </c>
      <c r="B73">
        <v>0.11990720603160794</v>
      </c>
      <c r="C73" t="s">
        <v>11</v>
      </c>
      <c r="D73" t="s">
        <v>36</v>
      </c>
    </row>
    <row r="74" spans="1:4" x14ac:dyDescent="0.25">
      <c r="A74" t="s">
        <v>121</v>
      </c>
      <c r="B74">
        <v>0.29199735449735448</v>
      </c>
      <c r="C74" t="s">
        <v>11</v>
      </c>
      <c r="D74" t="s">
        <v>36</v>
      </c>
    </row>
    <row r="75" spans="1:4" x14ac:dyDescent="0.25">
      <c r="A75" t="s">
        <v>122</v>
      </c>
      <c r="B75">
        <v>6.3749764195434822E-2</v>
      </c>
      <c r="C75" t="s">
        <v>11</v>
      </c>
      <c r="D75" t="s">
        <v>36</v>
      </c>
    </row>
    <row r="76" spans="1:4" x14ac:dyDescent="0.25">
      <c r="A76" t="s">
        <v>123</v>
      </c>
      <c r="B76">
        <v>0.19310344827586207</v>
      </c>
      <c r="C76" t="s">
        <v>11</v>
      </c>
      <c r="D76" t="s">
        <v>36</v>
      </c>
    </row>
    <row r="77" spans="1:4" x14ac:dyDescent="0.25">
      <c r="A77" t="s">
        <v>124</v>
      </c>
      <c r="B77">
        <v>9.3421052631578946E-2</v>
      </c>
      <c r="C77" t="s">
        <v>11</v>
      </c>
      <c r="D77" t="s">
        <v>19</v>
      </c>
    </row>
    <row r="78" spans="1:4" x14ac:dyDescent="0.25">
      <c r="A78" t="s">
        <v>125</v>
      </c>
      <c r="B78">
        <v>0.38274706867671693</v>
      </c>
      <c r="C78" t="s">
        <v>11</v>
      </c>
      <c r="D78" t="s">
        <v>25</v>
      </c>
    </row>
    <row r="79" spans="1:4" x14ac:dyDescent="0.25">
      <c r="A79" t="s">
        <v>126</v>
      </c>
      <c r="B79">
        <v>0.1199202926956749</v>
      </c>
      <c r="C79" t="s">
        <v>11</v>
      </c>
      <c r="D79" t="s">
        <v>25</v>
      </c>
    </row>
    <row r="80" spans="1:4" x14ac:dyDescent="0.25">
      <c r="A80" t="s">
        <v>127</v>
      </c>
      <c r="B80">
        <v>8.837126600284495E-2</v>
      </c>
      <c r="C80" t="s">
        <v>11</v>
      </c>
      <c r="D80" t="s">
        <v>36</v>
      </c>
    </row>
    <row r="81" spans="1:4" x14ac:dyDescent="0.25">
      <c r="A81" t="s">
        <v>128</v>
      </c>
      <c r="B81">
        <v>6.4265122330790625E-2</v>
      </c>
      <c r="C81" t="s">
        <v>11</v>
      </c>
      <c r="D81" t="s">
        <v>19</v>
      </c>
    </row>
    <row r="82" spans="1:4" x14ac:dyDescent="0.25">
      <c r="A82" t="s">
        <v>129</v>
      </c>
      <c r="B82">
        <v>0.13351302785265048</v>
      </c>
      <c r="C82" t="s">
        <v>11</v>
      </c>
      <c r="D82" t="s">
        <v>25</v>
      </c>
    </row>
    <row r="83" spans="1:4" x14ac:dyDescent="0.25">
      <c r="A83" t="s">
        <v>130</v>
      </c>
      <c r="B83">
        <v>0.12131237937689551</v>
      </c>
      <c r="C83" t="s">
        <v>11</v>
      </c>
      <c r="D83" t="s">
        <v>25</v>
      </c>
    </row>
    <row r="84" spans="1:4" x14ac:dyDescent="0.25">
      <c r="A84" t="s">
        <v>131</v>
      </c>
      <c r="B84">
        <v>8.1177520071364848E-2</v>
      </c>
      <c r="C84" t="s">
        <v>11</v>
      </c>
      <c r="D84" t="s">
        <v>25</v>
      </c>
    </row>
    <row r="85" spans="1:4" x14ac:dyDescent="0.25">
      <c r="A85" t="s">
        <v>132</v>
      </c>
      <c r="B85">
        <v>0.20416333066453163</v>
      </c>
      <c r="C85" t="s">
        <v>11</v>
      </c>
      <c r="D85" t="s">
        <v>25</v>
      </c>
    </row>
    <row r="86" spans="1:4" x14ac:dyDescent="0.25">
      <c r="A86" t="s">
        <v>133</v>
      </c>
      <c r="B86">
        <v>8.2075471698113203E-2</v>
      </c>
      <c r="C86" t="s">
        <v>11</v>
      </c>
      <c r="D86" t="s">
        <v>19</v>
      </c>
    </row>
    <row r="87" spans="1:4" x14ac:dyDescent="0.25">
      <c r="A87" t="s">
        <v>134</v>
      </c>
      <c r="B87">
        <v>8.860696018453515E-2</v>
      </c>
      <c r="C87" t="s">
        <v>11</v>
      </c>
      <c r="D87" t="s">
        <v>36</v>
      </c>
    </row>
    <row r="88" spans="1:4" x14ac:dyDescent="0.25">
      <c r="A88" t="s">
        <v>135</v>
      </c>
      <c r="B88">
        <v>7.7533348349475686E-2</v>
      </c>
      <c r="C88" t="s">
        <v>11</v>
      </c>
      <c r="D88" t="s">
        <v>19</v>
      </c>
    </row>
    <row r="89" spans="1:4" x14ac:dyDescent="0.25">
      <c r="A89" t="s">
        <v>136</v>
      </c>
      <c r="B89">
        <v>9.4413295955146179E-2</v>
      </c>
      <c r="C89" t="s">
        <v>11</v>
      </c>
      <c r="D89" t="s">
        <v>25</v>
      </c>
    </row>
    <row r="90" spans="1:4" x14ac:dyDescent="0.25">
      <c r="A90" t="s">
        <v>137</v>
      </c>
      <c r="B90">
        <v>8.558620689655172E-2</v>
      </c>
      <c r="C90" t="s">
        <v>11</v>
      </c>
      <c r="D90" t="s">
        <v>19</v>
      </c>
    </row>
    <row r="91" spans="1:4" x14ac:dyDescent="0.25">
      <c r="A91" t="s">
        <v>137</v>
      </c>
      <c r="B91">
        <v>8.558620689655172E-2</v>
      </c>
      <c r="C91" t="s">
        <v>12</v>
      </c>
      <c r="D91" t="s">
        <v>25</v>
      </c>
    </row>
    <row r="92" spans="1:4" x14ac:dyDescent="0.25">
      <c r="A92" t="s">
        <v>137</v>
      </c>
      <c r="B92">
        <v>8.558620689655172E-2</v>
      </c>
      <c r="C92" t="s">
        <v>13</v>
      </c>
      <c r="D92" t="s">
        <v>20</v>
      </c>
    </row>
    <row r="93" spans="1:4" x14ac:dyDescent="0.25">
      <c r="A93" t="s">
        <v>139</v>
      </c>
      <c r="B93">
        <v>0.16118220597196831</v>
      </c>
      <c r="C93" t="s">
        <v>11</v>
      </c>
      <c r="D93" t="s">
        <v>36</v>
      </c>
    </row>
    <row r="94" spans="1:4" x14ac:dyDescent="0.25">
      <c r="A94" t="s">
        <v>141</v>
      </c>
      <c r="B94">
        <v>8.6737756939878216E-2</v>
      </c>
      <c r="C94" t="s">
        <v>11</v>
      </c>
      <c r="D94" t="s">
        <v>19</v>
      </c>
    </row>
    <row r="95" spans="1:4" x14ac:dyDescent="0.25">
      <c r="A95" t="s">
        <v>142</v>
      </c>
      <c r="B95">
        <v>0.19156491900087783</v>
      </c>
      <c r="C95" t="s">
        <v>11</v>
      </c>
      <c r="D95" t="s">
        <v>19</v>
      </c>
    </row>
    <row r="96" spans="1:4" x14ac:dyDescent="0.25">
      <c r="A96" t="s">
        <v>143</v>
      </c>
      <c r="B96">
        <v>6.5515821264328367E-2</v>
      </c>
      <c r="C96" t="s">
        <v>11</v>
      </c>
      <c r="D96" t="s">
        <v>36</v>
      </c>
    </row>
    <row r="97" spans="1:4" x14ac:dyDescent="0.25">
      <c r="A97" t="s">
        <v>143</v>
      </c>
      <c r="B97">
        <v>6.5515821264328367E-2</v>
      </c>
      <c r="C97" t="s">
        <v>12</v>
      </c>
      <c r="D97" t="s">
        <v>26</v>
      </c>
    </row>
    <row r="98" spans="1:4" x14ac:dyDescent="0.25">
      <c r="A98" t="s">
        <v>144</v>
      </c>
      <c r="B98">
        <v>0.20868152274837512</v>
      </c>
      <c r="C98" t="s">
        <v>11</v>
      </c>
      <c r="D98" t="s">
        <v>19</v>
      </c>
    </row>
    <row r="99" spans="1:4" x14ac:dyDescent="0.25">
      <c r="A99" t="s">
        <v>145</v>
      </c>
      <c r="B99">
        <v>0.13576158940397351</v>
      </c>
      <c r="C99" t="s">
        <v>11</v>
      </c>
      <c r="D99" t="s">
        <v>25</v>
      </c>
    </row>
    <row r="100" spans="1:4" x14ac:dyDescent="0.25">
      <c r="A100" t="s">
        <v>146</v>
      </c>
      <c r="B100">
        <v>0.16873144921925409</v>
      </c>
      <c r="C100" t="s">
        <v>11</v>
      </c>
      <c r="D100" t="s">
        <v>36</v>
      </c>
    </row>
    <row r="101" spans="1:4" x14ac:dyDescent="0.25">
      <c r="A101" t="s">
        <v>147</v>
      </c>
      <c r="B101">
        <v>7.0822181933293038E-2</v>
      </c>
      <c r="C101" t="s">
        <v>11</v>
      </c>
      <c r="D101" t="s">
        <v>25</v>
      </c>
    </row>
    <row r="102" spans="1:4" x14ac:dyDescent="0.25">
      <c r="A102" t="s">
        <v>148</v>
      </c>
      <c r="B102">
        <v>7.984956452889945E-2</v>
      </c>
      <c r="C102" t="s">
        <v>11</v>
      </c>
      <c r="D102" t="s">
        <v>36</v>
      </c>
    </row>
    <row r="103" spans="1:4" x14ac:dyDescent="0.25">
      <c r="A103" t="s">
        <v>149</v>
      </c>
      <c r="B103">
        <v>0.13599052880820836</v>
      </c>
      <c r="C103" t="s">
        <v>11</v>
      </c>
      <c r="D103" t="s">
        <v>19</v>
      </c>
    </row>
    <row r="104" spans="1:4" x14ac:dyDescent="0.25">
      <c r="A104" t="s">
        <v>150</v>
      </c>
      <c r="B104">
        <v>0.28045655718611695</v>
      </c>
      <c r="C104" t="s">
        <v>11</v>
      </c>
      <c r="D104" t="s">
        <v>36</v>
      </c>
    </row>
    <row r="105" spans="1:4" x14ac:dyDescent="0.25">
      <c r="A105" t="s">
        <v>151</v>
      </c>
      <c r="B105">
        <v>0.16843866371633656</v>
      </c>
      <c r="C105" t="s">
        <v>11</v>
      </c>
      <c r="D105" t="s">
        <v>19</v>
      </c>
    </row>
    <row r="106" spans="1:4" x14ac:dyDescent="0.25">
      <c r="A106" t="s">
        <v>152</v>
      </c>
      <c r="B106">
        <v>6.8108806480899509E-2</v>
      </c>
      <c r="C106" t="s">
        <v>11</v>
      </c>
      <c r="D106" t="s">
        <v>19</v>
      </c>
    </row>
    <row r="107" spans="1:4" x14ac:dyDescent="0.25">
      <c r="A107" t="s">
        <v>153</v>
      </c>
      <c r="B107">
        <v>0.10339256865912763</v>
      </c>
      <c r="C107" t="s">
        <v>11</v>
      </c>
      <c r="D107" t="s">
        <v>19</v>
      </c>
    </row>
    <row r="108" spans="1:4" x14ac:dyDescent="0.25">
      <c r="A108" t="s">
        <v>154</v>
      </c>
      <c r="B108">
        <v>8.7668609086629767E-2</v>
      </c>
      <c r="C108" t="s">
        <v>11</v>
      </c>
      <c r="D108" t="s">
        <v>25</v>
      </c>
    </row>
    <row r="109" spans="1:4" x14ac:dyDescent="0.25">
      <c r="A109" t="s">
        <v>154</v>
      </c>
      <c r="B109">
        <v>8.7668609086629767E-2</v>
      </c>
      <c r="C109" t="s">
        <v>12</v>
      </c>
      <c r="D109" t="s">
        <v>20</v>
      </c>
    </row>
    <row r="110" spans="1:4" x14ac:dyDescent="0.25">
      <c r="A110" t="s">
        <v>155</v>
      </c>
      <c r="B110">
        <v>0.11238095238095239</v>
      </c>
      <c r="C110" t="s">
        <v>11</v>
      </c>
      <c r="D110" t="s">
        <v>19</v>
      </c>
    </row>
    <row r="111" spans="1:4" x14ac:dyDescent="0.25">
      <c r="A111" t="s">
        <v>156</v>
      </c>
      <c r="B111">
        <v>7.2000119875329657E-2</v>
      </c>
      <c r="C111" t="s">
        <v>11</v>
      </c>
      <c r="D111" t="s">
        <v>19</v>
      </c>
    </row>
    <row r="112" spans="1:4" x14ac:dyDescent="0.25">
      <c r="A112" t="s">
        <v>157</v>
      </c>
      <c r="B112">
        <v>9.2298980747451867E-2</v>
      </c>
      <c r="C112" t="s">
        <v>11</v>
      </c>
      <c r="D112" t="s">
        <v>36</v>
      </c>
    </row>
    <row r="113" spans="1:4" x14ac:dyDescent="0.25">
      <c r="A113" t="s">
        <v>158</v>
      </c>
      <c r="B113">
        <v>7.3707865168539333E-2</v>
      </c>
      <c r="C113" t="s">
        <v>11</v>
      </c>
      <c r="D113" t="s">
        <v>19</v>
      </c>
    </row>
    <row r="114" spans="1:4" x14ac:dyDescent="0.25">
      <c r="A114" t="s">
        <v>159</v>
      </c>
      <c r="B114">
        <v>0.35666666666666669</v>
      </c>
      <c r="C114" t="s">
        <v>11</v>
      </c>
      <c r="D114" t="s">
        <v>36</v>
      </c>
    </row>
    <row r="115" spans="1:4" x14ac:dyDescent="0.25">
      <c r="A115" t="s">
        <v>160</v>
      </c>
      <c r="B115">
        <v>9.9632815002833983E-2</v>
      </c>
      <c r="C115" t="s">
        <v>11</v>
      </c>
      <c r="D115" t="s">
        <v>36</v>
      </c>
    </row>
    <row r="116" spans="1:4" x14ac:dyDescent="0.25">
      <c r="A116" t="s">
        <v>161</v>
      </c>
      <c r="B116">
        <v>0.13707250341997265</v>
      </c>
      <c r="C116" t="s">
        <v>11</v>
      </c>
      <c r="D116" t="s">
        <v>25</v>
      </c>
    </row>
    <row r="117" spans="1:4" x14ac:dyDescent="0.25">
      <c r="A117" t="s">
        <v>162</v>
      </c>
      <c r="B117">
        <v>0.12896028558679162</v>
      </c>
      <c r="C117" t="s">
        <v>11</v>
      </c>
      <c r="D117" t="s">
        <v>19</v>
      </c>
    </row>
    <row r="118" spans="1:4" x14ac:dyDescent="0.25">
      <c r="A118" t="s">
        <v>163</v>
      </c>
      <c r="B118">
        <v>8.5718409468138843E-2</v>
      </c>
      <c r="C118" t="s">
        <v>11</v>
      </c>
      <c r="D118" t="s">
        <v>25</v>
      </c>
    </row>
    <row r="119" spans="1:4" x14ac:dyDescent="0.25">
      <c r="A119" t="s">
        <v>164</v>
      </c>
      <c r="B119">
        <v>6.2467323109097243E-2</v>
      </c>
      <c r="C119" t="s">
        <v>11</v>
      </c>
      <c r="D119" t="s">
        <v>25</v>
      </c>
    </row>
    <row r="120" spans="1:4" x14ac:dyDescent="0.25">
      <c r="A120" t="s">
        <v>165</v>
      </c>
      <c r="B120">
        <v>0.10005698005698006</v>
      </c>
      <c r="C120" t="s">
        <v>11</v>
      </c>
      <c r="D120" t="s">
        <v>25</v>
      </c>
    </row>
    <row r="121" spans="1:4" x14ac:dyDescent="0.25">
      <c r="A121" t="s">
        <v>166</v>
      </c>
      <c r="B121">
        <v>0.16744313510550835</v>
      </c>
      <c r="C121" t="s">
        <v>11</v>
      </c>
      <c r="D121" t="s">
        <v>19</v>
      </c>
    </row>
    <row r="122" spans="1:4" x14ac:dyDescent="0.25">
      <c r="A122" t="s">
        <v>167</v>
      </c>
      <c r="B122">
        <v>0.12277759141227776</v>
      </c>
      <c r="C122" t="s">
        <v>11</v>
      </c>
      <c r="D122" t="s">
        <v>36</v>
      </c>
    </row>
    <row r="123" spans="1:4" x14ac:dyDescent="0.25">
      <c r="A123" t="s">
        <v>168</v>
      </c>
      <c r="B123">
        <v>7.4071349760941527E-2</v>
      </c>
      <c r="C123" t="s">
        <v>11</v>
      </c>
      <c r="D123" t="s">
        <v>25</v>
      </c>
    </row>
    <row r="124" spans="1:4" x14ac:dyDescent="0.25">
      <c r="A124" t="s">
        <v>169</v>
      </c>
      <c r="B124">
        <v>0.17441662408448305</v>
      </c>
      <c r="C124" t="s">
        <v>11</v>
      </c>
      <c r="D124" t="s">
        <v>19</v>
      </c>
    </row>
    <row r="125" spans="1:4" x14ac:dyDescent="0.25">
      <c r="A125" t="s">
        <v>170</v>
      </c>
      <c r="B125">
        <v>0.11369088028965829</v>
      </c>
      <c r="C125" t="s">
        <v>11</v>
      </c>
      <c r="D125" t="s">
        <v>36</v>
      </c>
    </row>
    <row r="126" spans="1:4" x14ac:dyDescent="0.25">
      <c r="A126" t="s">
        <v>171</v>
      </c>
      <c r="B126">
        <v>0.12942500000000001</v>
      </c>
      <c r="C126" t="s">
        <v>11</v>
      </c>
      <c r="D126" t="s">
        <v>19</v>
      </c>
    </row>
    <row r="127" spans="1:4" x14ac:dyDescent="0.25">
      <c r="A127" t="s">
        <v>172</v>
      </c>
      <c r="B127">
        <v>6.2150491965739366E-2</v>
      </c>
      <c r="C127" t="s">
        <v>11</v>
      </c>
      <c r="D127" t="s">
        <v>25</v>
      </c>
    </row>
    <row r="128" spans="1:4" x14ac:dyDescent="0.25">
      <c r="A128" t="s">
        <v>172</v>
      </c>
      <c r="B128">
        <v>6.2150491965739366E-2</v>
      </c>
      <c r="C128" t="s">
        <v>12</v>
      </c>
      <c r="D128" t="s">
        <v>20</v>
      </c>
    </row>
    <row r="129" spans="1:4" x14ac:dyDescent="0.25">
      <c r="A129" t="s">
        <v>173</v>
      </c>
      <c r="B129">
        <v>0.16769515581610614</v>
      </c>
      <c r="C129" t="s">
        <v>11</v>
      </c>
      <c r="D129" t="s">
        <v>25</v>
      </c>
    </row>
    <row r="130" spans="1:4" x14ac:dyDescent="0.25">
      <c r="A130" t="s">
        <v>174</v>
      </c>
      <c r="B130">
        <v>0.11792317271769326</v>
      </c>
      <c r="C130" t="s">
        <v>11</v>
      </c>
      <c r="D130" t="s">
        <v>36</v>
      </c>
    </row>
    <row r="131" spans="1:4" x14ac:dyDescent="0.25">
      <c r="A131" t="s">
        <v>175</v>
      </c>
      <c r="B131">
        <v>8.0158206987475278E-2</v>
      </c>
      <c r="C131" t="s">
        <v>11</v>
      </c>
      <c r="D131" t="s">
        <v>19</v>
      </c>
    </row>
    <row r="132" spans="1:4" x14ac:dyDescent="0.25">
      <c r="A132" t="s">
        <v>176</v>
      </c>
      <c r="B132">
        <v>0.31705583756345179</v>
      </c>
      <c r="C132" t="s">
        <v>11</v>
      </c>
      <c r="D132" t="s">
        <v>19</v>
      </c>
    </row>
    <row r="133" spans="1:4" x14ac:dyDescent="0.25">
      <c r="A133" t="s">
        <v>177</v>
      </c>
      <c r="B133">
        <v>0.23414918414918415</v>
      </c>
      <c r="C133" t="s">
        <v>11</v>
      </c>
      <c r="D133" t="s">
        <v>36</v>
      </c>
    </row>
    <row r="134" spans="1:4" x14ac:dyDescent="0.25">
      <c r="A134" t="s">
        <v>178</v>
      </c>
      <c r="B134">
        <v>0.32349397590361445</v>
      </c>
      <c r="C134" t="s">
        <v>11</v>
      </c>
      <c r="D134" t="s">
        <v>19</v>
      </c>
    </row>
    <row r="135" spans="1:4" x14ac:dyDescent="0.25">
      <c r="A135" t="s">
        <v>179</v>
      </c>
      <c r="B135">
        <v>8.0565268065268064E-2</v>
      </c>
      <c r="C135" t="s">
        <v>11</v>
      </c>
      <c r="D135" t="s">
        <v>36</v>
      </c>
    </row>
    <row r="136" spans="1:4" x14ac:dyDescent="0.25">
      <c r="A136" t="s">
        <v>180</v>
      </c>
      <c r="B136">
        <v>0.23616777446710979</v>
      </c>
      <c r="C136" t="s">
        <v>11</v>
      </c>
      <c r="D136" t="s">
        <v>36</v>
      </c>
    </row>
    <row r="137" spans="1:4" x14ac:dyDescent="0.25">
      <c r="A137" t="s">
        <v>181</v>
      </c>
      <c r="B137">
        <v>0.33618012422360249</v>
      </c>
      <c r="C137" t="s">
        <v>11</v>
      </c>
      <c r="D137" t="s">
        <v>36</v>
      </c>
    </row>
    <row r="138" spans="1:4" x14ac:dyDescent="0.25">
      <c r="A138" t="s">
        <v>182</v>
      </c>
      <c r="B138">
        <v>0.14265722032712325</v>
      </c>
      <c r="C138" t="s">
        <v>11</v>
      </c>
      <c r="D138" t="s">
        <v>25</v>
      </c>
    </row>
    <row r="139" spans="1:4" x14ac:dyDescent="0.25">
      <c r="A139" t="s">
        <v>183</v>
      </c>
      <c r="B139">
        <v>9.9829463465827106E-2</v>
      </c>
      <c r="C139" t="s">
        <v>11</v>
      </c>
      <c r="D139" t="s">
        <v>19</v>
      </c>
    </row>
    <row r="140" spans="1:4" x14ac:dyDescent="0.25">
      <c r="A140" t="s">
        <v>184</v>
      </c>
      <c r="B140">
        <v>6.9311459413307311E-2</v>
      </c>
      <c r="C140" t="s">
        <v>11</v>
      </c>
      <c r="D140" t="s">
        <v>19</v>
      </c>
    </row>
    <row r="141" spans="1:4" x14ac:dyDescent="0.25">
      <c r="A141" t="s">
        <v>185</v>
      </c>
      <c r="B141">
        <v>0.12537731780940059</v>
      </c>
      <c r="C141" t="s">
        <v>11</v>
      </c>
      <c r="D141" t="s">
        <v>19</v>
      </c>
    </row>
    <row r="142" spans="1:4" x14ac:dyDescent="0.25">
      <c r="A142" t="s">
        <v>186</v>
      </c>
      <c r="B142">
        <v>0.17291569632044715</v>
      </c>
      <c r="C142" t="s">
        <v>11</v>
      </c>
      <c r="D142" t="s">
        <v>25</v>
      </c>
    </row>
    <row r="143" spans="1:4" x14ac:dyDescent="0.25">
      <c r="A143" t="s">
        <v>187</v>
      </c>
      <c r="B143">
        <v>8.9577656675749323E-2</v>
      </c>
      <c r="C143" t="s">
        <v>11</v>
      </c>
      <c r="D143" t="s">
        <v>36</v>
      </c>
    </row>
    <row r="144" spans="1:4" x14ac:dyDescent="0.25">
      <c r="A144" t="s">
        <v>188</v>
      </c>
      <c r="B144">
        <v>0.13106060606060607</v>
      </c>
      <c r="C144" t="s">
        <v>11</v>
      </c>
      <c r="D144" t="s">
        <v>19</v>
      </c>
    </row>
    <row r="145" spans="1:4" x14ac:dyDescent="0.25">
      <c r="A145" t="s">
        <v>189</v>
      </c>
      <c r="B145">
        <v>0.13493953401503478</v>
      </c>
      <c r="C145" t="s">
        <v>11</v>
      </c>
      <c r="D145" t="s">
        <v>19</v>
      </c>
    </row>
    <row r="146" spans="1:4" x14ac:dyDescent="0.25">
      <c r="A146" t="s">
        <v>190</v>
      </c>
      <c r="B146">
        <v>7.172350922350923E-2</v>
      </c>
      <c r="C146" t="s">
        <v>11</v>
      </c>
      <c r="D146" t="s">
        <v>25</v>
      </c>
    </row>
    <row r="147" spans="1:4" x14ac:dyDescent="0.25">
      <c r="A147" t="s">
        <v>191</v>
      </c>
      <c r="B147">
        <v>7.1133744304476013E-2</v>
      </c>
      <c r="C147" t="s">
        <v>11</v>
      </c>
      <c r="D147" t="s">
        <v>25</v>
      </c>
    </row>
    <row r="148" spans="1:4" x14ac:dyDescent="0.25">
      <c r="A148" t="s">
        <v>192</v>
      </c>
      <c r="B148">
        <v>6.461481657304112E-2</v>
      </c>
      <c r="C148" t="s">
        <v>11</v>
      </c>
      <c r="D148" t="s">
        <v>19</v>
      </c>
    </row>
    <row r="149" spans="1:4" x14ac:dyDescent="0.25">
      <c r="A149" t="s">
        <v>193</v>
      </c>
      <c r="B149">
        <v>0.20357370772176134</v>
      </c>
      <c r="C149" t="s">
        <v>11</v>
      </c>
      <c r="D149" t="s">
        <v>36</v>
      </c>
    </row>
    <row r="150" spans="1:4" x14ac:dyDescent="0.25">
      <c r="A150" t="s">
        <v>194</v>
      </c>
      <c r="B150">
        <v>0.20871010638297871</v>
      </c>
      <c r="C150" t="s">
        <v>11</v>
      </c>
      <c r="D150" t="s">
        <v>19</v>
      </c>
    </row>
    <row r="151" spans="1:4" x14ac:dyDescent="0.25">
      <c r="A151" t="s">
        <v>195</v>
      </c>
      <c r="B151">
        <v>0.16065573770491803</v>
      </c>
      <c r="C151" t="s">
        <v>11</v>
      </c>
      <c r="D151" t="s">
        <v>19</v>
      </c>
    </row>
    <row r="152" spans="1:4" x14ac:dyDescent="0.25">
      <c r="A152" t="s">
        <v>196</v>
      </c>
      <c r="B152">
        <v>9.422796795338674E-2</v>
      </c>
      <c r="C152" t="s">
        <v>11</v>
      </c>
      <c r="D152" t="s">
        <v>36</v>
      </c>
    </row>
    <row r="153" spans="1:4" x14ac:dyDescent="0.25">
      <c r="A153" t="s">
        <v>197</v>
      </c>
      <c r="B153">
        <v>0.15571802706241816</v>
      </c>
      <c r="C153" t="s">
        <v>11</v>
      </c>
      <c r="D153" t="s">
        <v>36</v>
      </c>
    </row>
    <row r="154" spans="1:4" x14ac:dyDescent="0.25">
      <c r="A154" t="s">
        <v>197</v>
      </c>
      <c r="B154">
        <v>0.15571802706241816</v>
      </c>
      <c r="C154" t="s">
        <v>12</v>
      </c>
      <c r="D154" t="s">
        <v>198</v>
      </c>
    </row>
    <row r="155" spans="1:4" x14ac:dyDescent="0.25">
      <c r="A155" t="s">
        <v>199</v>
      </c>
      <c r="B155">
        <v>0.2316508937960042</v>
      </c>
      <c r="C155" t="s">
        <v>11</v>
      </c>
      <c r="D155" t="s">
        <v>19</v>
      </c>
    </row>
    <row r="156" spans="1:4" x14ac:dyDescent="0.25">
      <c r="A156" t="s">
        <v>200</v>
      </c>
      <c r="B156">
        <v>6.9438087973557078E-2</v>
      </c>
      <c r="C156" t="s">
        <v>11</v>
      </c>
      <c r="D156" t="s">
        <v>19</v>
      </c>
    </row>
    <row r="157" spans="1:4" x14ac:dyDescent="0.25">
      <c r="A157" t="s">
        <v>201</v>
      </c>
      <c r="B157">
        <v>0.50192307692307692</v>
      </c>
      <c r="C157" t="s">
        <v>11</v>
      </c>
      <c r="D157" t="s">
        <v>25</v>
      </c>
    </row>
    <row r="158" spans="1:4" x14ac:dyDescent="0.25">
      <c r="A158" t="s">
        <v>202</v>
      </c>
      <c r="B158">
        <v>6.5455787978772245E-2</v>
      </c>
      <c r="C158" t="s">
        <v>11</v>
      </c>
      <c r="D158" t="s">
        <v>36</v>
      </c>
    </row>
    <row r="159" spans="1:4" x14ac:dyDescent="0.25">
      <c r="A159" t="s">
        <v>203</v>
      </c>
      <c r="B159">
        <v>5.6416400425985093E-2</v>
      </c>
      <c r="C159" t="s">
        <v>11</v>
      </c>
      <c r="D159" t="s">
        <v>25</v>
      </c>
    </row>
    <row r="160" spans="1:4" x14ac:dyDescent="0.25">
      <c r="A160" t="s">
        <v>204</v>
      </c>
      <c r="B160">
        <v>0.21636759108210984</v>
      </c>
      <c r="C160" t="s">
        <v>11</v>
      </c>
      <c r="D160" t="s">
        <v>36</v>
      </c>
    </row>
    <row r="161" spans="1:4" x14ac:dyDescent="0.25">
      <c r="A161" t="s">
        <v>204</v>
      </c>
      <c r="B161">
        <v>0.21636759108210984</v>
      </c>
      <c r="C161" t="s">
        <v>12</v>
      </c>
      <c r="D161" t="s">
        <v>20</v>
      </c>
    </row>
    <row r="162" spans="1:4" x14ac:dyDescent="0.25">
      <c r="A162" t="s">
        <v>205</v>
      </c>
      <c r="B162">
        <v>0.15283323095823095</v>
      </c>
      <c r="C162" t="s">
        <v>11</v>
      </c>
      <c r="D162" t="s">
        <v>25</v>
      </c>
    </row>
    <row r="163" spans="1:4" x14ac:dyDescent="0.25">
      <c r="A163" t="s">
        <v>206</v>
      </c>
      <c r="B163">
        <v>0.19864505202032423</v>
      </c>
      <c r="C163" t="s">
        <v>11</v>
      </c>
      <c r="D163" t="s">
        <v>36</v>
      </c>
    </row>
    <row r="164" spans="1:4" x14ac:dyDescent="0.25">
      <c r="A164" t="s">
        <v>207</v>
      </c>
      <c r="B164">
        <v>7.7291421856639245E-2</v>
      </c>
      <c r="C164" t="s">
        <v>11</v>
      </c>
      <c r="D164" t="s">
        <v>36</v>
      </c>
    </row>
    <row r="165" spans="1:4" x14ac:dyDescent="0.25">
      <c r="A165" t="s">
        <v>208</v>
      </c>
      <c r="B165">
        <v>6.3713620488940623E-2</v>
      </c>
      <c r="C165" t="s">
        <v>11</v>
      </c>
      <c r="D165" t="s">
        <v>25</v>
      </c>
    </row>
    <row r="166" spans="1:4" x14ac:dyDescent="0.25">
      <c r="A166" t="s">
        <v>209</v>
      </c>
      <c r="B166">
        <v>0.10977802753582468</v>
      </c>
      <c r="C166" t="s">
        <v>11</v>
      </c>
      <c r="D166" t="s">
        <v>36</v>
      </c>
    </row>
    <row r="167" spans="1:4" x14ac:dyDescent="0.25">
      <c r="A167" t="s">
        <v>210</v>
      </c>
      <c r="B167">
        <v>0.19511518179295032</v>
      </c>
      <c r="C167" t="s">
        <v>11</v>
      </c>
      <c r="D167" t="s">
        <v>36</v>
      </c>
    </row>
    <row r="168" spans="1:4" x14ac:dyDescent="0.25">
      <c r="A168" t="s">
        <v>211</v>
      </c>
      <c r="B168">
        <v>0.17801355732390214</v>
      </c>
      <c r="C168" t="s">
        <v>11</v>
      </c>
      <c r="D168" t="s">
        <v>25</v>
      </c>
    </row>
    <row r="169" spans="1:4" x14ac:dyDescent="0.25">
      <c r="A169" t="s">
        <v>212</v>
      </c>
      <c r="B169">
        <v>0.31965192168237855</v>
      </c>
      <c r="C169" t="s">
        <v>11</v>
      </c>
      <c r="D169" t="s">
        <v>19</v>
      </c>
    </row>
    <row r="170" spans="1:4" x14ac:dyDescent="0.25">
      <c r="A170" t="s">
        <v>213</v>
      </c>
      <c r="B170">
        <v>0.11489268506351293</v>
      </c>
      <c r="C170" t="s">
        <v>11</v>
      </c>
      <c r="D170" t="s">
        <v>19</v>
      </c>
    </row>
    <row r="171" spans="1:4" x14ac:dyDescent="0.25">
      <c r="A171" t="s">
        <v>214</v>
      </c>
      <c r="B171">
        <v>0.1095786671562328</v>
      </c>
      <c r="C171" t="s">
        <v>11</v>
      </c>
      <c r="D171" t="s">
        <v>19</v>
      </c>
    </row>
    <row r="172" spans="1:4" x14ac:dyDescent="0.25">
      <c r="A172" t="s">
        <v>215</v>
      </c>
      <c r="B172">
        <v>0.10793717277486911</v>
      </c>
      <c r="C172" t="s">
        <v>11</v>
      </c>
      <c r="D172" t="s">
        <v>19</v>
      </c>
    </row>
    <row r="173" spans="1:4" x14ac:dyDescent="0.25">
      <c r="A173" t="s">
        <v>216</v>
      </c>
      <c r="B173">
        <v>0.11307081114118571</v>
      </c>
      <c r="C173" t="s">
        <v>11</v>
      </c>
      <c r="D173" t="s">
        <v>25</v>
      </c>
    </row>
    <row r="174" spans="1:4" x14ac:dyDescent="0.25">
      <c r="A174" t="s">
        <v>217</v>
      </c>
      <c r="B174">
        <v>0.21745283018867925</v>
      </c>
      <c r="C174" t="s">
        <v>11</v>
      </c>
      <c r="D174" t="s">
        <v>19</v>
      </c>
    </row>
    <row r="175" spans="1:4" x14ac:dyDescent="0.25">
      <c r="A175" t="s">
        <v>218</v>
      </c>
      <c r="B175">
        <v>9.1137810638734856E-2</v>
      </c>
      <c r="C175" t="s">
        <v>11</v>
      </c>
      <c r="D175" t="s">
        <v>25</v>
      </c>
    </row>
    <row r="176" spans="1:4" x14ac:dyDescent="0.25">
      <c r="A176" t="s">
        <v>219</v>
      </c>
      <c r="B176">
        <v>0.11508145034156594</v>
      </c>
      <c r="C176" t="s">
        <v>11</v>
      </c>
      <c r="D176" t="s">
        <v>25</v>
      </c>
    </row>
    <row r="177" spans="1:4" x14ac:dyDescent="0.25">
      <c r="A177" t="s">
        <v>220</v>
      </c>
      <c r="B177">
        <v>8.6630570595585168E-2</v>
      </c>
      <c r="C177" t="s">
        <v>11</v>
      </c>
      <c r="D177" t="s">
        <v>19</v>
      </c>
    </row>
    <row r="178" spans="1:4" x14ac:dyDescent="0.25">
      <c r="A178" t="s">
        <v>221</v>
      </c>
      <c r="B178">
        <v>0.23101532992668297</v>
      </c>
      <c r="C178" t="s">
        <v>11</v>
      </c>
      <c r="D178" t="s">
        <v>25</v>
      </c>
    </row>
    <row r="179" spans="1:4" x14ac:dyDescent="0.25">
      <c r="A179" t="s">
        <v>222</v>
      </c>
      <c r="B179">
        <v>0.15355188488042157</v>
      </c>
      <c r="C179" t="s">
        <v>11</v>
      </c>
      <c r="D179" t="s">
        <v>25</v>
      </c>
    </row>
    <row r="180" spans="1:4" x14ac:dyDescent="0.25">
      <c r="A180" t="s">
        <v>222</v>
      </c>
      <c r="B180">
        <v>0.15355188488042157</v>
      </c>
      <c r="C180" t="s">
        <v>12</v>
      </c>
      <c r="D180" t="s">
        <v>20</v>
      </c>
    </row>
    <row r="181" spans="1:4" x14ac:dyDescent="0.25">
      <c r="A181" t="s">
        <v>223</v>
      </c>
      <c r="B181">
        <v>0.15405989502933004</v>
      </c>
      <c r="C181" t="s">
        <v>11</v>
      </c>
      <c r="D181" t="s">
        <v>25</v>
      </c>
    </row>
    <row r="182" spans="1:4" x14ac:dyDescent="0.25">
      <c r="A182" t="s">
        <v>224</v>
      </c>
      <c r="B182">
        <v>0.14320716458262928</v>
      </c>
      <c r="C182" t="s">
        <v>11</v>
      </c>
      <c r="D182" t="s">
        <v>19</v>
      </c>
    </row>
    <row r="183" spans="1:4" x14ac:dyDescent="0.25">
      <c r="A183" t="s">
        <v>225</v>
      </c>
      <c r="B183">
        <v>9.859917557465242E-2</v>
      </c>
      <c r="C183" t="s">
        <v>11</v>
      </c>
      <c r="D183" t="s">
        <v>19</v>
      </c>
    </row>
    <row r="184" spans="1:4" x14ac:dyDescent="0.25">
      <c r="A184" t="s">
        <v>226</v>
      </c>
      <c r="B184">
        <v>7.412002573292896E-2</v>
      </c>
      <c r="C184" t="s">
        <v>11</v>
      </c>
      <c r="D184" t="s">
        <v>36</v>
      </c>
    </row>
    <row r="185" spans="1:4" x14ac:dyDescent="0.25">
      <c r="A185" t="s">
        <v>227</v>
      </c>
      <c r="B185">
        <v>0.12490884163239112</v>
      </c>
      <c r="C185" t="s">
        <v>11</v>
      </c>
      <c r="D185" t="s">
        <v>36</v>
      </c>
    </row>
    <row r="186" spans="1:4" x14ac:dyDescent="0.25">
      <c r="A186" t="s">
        <v>228</v>
      </c>
      <c r="B186">
        <v>6.8655003457763777E-2</v>
      </c>
      <c r="C186" t="s">
        <v>11</v>
      </c>
      <c r="D186" t="s">
        <v>25</v>
      </c>
    </row>
    <row r="187" spans="1:4" x14ac:dyDescent="0.25">
      <c r="A187" t="s">
        <v>229</v>
      </c>
      <c r="B187">
        <v>9.8068107400130972E-2</v>
      </c>
      <c r="C187" t="s">
        <v>11</v>
      </c>
      <c r="D187" t="s">
        <v>19</v>
      </c>
    </row>
    <row r="188" spans="1:4" x14ac:dyDescent="0.25">
      <c r="A188" t="s">
        <v>230</v>
      </c>
      <c r="B188">
        <v>7.2739802071170159E-2</v>
      </c>
      <c r="C188" t="s">
        <v>11</v>
      </c>
      <c r="D188" t="s">
        <v>36</v>
      </c>
    </row>
    <row r="189" spans="1:4" x14ac:dyDescent="0.25">
      <c r="A189" t="s">
        <v>231</v>
      </c>
      <c r="B189">
        <v>0.14348370927318296</v>
      </c>
      <c r="C189" t="s">
        <v>11</v>
      </c>
      <c r="D189" t="s">
        <v>19</v>
      </c>
    </row>
    <row r="190" spans="1:4" x14ac:dyDescent="0.25">
      <c r="A190" t="s">
        <v>232</v>
      </c>
      <c r="B190">
        <v>0.13809430512016718</v>
      </c>
      <c r="C190" t="s">
        <v>11</v>
      </c>
      <c r="D190" t="s">
        <v>36</v>
      </c>
    </row>
    <row r="191" spans="1:4" x14ac:dyDescent="0.25">
      <c r="A191" t="s">
        <v>233</v>
      </c>
      <c r="B191">
        <v>0.6508215962441315</v>
      </c>
      <c r="C191" t="s">
        <v>11</v>
      </c>
      <c r="D191" t="s">
        <v>19</v>
      </c>
    </row>
    <row r="192" spans="1:4" x14ac:dyDescent="0.25">
      <c r="A192" t="s">
        <v>234</v>
      </c>
      <c r="B192">
        <v>5.4081095313322801E-2</v>
      </c>
      <c r="C192" t="s">
        <v>11</v>
      </c>
      <c r="D192" t="s">
        <v>25</v>
      </c>
    </row>
    <row r="193" spans="1:4" x14ac:dyDescent="0.25">
      <c r="A193" t="s">
        <v>235</v>
      </c>
      <c r="B193">
        <v>9.1365878393951966E-2</v>
      </c>
      <c r="C193" t="s">
        <v>11</v>
      </c>
      <c r="D193" t="s">
        <v>25</v>
      </c>
    </row>
    <row r="194" spans="1:4" x14ac:dyDescent="0.25">
      <c r="A194" t="s">
        <v>236</v>
      </c>
      <c r="B194">
        <v>0.70387596899224802</v>
      </c>
      <c r="C194" t="s">
        <v>11</v>
      </c>
      <c r="D194" t="s">
        <v>25</v>
      </c>
    </row>
    <row r="195" spans="1:4" x14ac:dyDescent="0.25">
      <c r="A195" t="s">
        <v>237</v>
      </c>
      <c r="B195">
        <v>7.5280481001673588E-2</v>
      </c>
      <c r="C195" t="s">
        <v>11</v>
      </c>
      <c r="D195" t="s">
        <v>25</v>
      </c>
    </row>
    <row r="196" spans="1:4" x14ac:dyDescent="0.25">
      <c r="A196" t="s">
        <v>238</v>
      </c>
      <c r="B196">
        <v>9.023070704558174E-2</v>
      </c>
      <c r="C196" t="s">
        <v>11</v>
      </c>
      <c r="D196" t="s">
        <v>25</v>
      </c>
    </row>
    <row r="197" spans="1:4" x14ac:dyDescent="0.25">
      <c r="A197" t="s">
        <v>239</v>
      </c>
      <c r="B197">
        <v>0.23673521198273673</v>
      </c>
      <c r="C197" t="s">
        <v>11</v>
      </c>
      <c r="D197" t="s">
        <v>36</v>
      </c>
    </row>
    <row r="198" spans="1:4" x14ac:dyDescent="0.25">
      <c r="A198" t="s">
        <v>240</v>
      </c>
      <c r="B198">
        <v>0.10132030477519921</v>
      </c>
      <c r="C198" t="s">
        <v>11</v>
      </c>
      <c r="D198" t="s">
        <v>25</v>
      </c>
    </row>
    <row r="199" spans="1:4" x14ac:dyDescent="0.25">
      <c r="A199" t="s">
        <v>241</v>
      </c>
      <c r="B199">
        <v>0.28696581196581195</v>
      </c>
      <c r="C199" t="s">
        <v>11</v>
      </c>
      <c r="D199" t="s">
        <v>19</v>
      </c>
    </row>
    <row r="200" spans="1:4" x14ac:dyDescent="0.25">
      <c r="A200" t="s">
        <v>242</v>
      </c>
      <c r="B200">
        <v>0.13614307931570763</v>
      </c>
      <c r="C200" t="s">
        <v>11</v>
      </c>
      <c r="D200" t="s">
        <v>36</v>
      </c>
    </row>
    <row r="201" spans="1:4" x14ac:dyDescent="0.25">
      <c r="A201" t="s">
        <v>243</v>
      </c>
      <c r="B201">
        <v>9.5290736237010829E-2</v>
      </c>
      <c r="C201" t="s">
        <v>11</v>
      </c>
      <c r="D201" t="s">
        <v>36</v>
      </c>
    </row>
    <row r="202" spans="1:4" x14ac:dyDescent="0.25">
      <c r="A202" t="s">
        <v>244</v>
      </c>
      <c r="B202">
        <v>8.4862714173059003E-2</v>
      </c>
      <c r="C202" t="s">
        <v>11</v>
      </c>
      <c r="D202" t="s">
        <v>36</v>
      </c>
    </row>
    <row r="203" spans="1:4" x14ac:dyDescent="0.25">
      <c r="A203" t="s">
        <v>245</v>
      </c>
      <c r="B203">
        <v>8.3726921425504502E-2</v>
      </c>
      <c r="C203" t="s">
        <v>11</v>
      </c>
      <c r="D203" t="s">
        <v>36</v>
      </c>
    </row>
    <row r="204" spans="1:4" x14ac:dyDescent="0.25">
      <c r="A204" t="s">
        <v>246</v>
      </c>
      <c r="B204">
        <v>8.4946236559139784E-2</v>
      </c>
      <c r="C204" t="s">
        <v>11</v>
      </c>
      <c r="D204" t="s">
        <v>19</v>
      </c>
    </row>
    <row r="205" spans="1:4" x14ac:dyDescent="0.25">
      <c r="A205" t="s">
        <v>247</v>
      </c>
      <c r="B205">
        <v>7.2503306878306875E-2</v>
      </c>
      <c r="C205" t="s">
        <v>11</v>
      </c>
      <c r="D205" t="s">
        <v>25</v>
      </c>
    </row>
    <row r="206" spans="1:4" x14ac:dyDescent="0.25">
      <c r="A206" t="s">
        <v>248</v>
      </c>
      <c r="B206">
        <v>5.5909322465613857E-2</v>
      </c>
      <c r="C206" t="s">
        <v>11</v>
      </c>
      <c r="D206" t="s">
        <v>19</v>
      </c>
    </row>
    <row r="207" spans="1:4" x14ac:dyDescent="0.25">
      <c r="A207" t="s">
        <v>249</v>
      </c>
      <c r="B207">
        <v>9.9578134817341346E-2</v>
      </c>
      <c r="C207" t="s">
        <v>11</v>
      </c>
      <c r="D207" t="s">
        <v>19</v>
      </c>
    </row>
    <row r="208" spans="1:4" x14ac:dyDescent="0.25">
      <c r="A208" t="s">
        <v>250</v>
      </c>
      <c r="B208">
        <v>0.1441326530612245</v>
      </c>
      <c r="C208" t="s">
        <v>11</v>
      </c>
      <c r="D208" t="s">
        <v>36</v>
      </c>
    </row>
    <row r="209" spans="1:4" x14ac:dyDescent="0.25">
      <c r="A209" t="s">
        <v>251</v>
      </c>
      <c r="B209">
        <v>9.9255211647142488E-2</v>
      </c>
      <c r="C209" t="s">
        <v>11</v>
      </c>
      <c r="D209" t="s">
        <v>36</v>
      </c>
    </row>
    <row r="210" spans="1:4" x14ac:dyDescent="0.25">
      <c r="A210" t="s">
        <v>252</v>
      </c>
      <c r="B210">
        <v>8.4203612479474554E-2</v>
      </c>
      <c r="C210" t="s">
        <v>11</v>
      </c>
      <c r="D210" t="s">
        <v>36</v>
      </c>
    </row>
    <row r="211" spans="1:4" x14ac:dyDescent="0.25">
      <c r="A211" t="s">
        <v>253</v>
      </c>
      <c r="B211">
        <v>0.13667732704931829</v>
      </c>
      <c r="C211" t="s">
        <v>11</v>
      </c>
      <c r="D211" t="s">
        <v>19</v>
      </c>
    </row>
    <row r="212" spans="1:4" x14ac:dyDescent="0.25">
      <c r="A212" t="s">
        <v>253</v>
      </c>
      <c r="B212">
        <v>0.13667732704931829</v>
      </c>
      <c r="C212" t="s">
        <v>12</v>
      </c>
      <c r="D212" t="s">
        <v>25</v>
      </c>
    </row>
    <row r="213" spans="1:4" x14ac:dyDescent="0.25">
      <c r="A213" t="s">
        <v>253</v>
      </c>
      <c r="B213">
        <v>0.13667732704931829</v>
      </c>
      <c r="C213" t="s">
        <v>13</v>
      </c>
      <c r="D213" t="s">
        <v>20</v>
      </c>
    </row>
    <row r="214" spans="1:4" x14ac:dyDescent="0.25">
      <c r="A214" t="s">
        <v>254</v>
      </c>
      <c r="B214">
        <v>0.12575841147269717</v>
      </c>
      <c r="C214" t="s">
        <v>11</v>
      </c>
      <c r="D214" t="s">
        <v>36</v>
      </c>
    </row>
    <row r="215" spans="1:4" x14ac:dyDescent="0.25">
      <c r="A215" t="s">
        <v>255</v>
      </c>
      <c r="B215">
        <v>6.4884520656164318E-2</v>
      </c>
      <c r="C215" t="s">
        <v>11</v>
      </c>
      <c r="D215" t="s">
        <v>36</v>
      </c>
    </row>
    <row r="216" spans="1:4" x14ac:dyDescent="0.25">
      <c r="A216" t="s">
        <v>256</v>
      </c>
      <c r="B216">
        <v>0.19847328244274809</v>
      </c>
      <c r="C216" t="s">
        <v>11</v>
      </c>
      <c r="D216" t="s">
        <v>25</v>
      </c>
    </row>
    <row r="217" spans="1:4" x14ac:dyDescent="0.25">
      <c r="A217" t="s">
        <v>257</v>
      </c>
      <c r="B217">
        <v>8.5520696919660646E-2</v>
      </c>
      <c r="C217" t="s">
        <v>11</v>
      </c>
      <c r="D217" t="s">
        <v>25</v>
      </c>
    </row>
    <row r="218" spans="1:4" x14ac:dyDescent="0.25">
      <c r="A218" t="s">
        <v>258</v>
      </c>
      <c r="B218">
        <v>6.246991874522239E-2</v>
      </c>
      <c r="C218" t="s">
        <v>11</v>
      </c>
      <c r="D218" t="s">
        <v>25</v>
      </c>
    </row>
    <row r="219" spans="1:4" x14ac:dyDescent="0.25">
      <c r="A219" t="s">
        <v>259</v>
      </c>
      <c r="B219">
        <v>9.0606816292601824E-2</v>
      </c>
      <c r="C219" t="s">
        <v>11</v>
      </c>
      <c r="D219" t="s">
        <v>36</v>
      </c>
    </row>
    <row r="220" spans="1:4" x14ac:dyDescent="0.25">
      <c r="A220" t="s">
        <v>260</v>
      </c>
      <c r="B220">
        <v>8.2108498129342594E-2</v>
      </c>
      <c r="C220" t="s">
        <v>11</v>
      </c>
      <c r="D220" t="s">
        <v>36</v>
      </c>
    </row>
    <row r="221" spans="1:4" x14ac:dyDescent="0.25">
      <c r="A221" t="s">
        <v>261</v>
      </c>
      <c r="B221">
        <v>5.7332570758993957E-2</v>
      </c>
      <c r="C221" t="s">
        <v>11</v>
      </c>
      <c r="D221" t="s">
        <v>19</v>
      </c>
    </row>
    <row r="222" spans="1:4" x14ac:dyDescent="0.25">
      <c r="A222" t="s">
        <v>262</v>
      </c>
      <c r="B222">
        <v>0.29713518352730528</v>
      </c>
      <c r="C222" t="s">
        <v>11</v>
      </c>
      <c r="D222" t="s">
        <v>19</v>
      </c>
    </row>
    <row r="223" spans="1:4" x14ac:dyDescent="0.25">
      <c r="A223" t="s">
        <v>263</v>
      </c>
      <c r="B223">
        <v>0.1043848167539267</v>
      </c>
      <c r="C223" t="s">
        <v>11</v>
      </c>
      <c r="D223" t="s">
        <v>25</v>
      </c>
    </row>
    <row r="224" spans="1:4" x14ac:dyDescent="0.25">
      <c r="A224" t="s">
        <v>263</v>
      </c>
      <c r="B224">
        <v>0.1043848167539267</v>
      </c>
      <c r="C224" t="s">
        <v>12</v>
      </c>
      <c r="D224" t="s">
        <v>198</v>
      </c>
    </row>
    <row r="225" spans="1:4" x14ac:dyDescent="0.25">
      <c r="A225" t="s">
        <v>264</v>
      </c>
      <c r="B225">
        <v>0.10768685795253277</v>
      </c>
      <c r="C225" t="s">
        <v>11</v>
      </c>
      <c r="D225" t="s">
        <v>36</v>
      </c>
    </row>
    <row r="226" spans="1:4" x14ac:dyDescent="0.25">
      <c r="A226" t="s">
        <v>265</v>
      </c>
      <c r="B226">
        <v>0.14316214319138981</v>
      </c>
      <c r="C226" t="s">
        <v>11</v>
      </c>
      <c r="D226" t="s">
        <v>25</v>
      </c>
    </row>
    <row r="227" spans="1:4" x14ac:dyDescent="0.25">
      <c r="A227" t="s">
        <v>265</v>
      </c>
      <c r="B227">
        <v>0.14316214319138981</v>
      </c>
      <c r="C227" t="s">
        <v>12</v>
      </c>
      <c r="D227" t="s">
        <v>198</v>
      </c>
    </row>
    <row r="228" spans="1:4" x14ac:dyDescent="0.25">
      <c r="A228" t="s">
        <v>266</v>
      </c>
      <c r="B228">
        <v>8.6537809426924378E-2</v>
      </c>
      <c r="C228" t="s">
        <v>11</v>
      </c>
      <c r="D228" t="s">
        <v>25</v>
      </c>
    </row>
    <row r="229" spans="1:4" x14ac:dyDescent="0.25">
      <c r="A229" t="s">
        <v>267</v>
      </c>
      <c r="B229">
        <v>8.2753164556962022E-2</v>
      </c>
      <c r="C229" t="s">
        <v>11</v>
      </c>
      <c r="D229" t="s">
        <v>19</v>
      </c>
    </row>
    <row r="230" spans="1:4" x14ac:dyDescent="0.25">
      <c r="A230" t="s">
        <v>267</v>
      </c>
      <c r="B230">
        <v>8.2753164556962022E-2</v>
      </c>
      <c r="C230" t="s">
        <v>12</v>
      </c>
      <c r="D230" t="s">
        <v>20</v>
      </c>
    </row>
    <row r="231" spans="1:4" x14ac:dyDescent="0.25">
      <c r="A231" t="s">
        <v>268</v>
      </c>
      <c r="B231">
        <v>0.48518407662376534</v>
      </c>
      <c r="C231" t="s">
        <v>11</v>
      </c>
      <c r="D231" t="s">
        <v>19</v>
      </c>
    </row>
    <row r="232" spans="1:4" x14ac:dyDescent="0.25">
      <c r="A232" t="s">
        <v>269</v>
      </c>
      <c r="B232">
        <v>0.18632075471698112</v>
      </c>
      <c r="C232" t="s">
        <v>11</v>
      </c>
      <c r="D232" t="s">
        <v>19</v>
      </c>
    </row>
    <row r="233" spans="1:4" x14ac:dyDescent="0.25">
      <c r="A233" t="s">
        <v>270</v>
      </c>
      <c r="B233">
        <v>0.123309241094476</v>
      </c>
      <c r="C233" t="s">
        <v>11</v>
      </c>
      <c r="D233" t="s">
        <v>25</v>
      </c>
    </row>
    <row r="234" spans="1:4" x14ac:dyDescent="0.25">
      <c r="A234" t="s">
        <v>271</v>
      </c>
      <c r="B234">
        <v>8.21914819340199E-2</v>
      </c>
      <c r="C234" t="s">
        <v>11</v>
      </c>
      <c r="D234" t="s">
        <v>36</v>
      </c>
    </row>
    <row r="235" spans="1:4" x14ac:dyDescent="0.25">
      <c r="A235" t="s">
        <v>272</v>
      </c>
      <c r="B235">
        <v>0.37955854126679461</v>
      </c>
      <c r="C235" t="s">
        <v>11</v>
      </c>
      <c r="D235" t="s">
        <v>19</v>
      </c>
    </row>
    <row r="236" spans="1:4" x14ac:dyDescent="0.25">
      <c r="A236" t="s">
        <v>273</v>
      </c>
      <c r="B236">
        <v>7.2116777745580993E-2</v>
      </c>
      <c r="C236" t="s">
        <v>11</v>
      </c>
      <c r="D236" t="s">
        <v>36</v>
      </c>
    </row>
    <row r="237" spans="1:4" x14ac:dyDescent="0.25">
      <c r="A237" t="s">
        <v>274</v>
      </c>
      <c r="B237">
        <v>5.8316766070245198E-2</v>
      </c>
      <c r="C237" t="s">
        <v>11</v>
      </c>
      <c r="D237" t="s">
        <v>36</v>
      </c>
    </row>
    <row r="238" spans="1:4" x14ac:dyDescent="0.25">
      <c r="A238" t="s">
        <v>275</v>
      </c>
      <c r="B238">
        <v>6.2603126356925748E-2</v>
      </c>
      <c r="C238" t="s">
        <v>11</v>
      </c>
      <c r="D238" t="s">
        <v>25</v>
      </c>
    </row>
    <row r="239" spans="1:4" x14ac:dyDescent="0.25">
      <c r="A239" t="s">
        <v>276</v>
      </c>
      <c r="B239">
        <v>0.18806848582129482</v>
      </c>
      <c r="C239" t="s">
        <v>11</v>
      </c>
      <c r="D239" t="s">
        <v>25</v>
      </c>
    </row>
    <row r="240" spans="1:4" x14ac:dyDescent="0.25">
      <c r="A240" t="s">
        <v>277</v>
      </c>
      <c r="B240">
        <v>0.25701459034792368</v>
      </c>
      <c r="C240" t="s">
        <v>11</v>
      </c>
      <c r="D240" t="s">
        <v>25</v>
      </c>
    </row>
    <row r="241" spans="1:4" x14ac:dyDescent="0.25">
      <c r="A241" t="s">
        <v>278</v>
      </c>
      <c r="B241">
        <v>1.8129251700680271</v>
      </c>
      <c r="C241" t="s">
        <v>11</v>
      </c>
      <c r="D241" t="s">
        <v>36</v>
      </c>
    </row>
    <row r="242" spans="1:4" x14ac:dyDescent="0.25">
      <c r="A242" t="s">
        <v>279</v>
      </c>
      <c r="B242">
        <v>0.15989220750056141</v>
      </c>
      <c r="C242" t="s">
        <v>11</v>
      </c>
      <c r="D242" t="s">
        <v>25</v>
      </c>
    </row>
    <row r="243" spans="1:4" x14ac:dyDescent="0.25">
      <c r="A243" t="s">
        <v>280</v>
      </c>
      <c r="B243">
        <v>0.11143487163332809</v>
      </c>
      <c r="C243" t="s">
        <v>11</v>
      </c>
      <c r="D243" t="s">
        <v>19</v>
      </c>
    </row>
    <row r="244" spans="1:4" x14ac:dyDescent="0.25">
      <c r="A244" t="s">
        <v>280</v>
      </c>
      <c r="B244">
        <v>0.11143487163332809</v>
      </c>
      <c r="C244" t="s">
        <v>12</v>
      </c>
      <c r="D244" t="s">
        <v>198</v>
      </c>
    </row>
    <row r="245" spans="1:4" x14ac:dyDescent="0.25">
      <c r="A245" t="s">
        <v>281</v>
      </c>
      <c r="B245">
        <v>6.2129685107516146E-2</v>
      </c>
      <c r="C245" t="s">
        <v>11</v>
      </c>
      <c r="D245" t="s">
        <v>25</v>
      </c>
    </row>
    <row r="246" spans="1:4" x14ac:dyDescent="0.25">
      <c r="A246" t="s">
        <v>282</v>
      </c>
      <c r="B246">
        <v>0.32083531086853345</v>
      </c>
      <c r="C246" t="s">
        <v>11</v>
      </c>
      <c r="D246" t="s">
        <v>25</v>
      </c>
    </row>
    <row r="247" spans="1:4" x14ac:dyDescent="0.25">
      <c r="A247" t="s">
        <v>283</v>
      </c>
      <c r="B247">
        <v>5.6653298485940883E-2</v>
      </c>
      <c r="C247" t="s">
        <v>11</v>
      </c>
      <c r="D247" t="s">
        <v>36</v>
      </c>
    </row>
    <row r="248" spans="1:4" x14ac:dyDescent="0.25">
      <c r="A248" t="s">
        <v>284</v>
      </c>
      <c r="B248">
        <v>0.25537047673750718</v>
      </c>
      <c r="C248" t="s">
        <v>11</v>
      </c>
      <c r="D248" t="s">
        <v>25</v>
      </c>
    </row>
    <row r="249" spans="1:4" x14ac:dyDescent="0.25">
      <c r="A249" t="s">
        <v>285</v>
      </c>
      <c r="B249">
        <v>0.11232349165596919</v>
      </c>
      <c r="C249" t="s">
        <v>11</v>
      </c>
      <c r="D249" t="s">
        <v>19</v>
      </c>
    </row>
    <row r="250" spans="1:4" x14ac:dyDescent="0.25">
      <c r="A250" t="s">
        <v>286</v>
      </c>
      <c r="B250">
        <v>8.1808097615085965E-2</v>
      </c>
      <c r="C250" t="s">
        <v>11</v>
      </c>
      <c r="D250" t="s">
        <v>36</v>
      </c>
    </row>
    <row r="251" spans="1:4" x14ac:dyDescent="0.25">
      <c r="A251" t="s">
        <v>287</v>
      </c>
      <c r="B251">
        <v>0.13387048227640017</v>
      </c>
      <c r="C251" t="s">
        <v>11</v>
      </c>
      <c r="D251" t="s">
        <v>25</v>
      </c>
    </row>
    <row r="252" spans="1:4" x14ac:dyDescent="0.25">
      <c r="A252" t="s">
        <v>288</v>
      </c>
      <c r="B252">
        <v>7.7512577512577507E-2</v>
      </c>
      <c r="C252" t="s">
        <v>11</v>
      </c>
      <c r="D252" t="s">
        <v>36</v>
      </c>
    </row>
    <row r="253" spans="1:4" x14ac:dyDescent="0.25">
      <c r="A253" t="s">
        <v>289</v>
      </c>
      <c r="B253">
        <v>8.5734265734265735E-2</v>
      </c>
      <c r="C253" t="s">
        <v>11</v>
      </c>
      <c r="D253" t="s">
        <v>19</v>
      </c>
    </row>
    <row r="254" spans="1:4" x14ac:dyDescent="0.25">
      <c r="A254" t="s">
        <v>290</v>
      </c>
      <c r="B254">
        <v>0.7168674698795181</v>
      </c>
      <c r="C254" t="s">
        <v>11</v>
      </c>
      <c r="D254" t="s">
        <v>36</v>
      </c>
    </row>
    <row r="255" spans="1:4" x14ac:dyDescent="0.25">
      <c r="A255" t="s">
        <v>291</v>
      </c>
      <c r="B255">
        <v>7.2969143576826198E-2</v>
      </c>
      <c r="C255" t="s">
        <v>11</v>
      </c>
      <c r="D255" t="s">
        <v>19</v>
      </c>
    </row>
    <row r="256" spans="1:4" x14ac:dyDescent="0.25">
      <c r="A256" t="s">
        <v>292</v>
      </c>
      <c r="B256">
        <v>7.5968222442899705E-2</v>
      </c>
      <c r="C256" t="s">
        <v>11</v>
      </c>
      <c r="D256" t="s">
        <v>25</v>
      </c>
    </row>
    <row r="257" spans="1:4" x14ac:dyDescent="0.25">
      <c r="A257" t="s">
        <v>293</v>
      </c>
      <c r="B257">
        <v>0.1283706906360223</v>
      </c>
      <c r="C257" t="s">
        <v>11</v>
      </c>
      <c r="D257" t="s">
        <v>25</v>
      </c>
    </row>
    <row r="258" spans="1:4" x14ac:dyDescent="0.25">
      <c r="A258" t="s">
        <v>294</v>
      </c>
      <c r="B258">
        <v>0.12943516308671441</v>
      </c>
      <c r="C258" t="s">
        <v>11</v>
      </c>
      <c r="D258" t="s">
        <v>19</v>
      </c>
    </row>
    <row r="259" spans="1:4" x14ac:dyDescent="0.25">
      <c r="A259" t="s">
        <v>294</v>
      </c>
      <c r="B259">
        <v>0.12943516308671441</v>
      </c>
      <c r="C259" t="s">
        <v>12</v>
      </c>
      <c r="D259" t="s">
        <v>20</v>
      </c>
    </row>
    <row r="260" spans="1:4" x14ac:dyDescent="0.25">
      <c r="A260" t="s">
        <v>294</v>
      </c>
      <c r="B260">
        <v>0.12943516308671441</v>
      </c>
      <c r="C260" t="s">
        <v>13</v>
      </c>
      <c r="D260" t="s">
        <v>36</v>
      </c>
    </row>
    <row r="261" spans="1:4" x14ac:dyDescent="0.25">
      <c r="A261" t="s">
        <v>295</v>
      </c>
      <c r="B261">
        <v>6.7234398994834563E-2</v>
      </c>
      <c r="C261" t="s">
        <v>11</v>
      </c>
      <c r="D261" t="s">
        <v>19</v>
      </c>
    </row>
    <row r="262" spans="1:4" x14ac:dyDescent="0.25">
      <c r="A262" t="s">
        <v>296</v>
      </c>
      <c r="B262">
        <v>7.2579365079365077E-2</v>
      </c>
      <c r="C262" t="s">
        <v>11</v>
      </c>
      <c r="D262" t="s">
        <v>19</v>
      </c>
    </row>
    <row r="263" spans="1:4" x14ac:dyDescent="0.25">
      <c r="A263" t="s">
        <v>297</v>
      </c>
      <c r="B263">
        <v>0.25062082139446035</v>
      </c>
      <c r="C263" t="s">
        <v>11</v>
      </c>
      <c r="D263" t="s">
        <v>19</v>
      </c>
    </row>
    <row r="264" spans="1:4" x14ac:dyDescent="0.25">
      <c r="A264" t="s">
        <v>298</v>
      </c>
      <c r="B264">
        <v>8.6293505561535699E-2</v>
      </c>
      <c r="C264" t="s">
        <v>11</v>
      </c>
      <c r="D264" t="s">
        <v>36</v>
      </c>
    </row>
    <row r="265" spans="1:4" x14ac:dyDescent="0.25">
      <c r="A265" t="s">
        <v>298</v>
      </c>
      <c r="B265">
        <v>8.6293505561535699E-2</v>
      </c>
      <c r="C265" t="s">
        <v>12</v>
      </c>
      <c r="D265" t="s">
        <v>25</v>
      </c>
    </row>
    <row r="266" spans="1:4" x14ac:dyDescent="0.25">
      <c r="A266" t="s">
        <v>298</v>
      </c>
      <c r="B266">
        <v>8.6293505561535699E-2</v>
      </c>
      <c r="C266" t="s">
        <v>13</v>
      </c>
      <c r="D266" t="s">
        <v>20</v>
      </c>
    </row>
    <row r="267" spans="1:4" x14ac:dyDescent="0.25">
      <c r="A267" t="s">
        <v>299</v>
      </c>
      <c r="B267">
        <v>0.17743908486792079</v>
      </c>
      <c r="C267" t="s">
        <v>11</v>
      </c>
      <c r="D267" t="s">
        <v>25</v>
      </c>
    </row>
    <row r="268" spans="1:4" x14ac:dyDescent="0.25">
      <c r="A268" t="s">
        <v>300</v>
      </c>
      <c r="B268">
        <v>0.18519683938186141</v>
      </c>
      <c r="C268" t="s">
        <v>11</v>
      </c>
      <c r="D268" t="s">
        <v>36</v>
      </c>
    </row>
    <row r="269" spans="1:4" x14ac:dyDescent="0.25">
      <c r="A269" t="s">
        <v>301</v>
      </c>
      <c r="B269">
        <v>9.7001272669424113E-2</v>
      </c>
      <c r="C269" t="s">
        <v>11</v>
      </c>
      <c r="D269" t="s">
        <v>19</v>
      </c>
    </row>
    <row r="270" spans="1:4" x14ac:dyDescent="0.25">
      <c r="A270" t="s">
        <v>302</v>
      </c>
      <c r="B270">
        <v>0.25869984981763572</v>
      </c>
      <c r="C270" t="s">
        <v>11</v>
      </c>
      <c r="D270" t="s">
        <v>19</v>
      </c>
    </row>
    <row r="271" spans="1:4" x14ac:dyDescent="0.25">
      <c r="A271" t="s">
        <v>303</v>
      </c>
      <c r="B271">
        <v>0.12232704402515723</v>
      </c>
      <c r="C271" t="s">
        <v>11</v>
      </c>
      <c r="D271" t="s">
        <v>36</v>
      </c>
    </row>
    <row r="272" spans="1:4" x14ac:dyDescent="0.25">
      <c r="A272" t="s">
        <v>304</v>
      </c>
      <c r="B272">
        <v>0.23656250000000001</v>
      </c>
      <c r="C272" t="s">
        <v>11</v>
      </c>
      <c r="D272" t="s">
        <v>19</v>
      </c>
    </row>
    <row r="273" spans="1:4" x14ac:dyDescent="0.25">
      <c r="A273" t="s">
        <v>305</v>
      </c>
      <c r="B273">
        <v>0.11879910213243547</v>
      </c>
      <c r="C273" t="s">
        <v>11</v>
      </c>
      <c r="D273" t="s">
        <v>19</v>
      </c>
    </row>
    <row r="274" spans="1:4" x14ac:dyDescent="0.25">
      <c r="A274" t="s">
        <v>305</v>
      </c>
      <c r="B274">
        <v>0.11879910213243547</v>
      </c>
      <c r="C274" t="s">
        <v>12</v>
      </c>
      <c r="D274" t="s">
        <v>36</v>
      </c>
    </row>
    <row r="275" spans="1:4" x14ac:dyDescent="0.25">
      <c r="A275" t="s">
        <v>305</v>
      </c>
      <c r="B275">
        <v>0.11879910213243547</v>
      </c>
      <c r="C275" t="s">
        <v>13</v>
      </c>
      <c r="D275" t="s">
        <v>26</v>
      </c>
    </row>
    <row r="276" spans="1:4" x14ac:dyDescent="0.25">
      <c r="A276" t="s">
        <v>306</v>
      </c>
      <c r="B276">
        <v>0.26297968397291194</v>
      </c>
      <c r="C276" t="s">
        <v>11</v>
      </c>
      <c r="D276" t="s">
        <v>36</v>
      </c>
    </row>
    <row r="277" spans="1:4" x14ac:dyDescent="0.25">
      <c r="A277" t="s">
        <v>307</v>
      </c>
      <c r="B277">
        <v>8.7733440816874911E-2</v>
      </c>
      <c r="C277" t="s">
        <v>11</v>
      </c>
      <c r="D277" t="s">
        <v>36</v>
      </c>
    </row>
    <row r="278" spans="1:4" x14ac:dyDescent="0.25">
      <c r="A278" t="s">
        <v>308</v>
      </c>
      <c r="B278">
        <v>7.3170731707317069E-2</v>
      </c>
      <c r="C278" t="s">
        <v>11</v>
      </c>
      <c r="D278" t="s">
        <v>19</v>
      </c>
    </row>
    <row r="279" spans="1:4" x14ac:dyDescent="0.25">
      <c r="A279" t="s">
        <v>309</v>
      </c>
      <c r="B279">
        <v>0.11619462599854757</v>
      </c>
      <c r="C279" t="s">
        <v>11</v>
      </c>
      <c r="D279" t="s">
        <v>19</v>
      </c>
    </row>
    <row r="280" spans="1:4" x14ac:dyDescent="0.25">
      <c r="A280" t="s">
        <v>310</v>
      </c>
      <c r="B280">
        <v>0.15761129727142173</v>
      </c>
      <c r="C280" t="s">
        <v>11</v>
      </c>
      <c r="D280" t="s">
        <v>19</v>
      </c>
    </row>
    <row r="281" spans="1:4" x14ac:dyDescent="0.25">
      <c r="A281" t="s">
        <v>311</v>
      </c>
      <c r="B281">
        <v>8.6897539284772202E-2</v>
      </c>
      <c r="C281" t="s">
        <v>11</v>
      </c>
      <c r="D281" t="s">
        <v>36</v>
      </c>
    </row>
    <row r="282" spans="1:4" x14ac:dyDescent="0.25">
      <c r="A282" t="s">
        <v>312</v>
      </c>
      <c r="B282">
        <v>0.13331166419019316</v>
      </c>
      <c r="C282" t="s">
        <v>11</v>
      </c>
      <c r="D282" t="s">
        <v>19</v>
      </c>
    </row>
    <row r="283" spans="1:4" x14ac:dyDescent="0.25">
      <c r="A283" t="s">
        <v>313</v>
      </c>
      <c r="B283">
        <v>0.11996283514733209</v>
      </c>
      <c r="C283" t="s">
        <v>11</v>
      </c>
      <c r="D283" t="s">
        <v>19</v>
      </c>
    </row>
    <row r="284" spans="1:4" x14ac:dyDescent="0.25">
      <c r="A284" t="s">
        <v>314</v>
      </c>
      <c r="B284">
        <v>5.7936488444630008E-2</v>
      </c>
      <c r="C284" t="s">
        <v>11</v>
      </c>
      <c r="D284" t="s">
        <v>36</v>
      </c>
    </row>
    <row r="285" spans="1:4" x14ac:dyDescent="0.25">
      <c r="A285" t="s">
        <v>315</v>
      </c>
      <c r="B285">
        <v>7.9915048543689318E-2</v>
      </c>
      <c r="C285" t="s">
        <v>11</v>
      </c>
      <c r="D285" t="s">
        <v>36</v>
      </c>
    </row>
    <row r="286" spans="1:4" x14ac:dyDescent="0.25">
      <c r="A286" t="s">
        <v>315</v>
      </c>
      <c r="B286">
        <v>7.9915048543689318E-2</v>
      </c>
      <c r="C286" t="s">
        <v>12</v>
      </c>
      <c r="D286" t="s">
        <v>36</v>
      </c>
    </row>
    <row r="287" spans="1:4" x14ac:dyDescent="0.25">
      <c r="A287" t="s">
        <v>315</v>
      </c>
      <c r="B287">
        <v>7.9915048543689318E-2</v>
      </c>
      <c r="C287" t="s">
        <v>13</v>
      </c>
      <c r="D287" t="s">
        <v>26</v>
      </c>
    </row>
    <row r="288" spans="1:4" x14ac:dyDescent="0.25">
      <c r="A288" t="s">
        <v>316</v>
      </c>
      <c r="B288">
        <v>0.2023049153013052</v>
      </c>
      <c r="C288" t="s">
        <v>11</v>
      </c>
      <c r="D288" t="s">
        <v>36</v>
      </c>
    </row>
    <row r="289" spans="1:4" x14ac:dyDescent="0.25">
      <c r="A289" t="s">
        <v>317</v>
      </c>
      <c r="B289">
        <v>0.25771055753262156</v>
      </c>
      <c r="C289" t="s">
        <v>11</v>
      </c>
      <c r="D289" t="s">
        <v>25</v>
      </c>
    </row>
    <row r="290" spans="1:4" x14ac:dyDescent="0.25">
      <c r="A290" t="s">
        <v>318</v>
      </c>
      <c r="B290">
        <v>8.7752275425405618E-2</v>
      </c>
      <c r="C290" t="s">
        <v>11</v>
      </c>
      <c r="D290" t="s">
        <v>25</v>
      </c>
    </row>
    <row r="291" spans="1:4" x14ac:dyDescent="0.25">
      <c r="A291" t="s">
        <v>318</v>
      </c>
      <c r="B291">
        <v>8.7752275425405618E-2</v>
      </c>
      <c r="C291" t="s">
        <v>12</v>
      </c>
      <c r="D291" t="s">
        <v>36</v>
      </c>
    </row>
    <row r="292" spans="1:4" x14ac:dyDescent="0.25">
      <c r="A292" t="s">
        <v>318</v>
      </c>
      <c r="B292">
        <v>8.7752275425405618E-2</v>
      </c>
      <c r="C292" t="s">
        <v>13</v>
      </c>
      <c r="D292" t="s">
        <v>26</v>
      </c>
    </row>
    <row r="293" spans="1:4" x14ac:dyDescent="0.25">
      <c r="A293" t="s">
        <v>319</v>
      </c>
      <c r="B293">
        <v>8.2835359571399134E-2</v>
      </c>
      <c r="C293" t="s">
        <v>11</v>
      </c>
      <c r="D293" t="s">
        <v>36</v>
      </c>
    </row>
    <row r="294" spans="1:4" x14ac:dyDescent="0.25">
      <c r="A294" t="s">
        <v>320</v>
      </c>
      <c r="B294">
        <v>0.15339966832504145</v>
      </c>
      <c r="C294" t="s">
        <v>11</v>
      </c>
      <c r="D294" t="s">
        <v>25</v>
      </c>
    </row>
    <row r="295" spans="1:4" x14ac:dyDescent="0.25">
      <c r="A295" t="s">
        <v>321</v>
      </c>
      <c r="B295">
        <v>0.26876680752977333</v>
      </c>
      <c r="C295" t="s">
        <v>11</v>
      </c>
      <c r="D295" t="s">
        <v>19</v>
      </c>
    </row>
    <row r="296" spans="1:4" x14ac:dyDescent="0.25">
      <c r="A296" t="s">
        <v>322</v>
      </c>
      <c r="B296">
        <v>0.53389830508474578</v>
      </c>
      <c r="C296" t="s">
        <v>11</v>
      </c>
      <c r="D296" t="s">
        <v>25</v>
      </c>
    </row>
    <row r="297" spans="1:4" x14ac:dyDescent="0.25">
      <c r="A297" t="s">
        <v>323</v>
      </c>
      <c r="B297">
        <v>0.25279701651571657</v>
      </c>
      <c r="C297" t="s">
        <v>11</v>
      </c>
      <c r="D297" t="s">
        <v>36</v>
      </c>
    </row>
    <row r="298" spans="1:4" x14ac:dyDescent="0.25">
      <c r="A298" t="s">
        <v>324</v>
      </c>
      <c r="B298">
        <v>0.10086880280567512</v>
      </c>
      <c r="C298" t="s">
        <v>11</v>
      </c>
      <c r="D298" t="s">
        <v>25</v>
      </c>
    </row>
    <row r="299" spans="1:4" x14ac:dyDescent="0.25">
      <c r="A299" t="s">
        <v>325</v>
      </c>
      <c r="B299">
        <v>6.3947934081681396E-2</v>
      </c>
      <c r="C299" t="s">
        <v>11</v>
      </c>
      <c r="D299" t="s">
        <v>19</v>
      </c>
    </row>
    <row r="300" spans="1:4" x14ac:dyDescent="0.25">
      <c r="A300" t="s">
        <v>326</v>
      </c>
      <c r="B300">
        <v>8.4062694239588759E-2</v>
      </c>
      <c r="C300" t="s">
        <v>11</v>
      </c>
      <c r="D300" t="s">
        <v>36</v>
      </c>
    </row>
    <row r="301" spans="1:4" x14ac:dyDescent="0.25">
      <c r="A301" t="s">
        <v>327</v>
      </c>
      <c r="B301">
        <v>0.22157421618066214</v>
      </c>
      <c r="C301" t="s">
        <v>11</v>
      </c>
      <c r="D301" t="s">
        <v>25</v>
      </c>
    </row>
    <row r="302" spans="1:4" x14ac:dyDescent="0.25">
      <c r="A302" t="s">
        <v>328</v>
      </c>
      <c r="B302">
        <v>6.7103868574456813E-2</v>
      </c>
      <c r="C302" t="s">
        <v>11</v>
      </c>
      <c r="D302" t="s">
        <v>25</v>
      </c>
    </row>
    <row r="303" spans="1:4" x14ac:dyDescent="0.25">
      <c r="A303" t="s">
        <v>329</v>
      </c>
      <c r="B303">
        <v>0.20675990675990677</v>
      </c>
      <c r="C303" t="s">
        <v>11</v>
      </c>
      <c r="D303" t="s">
        <v>36</v>
      </c>
    </row>
    <row r="304" spans="1:4" x14ac:dyDescent="0.25">
      <c r="A304" t="s">
        <v>330</v>
      </c>
      <c r="B304">
        <v>0.14220299534507186</v>
      </c>
      <c r="C304" t="s">
        <v>11</v>
      </c>
      <c r="D304" t="s">
        <v>25</v>
      </c>
    </row>
    <row r="305" spans="1:4" x14ac:dyDescent="0.25">
      <c r="A305" t="s">
        <v>331</v>
      </c>
      <c r="B305">
        <v>9.7700431949264685E-2</v>
      </c>
      <c r="C305" t="s">
        <v>11</v>
      </c>
      <c r="D305" t="s">
        <v>36</v>
      </c>
    </row>
    <row r="306" spans="1:4" x14ac:dyDescent="0.25">
      <c r="A306" t="s">
        <v>332</v>
      </c>
      <c r="B306">
        <v>7.8849599245638849E-2</v>
      </c>
      <c r="C306" t="s">
        <v>11</v>
      </c>
      <c r="D306" t="s">
        <v>25</v>
      </c>
    </row>
    <row r="307" spans="1:4" x14ac:dyDescent="0.25">
      <c r="A307" t="s">
        <v>333</v>
      </c>
      <c r="B307">
        <v>0.16754738655944859</v>
      </c>
      <c r="C307" t="s">
        <v>11</v>
      </c>
      <c r="D307" t="s">
        <v>36</v>
      </c>
    </row>
    <row r="308" spans="1:4" x14ac:dyDescent="0.25">
      <c r="A308" t="s">
        <v>334</v>
      </c>
      <c r="B308">
        <v>0.2015852613538989</v>
      </c>
      <c r="C308" t="s">
        <v>11</v>
      </c>
      <c r="D308" t="s">
        <v>25</v>
      </c>
    </row>
    <row r="309" spans="1:4" x14ac:dyDescent="0.25">
      <c r="A309" t="s">
        <v>335</v>
      </c>
      <c r="B309">
        <v>0.24763928234183191</v>
      </c>
      <c r="C309" t="s">
        <v>11</v>
      </c>
      <c r="D309" t="s">
        <v>19</v>
      </c>
    </row>
    <row r="310" spans="1:4" x14ac:dyDescent="0.25">
      <c r="A310" t="s">
        <v>336</v>
      </c>
      <c r="B310">
        <v>0.11114018842096787</v>
      </c>
      <c r="C310" t="s">
        <v>11</v>
      </c>
      <c r="D310" t="s">
        <v>36</v>
      </c>
    </row>
    <row r="311" spans="1:4" x14ac:dyDescent="0.25">
      <c r="A311" t="s">
        <v>337</v>
      </c>
      <c r="B311">
        <v>5.9928644240570844E-2</v>
      </c>
      <c r="C311" t="s">
        <v>11</v>
      </c>
      <c r="D311" t="s">
        <v>25</v>
      </c>
    </row>
    <row r="312" spans="1:4" x14ac:dyDescent="0.25">
      <c r="A312" t="s">
        <v>338</v>
      </c>
      <c r="B312">
        <v>8.3274853801169585E-2</v>
      </c>
      <c r="C312" t="s">
        <v>11</v>
      </c>
      <c r="D312" t="s">
        <v>36</v>
      </c>
    </row>
    <row r="313" spans="1:4" x14ac:dyDescent="0.25">
      <c r="A313" t="s">
        <v>338</v>
      </c>
      <c r="B313">
        <v>8.3274853801169585E-2</v>
      </c>
      <c r="C313" t="s">
        <v>12</v>
      </c>
      <c r="D313" t="s">
        <v>25</v>
      </c>
    </row>
    <row r="314" spans="1:4" x14ac:dyDescent="0.25">
      <c r="A314" t="s">
        <v>338</v>
      </c>
      <c r="B314">
        <v>8.3274853801169585E-2</v>
      </c>
      <c r="C314" t="s">
        <v>13</v>
      </c>
      <c r="D314" t="s">
        <v>20</v>
      </c>
    </row>
    <row r="315" spans="1:4" x14ac:dyDescent="0.25">
      <c r="A315" t="s">
        <v>339</v>
      </c>
      <c r="B315">
        <v>6.3118551273952411E-2</v>
      </c>
      <c r="C315" t="s">
        <v>11</v>
      </c>
      <c r="D315" t="s">
        <v>36</v>
      </c>
    </row>
    <row r="316" spans="1:4" x14ac:dyDescent="0.25">
      <c r="A316" t="s">
        <v>340</v>
      </c>
      <c r="B316">
        <v>0.1071650124069479</v>
      </c>
      <c r="C316" t="s">
        <v>11</v>
      </c>
      <c r="D316" t="s">
        <v>19</v>
      </c>
    </row>
    <row r="317" spans="1:4" x14ac:dyDescent="0.25">
      <c r="A317" t="s">
        <v>341</v>
      </c>
      <c r="B317">
        <v>5.8243321401216137E-2</v>
      </c>
      <c r="C317" t="s">
        <v>11</v>
      </c>
      <c r="D317" t="s">
        <v>19</v>
      </c>
    </row>
    <row r="318" spans="1:4" x14ac:dyDescent="0.25">
      <c r="A318" t="s">
        <v>342</v>
      </c>
      <c r="B318">
        <v>0.11465952405480581</v>
      </c>
      <c r="C318" t="s">
        <v>11</v>
      </c>
      <c r="D318" t="s">
        <v>25</v>
      </c>
    </row>
    <row r="319" spans="1:4" x14ac:dyDescent="0.25">
      <c r="A319" t="s">
        <v>343</v>
      </c>
      <c r="B319">
        <v>0.13517919809886983</v>
      </c>
      <c r="C319" t="s">
        <v>11</v>
      </c>
      <c r="D319" t="s">
        <v>36</v>
      </c>
    </row>
    <row r="320" spans="1:4" x14ac:dyDescent="0.25">
      <c r="A320" t="s">
        <v>344</v>
      </c>
      <c r="B320">
        <v>0.19484607062063539</v>
      </c>
      <c r="C320" t="s">
        <v>11</v>
      </c>
      <c r="D320" t="s">
        <v>19</v>
      </c>
    </row>
    <row r="321" spans="1:4" x14ac:dyDescent="0.25">
      <c r="A321" t="s">
        <v>345</v>
      </c>
      <c r="B321">
        <v>0.30126002290950743</v>
      </c>
      <c r="C321" t="s">
        <v>11</v>
      </c>
      <c r="D321" t="s">
        <v>36</v>
      </c>
    </row>
    <row r="322" spans="1:4" x14ac:dyDescent="0.25">
      <c r="A322" t="s">
        <v>346</v>
      </c>
      <c r="B322">
        <v>6.800325430032543E-2</v>
      </c>
      <c r="C322" t="s">
        <v>11</v>
      </c>
      <c r="D322" t="s">
        <v>19</v>
      </c>
    </row>
    <row r="323" spans="1:4" x14ac:dyDescent="0.25">
      <c r="A323" t="s">
        <v>347</v>
      </c>
      <c r="B323">
        <v>7.3018902217375503E-2</v>
      </c>
      <c r="C323" t="s">
        <v>11</v>
      </c>
      <c r="D323" t="s">
        <v>19</v>
      </c>
    </row>
    <row r="324" spans="1:4" x14ac:dyDescent="0.25">
      <c r="A324" t="s">
        <v>348</v>
      </c>
      <c r="B324">
        <v>8.3921940869371006E-2</v>
      </c>
      <c r="C324" t="s">
        <v>11</v>
      </c>
      <c r="D324" t="s">
        <v>36</v>
      </c>
    </row>
    <row r="325" spans="1:4" x14ac:dyDescent="0.25">
      <c r="A325" t="s">
        <v>349</v>
      </c>
      <c r="B325">
        <v>7.1956537279290869E-2</v>
      </c>
      <c r="C325" t="s">
        <v>11</v>
      </c>
      <c r="D325" t="s">
        <v>36</v>
      </c>
    </row>
    <row r="326" spans="1:4" x14ac:dyDescent="0.25">
      <c r="A326" t="s">
        <v>350</v>
      </c>
      <c r="B326">
        <v>0.12353896103896105</v>
      </c>
      <c r="C326" t="s">
        <v>11</v>
      </c>
      <c r="D326" t="s">
        <v>25</v>
      </c>
    </row>
    <row r="327" spans="1:4" x14ac:dyDescent="0.25">
      <c r="A327" t="s">
        <v>350</v>
      </c>
      <c r="B327">
        <v>0.12353896103896105</v>
      </c>
      <c r="C327" t="s">
        <v>12</v>
      </c>
      <c r="D327" t="s">
        <v>20</v>
      </c>
    </row>
    <row r="328" spans="1:4" x14ac:dyDescent="0.25">
      <c r="A328" t="s">
        <v>351</v>
      </c>
      <c r="B328">
        <v>0.12428384068475185</v>
      </c>
      <c r="C328" t="s">
        <v>11</v>
      </c>
      <c r="D328" t="s">
        <v>36</v>
      </c>
    </row>
    <row r="329" spans="1:4" x14ac:dyDescent="0.25">
      <c r="A329" t="s">
        <v>352</v>
      </c>
      <c r="B329">
        <v>0.18248432325794406</v>
      </c>
      <c r="C329" t="s">
        <v>11</v>
      </c>
      <c r="D329" t="s">
        <v>36</v>
      </c>
    </row>
    <row r="330" spans="1:4" x14ac:dyDescent="0.25">
      <c r="A330" t="s">
        <v>353</v>
      </c>
      <c r="B330">
        <v>0.16540727459016394</v>
      </c>
      <c r="C330" t="s">
        <v>11</v>
      </c>
      <c r="D330" t="s">
        <v>19</v>
      </c>
    </row>
    <row r="331" spans="1:4" x14ac:dyDescent="0.25">
      <c r="A331" t="s">
        <v>353</v>
      </c>
      <c r="B331">
        <v>0.16540727459016394</v>
      </c>
      <c r="C331" t="s">
        <v>12</v>
      </c>
      <c r="D331" t="s">
        <v>25</v>
      </c>
    </row>
    <row r="332" spans="1:4" x14ac:dyDescent="0.25">
      <c r="A332" t="s">
        <v>353</v>
      </c>
      <c r="B332">
        <v>0.16540727459016394</v>
      </c>
      <c r="C332" t="s">
        <v>13</v>
      </c>
      <c r="D332" t="s">
        <v>20</v>
      </c>
    </row>
    <row r="333" spans="1:4" x14ac:dyDescent="0.25">
      <c r="A333" t="s">
        <v>354</v>
      </c>
      <c r="B333">
        <v>5.9387824897400819E-2</v>
      </c>
      <c r="C333" t="s">
        <v>11</v>
      </c>
      <c r="D333" t="s">
        <v>25</v>
      </c>
    </row>
    <row r="334" spans="1:4" x14ac:dyDescent="0.25">
      <c r="A334" t="s">
        <v>354</v>
      </c>
      <c r="B334">
        <v>5.9387824897400819E-2</v>
      </c>
      <c r="C334" t="s">
        <v>12</v>
      </c>
      <c r="D334" t="s">
        <v>198</v>
      </c>
    </row>
    <row r="335" spans="1:4" x14ac:dyDescent="0.25">
      <c r="A335" t="s">
        <v>355</v>
      </c>
      <c r="B335">
        <v>0.24349030470914126</v>
      </c>
      <c r="C335" t="s">
        <v>11</v>
      </c>
      <c r="D335" t="s">
        <v>36</v>
      </c>
    </row>
    <row r="336" spans="1:4" x14ac:dyDescent="0.25">
      <c r="A336" t="s">
        <v>356</v>
      </c>
      <c r="B336">
        <v>5.8563792702765516E-2</v>
      </c>
      <c r="C336" t="s">
        <v>11</v>
      </c>
      <c r="D336" t="s">
        <v>25</v>
      </c>
    </row>
    <row r="337" spans="1:4" x14ac:dyDescent="0.25">
      <c r="A337" t="s">
        <v>357</v>
      </c>
      <c r="B337">
        <v>0.13840458048129492</v>
      </c>
      <c r="C337" t="s">
        <v>11</v>
      </c>
      <c r="D337" t="s">
        <v>19</v>
      </c>
    </row>
    <row r="338" spans="1:4" x14ac:dyDescent="0.25">
      <c r="A338" t="s">
        <v>358</v>
      </c>
      <c r="B338">
        <v>8.3539958039290485E-2</v>
      </c>
      <c r="C338" t="s">
        <v>11</v>
      </c>
      <c r="D338" t="s">
        <v>25</v>
      </c>
    </row>
    <row r="339" spans="1:4" x14ac:dyDescent="0.25">
      <c r="A339" t="s">
        <v>358</v>
      </c>
      <c r="B339">
        <v>8.3539958039290485E-2</v>
      </c>
      <c r="C339" t="s">
        <v>12</v>
      </c>
      <c r="D339" t="s">
        <v>36</v>
      </c>
    </row>
    <row r="340" spans="1:4" x14ac:dyDescent="0.25">
      <c r="A340" t="s">
        <v>358</v>
      </c>
      <c r="B340">
        <v>8.3539958039290485E-2</v>
      </c>
      <c r="C340" t="s">
        <v>13</v>
      </c>
      <c r="D340"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2AB23-96BF-4E5F-A97B-201B96B438D1}">
  <dimension ref="A1:E29"/>
  <sheetViews>
    <sheetView tabSelected="1" workbookViewId="0">
      <selection activeCell="C23" sqref="C23"/>
    </sheetView>
  </sheetViews>
  <sheetFormatPr defaultRowHeight="15" x14ac:dyDescent="0.25"/>
  <cols>
    <col min="1" max="1" width="22" bestFit="1" customWidth="1"/>
    <col min="2" max="2" width="27.42578125" bestFit="1" customWidth="1"/>
    <col min="3" max="3" width="16.42578125" bestFit="1" customWidth="1"/>
    <col min="5" max="5" width="10.7109375" customWidth="1"/>
  </cols>
  <sheetData>
    <row r="1" spans="1:5" x14ac:dyDescent="0.25">
      <c r="A1" s="9" t="s">
        <v>373</v>
      </c>
      <c r="B1" s="9"/>
      <c r="C1" s="9"/>
    </row>
    <row r="2" spans="1:5" x14ac:dyDescent="0.25">
      <c r="A2" s="9"/>
      <c r="B2" s="9"/>
      <c r="C2" s="9"/>
    </row>
    <row r="3" spans="1:5" x14ac:dyDescent="0.25">
      <c r="A3" s="3" t="s">
        <v>360</v>
      </c>
      <c r="B3" t="s">
        <v>363</v>
      </c>
    </row>
    <row r="4" spans="1:5" x14ac:dyDescent="0.25">
      <c r="A4" s="4" t="s">
        <v>20</v>
      </c>
      <c r="B4" s="1">
        <v>15</v>
      </c>
    </row>
    <row r="5" spans="1:5" x14ac:dyDescent="0.25">
      <c r="A5" s="4" t="s">
        <v>26</v>
      </c>
      <c r="B5" s="1">
        <v>7</v>
      </c>
    </row>
    <row r="6" spans="1:5" x14ac:dyDescent="0.25">
      <c r="A6" s="4" t="s">
        <v>36</v>
      </c>
      <c r="B6" s="1">
        <v>102</v>
      </c>
    </row>
    <row r="7" spans="1:5" x14ac:dyDescent="0.25">
      <c r="A7" s="4" t="s">
        <v>19</v>
      </c>
      <c r="B7" s="1">
        <v>103</v>
      </c>
    </row>
    <row r="8" spans="1:5" x14ac:dyDescent="0.25">
      <c r="A8" s="4" t="s">
        <v>198</v>
      </c>
      <c r="B8" s="1">
        <v>5</v>
      </c>
    </row>
    <row r="9" spans="1:5" x14ac:dyDescent="0.25">
      <c r="A9" s="4" t="s">
        <v>25</v>
      </c>
      <c r="B9" s="1">
        <v>107</v>
      </c>
    </row>
    <row r="10" spans="1:5" x14ac:dyDescent="0.25">
      <c r="A10" s="4" t="s">
        <v>361</v>
      </c>
      <c r="B10" s="1">
        <v>339</v>
      </c>
    </row>
    <row r="14" spans="1:5" x14ac:dyDescent="0.25">
      <c r="A14" s="10" t="s">
        <v>372</v>
      </c>
      <c r="B14" s="9"/>
      <c r="C14" s="9"/>
      <c r="D14" s="9"/>
      <c r="E14" s="9"/>
    </row>
    <row r="15" spans="1:5" x14ac:dyDescent="0.25">
      <c r="A15" s="9"/>
      <c r="B15" s="9"/>
      <c r="C15" s="9"/>
      <c r="D15" s="9"/>
      <c r="E15" s="9"/>
    </row>
    <row r="16" spans="1:5" x14ac:dyDescent="0.25">
      <c r="A16" s="9"/>
      <c r="B16" s="9"/>
      <c r="C16" s="9"/>
      <c r="D16" s="9"/>
      <c r="E16" s="9"/>
    </row>
    <row r="22" spans="1:3" x14ac:dyDescent="0.25">
      <c r="A22" s="3" t="s">
        <v>360</v>
      </c>
      <c r="B22" t="s">
        <v>367</v>
      </c>
      <c r="C22" t="s">
        <v>368</v>
      </c>
    </row>
    <row r="23" spans="1:3" x14ac:dyDescent="0.25">
      <c r="A23" s="4" t="s">
        <v>20</v>
      </c>
      <c r="B23" s="8">
        <v>0.11636073778371317</v>
      </c>
      <c r="C23" s="1">
        <v>15</v>
      </c>
    </row>
    <row r="24" spans="1:3" x14ac:dyDescent="0.25">
      <c r="A24" s="4" t="s">
        <v>26</v>
      </c>
      <c r="B24" s="8">
        <v>0.12589594685729985</v>
      </c>
      <c r="C24" s="1">
        <v>7</v>
      </c>
    </row>
    <row r="25" spans="1:3" x14ac:dyDescent="0.25">
      <c r="A25" s="4" t="s">
        <v>36</v>
      </c>
      <c r="B25" s="8">
        <v>0.15386132749296613</v>
      </c>
      <c r="C25" s="1">
        <v>102</v>
      </c>
    </row>
    <row r="26" spans="1:3" x14ac:dyDescent="0.25">
      <c r="A26" s="4" t="s">
        <v>19</v>
      </c>
      <c r="B26" s="8">
        <v>0.14123247081320281</v>
      </c>
      <c r="C26" s="1">
        <v>103</v>
      </c>
    </row>
    <row r="27" spans="1:3" x14ac:dyDescent="0.25">
      <c r="A27" s="4" t="s">
        <v>198</v>
      </c>
      <c r="B27" s="8">
        <v>0.11481753670769271</v>
      </c>
      <c r="C27" s="1">
        <v>5</v>
      </c>
    </row>
    <row r="28" spans="1:3" x14ac:dyDescent="0.25">
      <c r="A28" s="4" t="s">
        <v>25</v>
      </c>
      <c r="B28" s="8">
        <v>0.14515321153500599</v>
      </c>
      <c r="C28" s="1">
        <v>107</v>
      </c>
    </row>
    <row r="29" spans="1:3" x14ac:dyDescent="0.25">
      <c r="A29" s="4" t="s">
        <v>361</v>
      </c>
      <c r="B29" s="8">
        <v>0.14446302038520153</v>
      </c>
      <c r="C29" s="1">
        <v>339</v>
      </c>
    </row>
  </sheetData>
  <mergeCells count="2">
    <mergeCell ref="A1:C2"/>
    <mergeCell ref="A14:E16"/>
  </mergeCells>
  <conditionalFormatting sqref="B22">
    <cfRule type="top10" dxfId="4" priority="3" rank="1"/>
  </conditionalFormatting>
  <conditionalFormatting sqref="B22">
    <cfRule type="top10" dxfId="3" priority="2" rank="2"/>
  </conditionalFormatting>
  <conditionalFormatting pivot="1" sqref="B25">
    <cfRule type="top10" dxfId="2" priority="1" rank="1"/>
  </conditionalFormatting>
  <pageMargins left="0.7" right="0.7" top="0.75" bottom="0.75" header="0.3" footer="0.3"/>
  <pageSetup orientation="portrait" horizontalDpi="4294967293" verticalDpi="0"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BB38-038B-4807-89D4-DD88F42E4DFC}">
  <dimension ref="B1:L35"/>
  <sheetViews>
    <sheetView zoomScale="90" workbookViewId="0">
      <selection activeCell="D14" sqref="D14"/>
    </sheetView>
  </sheetViews>
  <sheetFormatPr defaultRowHeight="15" x14ac:dyDescent="0.25"/>
  <cols>
    <col min="2" max="2" width="16.7109375" customWidth="1"/>
    <col min="3" max="3" width="15.28515625" bestFit="1" customWidth="1"/>
    <col min="4" max="4" width="27" bestFit="1" customWidth="1"/>
    <col min="5" max="5" width="16.28515625" bestFit="1" customWidth="1"/>
  </cols>
  <sheetData>
    <row r="1" spans="2:7" x14ac:dyDescent="0.25">
      <c r="B1" s="11" t="s">
        <v>374</v>
      </c>
      <c r="C1" s="12"/>
      <c r="D1" s="12"/>
      <c r="E1" s="12"/>
      <c r="F1" s="12"/>
      <c r="G1" s="12"/>
    </row>
    <row r="2" spans="2:7" x14ac:dyDescent="0.25">
      <c r="B2" s="12"/>
      <c r="C2" s="12"/>
      <c r="D2" s="12"/>
      <c r="E2" s="12"/>
      <c r="F2" s="12"/>
      <c r="G2" s="12"/>
    </row>
    <row r="3" spans="2:7" x14ac:dyDescent="0.25">
      <c r="B3" s="12"/>
      <c r="C3" s="12"/>
      <c r="D3" s="12"/>
      <c r="E3" s="12"/>
      <c r="F3" s="12"/>
      <c r="G3" s="12"/>
    </row>
    <row r="7" spans="2:7" x14ac:dyDescent="0.25">
      <c r="B7" s="3" t="s">
        <v>360</v>
      </c>
      <c r="C7" t="s">
        <v>369</v>
      </c>
      <c r="D7" t="s">
        <v>370</v>
      </c>
    </row>
    <row r="8" spans="2:7" x14ac:dyDescent="0.25">
      <c r="B8" s="4" t="s">
        <v>40</v>
      </c>
      <c r="C8" s="1"/>
      <c r="D8" s="8"/>
    </row>
    <row r="9" spans="2:7" x14ac:dyDescent="0.25">
      <c r="B9" s="5" t="s">
        <v>41</v>
      </c>
      <c r="C9" s="1">
        <v>14</v>
      </c>
      <c r="D9" s="8">
        <v>0.11820589815604367</v>
      </c>
    </row>
    <row r="10" spans="2:7" x14ac:dyDescent="0.25">
      <c r="B10" s="5" t="s">
        <v>46</v>
      </c>
      <c r="C10" s="1">
        <v>25</v>
      </c>
      <c r="D10" s="8">
        <v>0.11892682975133068</v>
      </c>
    </row>
    <row r="11" spans="2:7" x14ac:dyDescent="0.25">
      <c r="B11" s="5" t="s">
        <v>60</v>
      </c>
      <c r="C11" s="1">
        <v>9</v>
      </c>
      <c r="D11" s="8">
        <v>0.12899653614759149</v>
      </c>
    </row>
    <row r="12" spans="2:7" x14ac:dyDescent="0.25">
      <c r="B12" s="4" t="s">
        <v>33</v>
      </c>
      <c r="C12" s="1"/>
      <c r="D12" s="8"/>
    </row>
    <row r="13" spans="2:7" x14ac:dyDescent="0.25">
      <c r="B13" s="5" t="s">
        <v>41</v>
      </c>
      <c r="C13" s="1">
        <v>17</v>
      </c>
      <c r="D13" s="8">
        <v>0.14439860032256024</v>
      </c>
    </row>
    <row r="14" spans="2:7" x14ac:dyDescent="0.25">
      <c r="B14" s="5" t="s">
        <v>46</v>
      </c>
      <c r="C14" s="1">
        <v>10</v>
      </c>
      <c r="D14" s="8">
        <v>0.14929862484025289</v>
      </c>
    </row>
    <row r="15" spans="2:7" x14ac:dyDescent="0.25">
      <c r="B15" s="5" t="s">
        <v>60</v>
      </c>
      <c r="C15" s="1">
        <v>12</v>
      </c>
      <c r="D15" s="8">
        <v>0.2062396061640541</v>
      </c>
    </row>
    <row r="16" spans="2:7" x14ac:dyDescent="0.25">
      <c r="B16" s="4" t="s">
        <v>16</v>
      </c>
      <c r="C16" s="1"/>
      <c r="D16" s="8"/>
    </row>
    <row r="17" spans="2:4" x14ac:dyDescent="0.25">
      <c r="B17" s="5" t="s">
        <v>41</v>
      </c>
      <c r="C17" s="1">
        <v>17</v>
      </c>
      <c r="D17" s="8">
        <v>0.15972488239914528</v>
      </c>
    </row>
    <row r="18" spans="2:4" x14ac:dyDescent="0.25">
      <c r="B18" s="5" t="s">
        <v>46</v>
      </c>
      <c r="C18" s="1">
        <v>19</v>
      </c>
      <c r="D18" s="8">
        <v>0.14756648191377314</v>
      </c>
    </row>
    <row r="19" spans="2:4" x14ac:dyDescent="0.25">
      <c r="B19" s="5" t="s">
        <v>60</v>
      </c>
      <c r="C19" s="1">
        <v>12</v>
      </c>
      <c r="D19" s="8">
        <v>0.11980876658677887</v>
      </c>
    </row>
    <row r="20" spans="2:4" x14ac:dyDescent="0.25">
      <c r="B20" s="4" t="s">
        <v>29</v>
      </c>
      <c r="C20" s="1"/>
      <c r="D20" s="8"/>
    </row>
    <row r="21" spans="2:4" x14ac:dyDescent="0.25">
      <c r="B21" s="5" t="s">
        <v>41</v>
      </c>
      <c r="C21" s="1">
        <v>11</v>
      </c>
      <c r="D21" s="8">
        <v>0.17416554369953544</v>
      </c>
    </row>
    <row r="22" spans="2:4" x14ac:dyDescent="0.25">
      <c r="B22" s="5" t="s">
        <v>46</v>
      </c>
      <c r="C22" s="1">
        <v>9</v>
      </c>
      <c r="D22" s="8">
        <v>0.15035567844671383</v>
      </c>
    </row>
    <row r="23" spans="2:4" x14ac:dyDescent="0.25">
      <c r="B23" s="5" t="s">
        <v>60</v>
      </c>
      <c r="C23" s="1">
        <v>10</v>
      </c>
      <c r="D23" s="8">
        <v>0.12968338256813225</v>
      </c>
    </row>
    <row r="24" spans="2:4" x14ac:dyDescent="0.25">
      <c r="B24" s="4" t="s">
        <v>361</v>
      </c>
      <c r="C24" s="1">
        <v>165</v>
      </c>
      <c r="D24" s="8">
        <v>0.14384428569537</v>
      </c>
    </row>
    <row r="33" spans="2:12" ht="15" customHeight="1" x14ac:dyDescent="0.25">
      <c r="B33" s="13" t="s">
        <v>375</v>
      </c>
      <c r="C33" s="14"/>
      <c r="D33" s="14"/>
      <c r="E33" s="14"/>
      <c r="L33" t="s">
        <v>371</v>
      </c>
    </row>
    <row r="34" spans="2:12" x14ac:dyDescent="0.25">
      <c r="B34" s="14"/>
      <c r="C34" s="14"/>
      <c r="D34" s="14"/>
      <c r="E34" s="14"/>
    </row>
    <row r="35" spans="2:12" x14ac:dyDescent="0.25">
      <c r="B35" s="14"/>
      <c r="C35" s="14"/>
      <c r="D35" s="14"/>
      <c r="E35" s="14"/>
    </row>
  </sheetData>
  <mergeCells count="2">
    <mergeCell ref="B1:G3"/>
    <mergeCell ref="B33:E35"/>
  </mergeCells>
  <conditionalFormatting sqref="C7">
    <cfRule type="top10" dxfId="1" priority="3" rank="5"/>
  </conditionalFormatting>
  <conditionalFormatting sqref="D7">
    <cfRule type="top10" dxfId="0" priority="2" rank="5"/>
  </conditionalFormatting>
  <conditionalFormatting pivot="1" sqref="C9:D11 C13:D15 C17:D19 C21:D23">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ACF458-90F6-445D-9701-0BA6348E48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posts Dataset </vt:lpstr>
      <vt:lpstr>TASK 4 sheet </vt:lpstr>
      <vt:lpstr>TASK 4(  Q 1, 2)</vt:lpstr>
      <vt:lpstr>TASK 4 (`Q3,4)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Srivallika Dagdhar</dc:creator>
  <cp:lastModifiedBy>Srivallika Dagdhar</cp:lastModifiedBy>
  <dcterms:created xsi:type="dcterms:W3CDTF">2025-10-07T10:12:52Z</dcterms:created>
  <dcterms:modified xsi:type="dcterms:W3CDTF">2025-10-10T11:53:30Z</dcterms:modified>
</cp:coreProperties>
</file>