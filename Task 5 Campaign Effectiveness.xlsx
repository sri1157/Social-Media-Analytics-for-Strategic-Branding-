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updateLinks="always" hidePivotFieldList="1" defaultThemeVersion="166925"/>
  <mc:AlternateContent xmlns:mc="http://schemas.openxmlformats.org/markup-compatibility/2006">
    <mc:Choice Requires="x15">
      <x15ac:absPath xmlns:x15ac="http://schemas.microsoft.com/office/spreadsheetml/2010/11/ac" url="C:\Users\Digi\Desktop\Tesla Social Media Analytics for Strategic Branding  Project\"/>
    </mc:Choice>
  </mc:AlternateContent>
  <xr:revisionPtr revIDLastSave="0" documentId="13_ncr:1_{3C793C8A-3F40-42CD-A0F9-8491C86063ED}" xr6:coauthVersionLast="47" xr6:coauthVersionMax="47" xr10:uidLastSave="{00000000-0000-0000-0000-000000000000}"/>
  <bookViews>
    <workbookView xWindow="-120" yWindow="-120" windowWidth="20730" windowHeight="11040" activeTab="3" xr2:uid="{5BEE4497-6EBA-4A6A-9941-EA45D6C1BFF2}"/>
  </bookViews>
  <sheets>
    <sheet name="Posts " sheetId="1" r:id="rId1"/>
    <sheet name="Engagement Summary Dataset " sheetId="2" r:id="rId2"/>
    <sheet name="Campaign Metadata Dataset " sheetId="3" r:id="rId3"/>
    <sheet name="TASK 5( Q 1(a,b) )" sheetId="4" r:id="rId4"/>
    <sheet name="TASK 5(Q2 (a))" sheetId="8" r:id="rId5"/>
    <sheet name="TASK5(Q2(b))" sheetId="7" r:id="rId6"/>
  </sheets>
  <definedNames>
    <definedName name="_xlnm._FilterDatabase" localSheetId="4" hidden="1">'TASK 5(Q2 (a))'!$AA$5:$AA$306</definedName>
    <definedName name="_xlcn.WorksheetConnection_postsDatasetPP1" hidden="1">'Posts '!$P:$P</definedName>
    <definedName name="_xlcn.WorksheetConnection_Task2EngagementAnalysis.xlsxPosts_Cleaned1" hidden="1">Posts_Cleaned[]</definedName>
    <definedName name="ExternalData_1" localSheetId="2" hidden="1">'Campaign Metadata Dataset '!$A$1:$G$1000</definedName>
    <definedName name="ExternalData_1" localSheetId="1" hidden="1">'Engagement Summary Dataset '!$A$1:$G$1000</definedName>
    <definedName name="ExternalData_1" localSheetId="0" hidden="1">'Posts '!$A$1:$O$302</definedName>
    <definedName name="Slicer_Campaign_Name">#N/A</definedName>
    <definedName name="Slicer_Campaign_Name1">#N/A</definedName>
    <definedName name="Slicer_Campaign_Name2">#N/A</definedName>
    <definedName name="Slicer_Platform">#N/A</definedName>
  </definedNames>
  <calcPr calcId="191029"/>
  <pivotCaches>
    <pivotCache cacheId="11" r:id="rId7"/>
    <pivotCache cacheId="12" r:id="rId8"/>
    <pivotCache cacheId="13" r:id="rId9"/>
    <pivotCache cacheId="14" r:id="rId10"/>
  </pivotCaches>
  <extLst>
    <ext xmlns:x14="http://schemas.microsoft.com/office/spreadsheetml/2009/9/main" uri="{876F7934-8845-4945-9796-88D515C7AA90}">
      <x14:pivotCaches>
        <pivotCache cacheId="15"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_Cleaned  3_93b175da-a5c8-4eea-af6f-7f37cfcdda8f" name="Posts_Cleaned  3" connection="Query - Posts_Cleaned (3)"/>
          <x15:modelTable id="Campaign Metadata  3_7dee433d-ae51-4ba2-91e0-f8cea7aad537" name="Campaign Metadata  3" connection="Query - Campaign Metadata (3)"/>
          <x15:modelTable id="Posts_Cleaned" name="Posts_Cleaned" connection="WorksheetConnection_Task 2 Engagement Analysis.xlsx!Posts_Cleaned"/>
          <x15:modelTable id="Range" name="Range" connection="WorksheetConnection_posts Dataset !$P:$P"/>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 i="7" l="1"/>
  <c r="E9" i="7"/>
  <c r="Y3" i="1"/>
  <c r="W2" i="1"/>
  <c r="V2" i="1"/>
  <c r="U2" i="1"/>
  <c r="T2" i="1"/>
  <c r="S2" i="1"/>
  <c r="R2" i="1"/>
  <c r="C6" i="8"/>
  <c r="D6" i="8" s="1"/>
  <c r="E11" i="7"/>
  <c r="Y2" i="1"/>
  <c r="Z2" i="1" s="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E16" i="7"/>
  <c r="E14" i="7"/>
  <c r="E15" i="7"/>
  <c r="E13" i="7"/>
  <c r="E12" i="7"/>
  <c r="X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C9" i="8" l="1"/>
  <c r="D9" i="8" s="1"/>
  <c r="C8" i="8"/>
  <c r="D8" i="8" s="1"/>
  <c r="C7" i="8"/>
  <c r="D7" i="8" s="1"/>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Z3" i="1"/>
  <c r="Z4" i="1"/>
  <c r="Z5" i="1"/>
  <c r="Z6" i="1"/>
  <c r="Z7" i="1"/>
  <c r="Z8" i="1"/>
  <c r="Z9" i="1"/>
  <c r="Z10" i="1"/>
  <c r="Z11" i="1"/>
  <c r="Z12" i="1"/>
  <c r="Z13" i="1"/>
  <c r="Z14" i="1"/>
  <c r="Z16" i="1"/>
  <c r="Z17" i="1"/>
  <c r="Z18" i="1"/>
  <c r="Z19" i="1"/>
  <c r="Z20" i="1"/>
  <c r="Z21" i="1"/>
  <c r="Z22" i="1"/>
  <c r="Z23" i="1"/>
  <c r="Z24" i="1"/>
  <c r="Z25" i="1"/>
  <c r="Z27" i="1"/>
  <c r="Z28" i="1"/>
  <c r="Z29" i="1"/>
  <c r="Z30" i="1"/>
  <c r="Z32" i="1"/>
  <c r="Z33" i="1"/>
  <c r="Z34" i="1"/>
  <c r="Z35" i="1"/>
  <c r="Z36" i="1"/>
  <c r="Z37" i="1"/>
  <c r="Z38" i="1"/>
  <c r="Z39" i="1"/>
  <c r="Z41" i="1"/>
  <c r="Z42" i="1"/>
  <c r="Z44" i="1"/>
  <c r="Z46" i="1"/>
  <c r="Z47" i="1"/>
  <c r="Z50" i="1"/>
  <c r="Z51" i="1"/>
  <c r="Z52" i="1"/>
  <c r="Z53" i="1"/>
  <c r="Z55" i="1"/>
  <c r="Z56" i="1"/>
  <c r="Z57" i="1"/>
  <c r="Z58" i="1"/>
  <c r="Z59" i="1"/>
  <c r="Z61" i="1"/>
  <c r="Z62" i="1"/>
  <c r="Z63" i="1"/>
  <c r="Z64" i="1"/>
  <c r="Z65" i="1"/>
  <c r="Z67" i="1"/>
  <c r="Z68" i="1"/>
  <c r="Z70" i="1"/>
  <c r="Z72" i="1"/>
  <c r="Z73" i="1"/>
  <c r="Z74" i="1"/>
  <c r="Z75" i="1"/>
  <c r="Z76" i="1"/>
  <c r="Z77" i="1"/>
  <c r="Z79" i="1"/>
  <c r="Z80" i="1"/>
  <c r="Z82" i="1"/>
  <c r="Z83" i="1"/>
  <c r="Z85" i="1"/>
  <c r="Z86" i="1"/>
  <c r="Z87" i="1"/>
  <c r="Z88" i="1"/>
  <c r="Z89" i="1"/>
  <c r="Z91" i="1"/>
  <c r="Z92" i="1"/>
  <c r="Z93" i="1"/>
  <c r="Z94" i="1"/>
  <c r="Z95" i="1"/>
  <c r="Z96" i="1"/>
  <c r="Z98" i="1"/>
  <c r="Z99" i="1"/>
  <c r="Z100" i="1"/>
  <c r="Z102" i="1"/>
  <c r="Z103" i="1"/>
  <c r="Z104" i="1"/>
  <c r="Z105" i="1"/>
  <c r="Z106" i="1"/>
  <c r="Z107" i="1"/>
  <c r="Z109" i="1"/>
  <c r="Z110" i="1"/>
  <c r="Z111" i="1"/>
  <c r="Z112" i="1"/>
  <c r="Z113" i="1"/>
  <c r="Z114" i="1"/>
  <c r="Z115" i="1"/>
  <c r="Z116" i="1"/>
  <c r="Z118" i="1"/>
  <c r="Z119" i="1"/>
  <c r="Z121" i="1"/>
  <c r="Z123" i="1"/>
  <c r="Z124" i="1"/>
  <c r="Z125" i="1"/>
  <c r="Z126" i="1"/>
  <c r="Z128" i="1"/>
  <c r="Z131" i="1"/>
  <c r="Z132" i="1"/>
  <c r="Z133" i="1"/>
  <c r="Z134" i="1"/>
  <c r="Z135" i="1"/>
  <c r="Z136" i="1"/>
  <c r="Z137" i="1"/>
  <c r="Z139" i="1"/>
  <c r="Z140" i="1"/>
  <c r="Z141" i="1"/>
  <c r="Z143" i="1"/>
  <c r="Z144" i="1"/>
  <c r="Z145" i="1"/>
  <c r="Z146" i="1"/>
  <c r="Z148" i="1"/>
  <c r="Z149" i="1"/>
  <c r="Z150" i="1"/>
  <c r="Z151" i="1"/>
  <c r="Z152" i="1"/>
  <c r="Z153" i="1"/>
  <c r="Z154" i="1"/>
  <c r="Z155" i="1"/>
  <c r="Z156" i="1"/>
  <c r="Z157" i="1"/>
  <c r="Z158" i="1"/>
  <c r="Z159" i="1"/>
  <c r="Z160" i="1"/>
  <c r="Z162" i="1"/>
  <c r="Z164" i="1"/>
  <c r="Z165" i="1"/>
  <c r="Z166" i="1"/>
  <c r="Z167" i="1"/>
  <c r="Z169" i="1"/>
  <c r="Z170" i="1"/>
  <c r="Z171" i="1"/>
  <c r="Z172" i="1"/>
  <c r="Z173" i="1"/>
  <c r="Z174" i="1"/>
  <c r="Z176" i="1"/>
  <c r="Z177" i="1"/>
  <c r="Z178" i="1"/>
  <c r="Z179" i="1"/>
  <c r="Z181" i="1"/>
  <c r="Z182" i="1"/>
  <c r="Z183" i="1"/>
  <c r="Z184" i="1"/>
  <c r="Z185" i="1"/>
  <c r="Z187" i="1"/>
  <c r="Z188" i="1"/>
  <c r="Z189" i="1"/>
  <c r="Z190" i="1"/>
  <c r="Z192" i="1"/>
  <c r="Z194" i="1"/>
  <c r="Z195" i="1"/>
  <c r="Z196" i="1"/>
  <c r="Z197" i="1"/>
  <c r="Z198" i="1"/>
  <c r="Z199" i="1"/>
  <c r="Z200" i="1"/>
  <c r="Z201" i="1"/>
  <c r="Z202" i="1"/>
  <c r="Z203" i="1"/>
  <c r="Z204" i="1"/>
  <c r="Z205" i="1"/>
  <c r="Z206" i="1"/>
  <c r="Z207" i="1"/>
  <c r="Z208" i="1"/>
  <c r="Z209" i="1"/>
  <c r="Z210" i="1"/>
  <c r="Z211" i="1"/>
  <c r="Z212" i="1"/>
  <c r="Z213" i="1"/>
  <c r="Z214" i="1"/>
  <c r="Z215" i="1"/>
  <c r="Z216" i="1"/>
  <c r="Z217" i="1"/>
  <c r="Z219" i="1"/>
  <c r="Z220" i="1"/>
  <c r="Z223" i="1"/>
  <c r="Z225" i="1"/>
  <c r="Z228" i="1"/>
  <c r="Z229" i="1"/>
  <c r="Z231" i="1"/>
  <c r="Z232" i="1"/>
  <c r="Z233" i="1"/>
  <c r="Z234" i="1"/>
  <c r="Z236" i="1"/>
  <c r="Z237" i="1"/>
  <c r="Z238" i="1"/>
  <c r="Z239" i="1"/>
  <c r="Z241" i="1"/>
  <c r="Z242" i="1"/>
  <c r="Z243" i="1"/>
  <c r="Z244" i="1"/>
  <c r="Z245" i="1"/>
  <c r="Z246" i="1"/>
  <c r="Z247" i="1"/>
  <c r="Z250" i="1"/>
  <c r="Z253" i="1"/>
  <c r="Z255" i="1"/>
  <c r="Z256" i="1"/>
  <c r="Z257" i="1"/>
  <c r="Z258" i="1"/>
  <c r="Z259" i="1"/>
  <c r="Z260" i="1"/>
  <c r="Z261" i="1"/>
  <c r="Z262" i="1"/>
  <c r="Z264" i="1"/>
  <c r="Z265" i="1"/>
  <c r="Z266" i="1"/>
  <c r="Z267" i="1"/>
  <c r="Z269" i="1"/>
  <c r="Z270" i="1"/>
  <c r="Z271" i="1"/>
  <c r="Z272" i="1"/>
  <c r="Z273" i="1"/>
  <c r="Z274" i="1"/>
  <c r="Z275" i="1"/>
  <c r="Z276" i="1"/>
  <c r="Z277" i="1"/>
  <c r="Z278" i="1"/>
  <c r="Z279" i="1"/>
  <c r="Z280" i="1"/>
  <c r="Z281" i="1"/>
  <c r="Z282" i="1"/>
  <c r="Z283" i="1"/>
  <c r="Z284" i="1"/>
  <c r="Z285" i="1"/>
  <c r="Z287" i="1"/>
  <c r="Z288" i="1"/>
  <c r="Z289" i="1"/>
  <c r="Z291" i="1"/>
  <c r="Z292" i="1"/>
  <c r="Z294" i="1"/>
  <c r="Z295" i="1"/>
  <c r="Z296" i="1"/>
  <c r="Z297" i="1"/>
  <c r="Z298" i="1"/>
  <c r="Z299" i="1"/>
  <c r="Z300" i="1"/>
  <c r="Z301" i="1"/>
  <c r="T302" i="1"/>
  <c r="Q177"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T301" i="1" l="1"/>
  <c r="T293" i="1"/>
  <c r="T285" i="1"/>
  <c r="T277" i="1"/>
  <c r="T269" i="1"/>
  <c r="T261" i="1"/>
  <c r="T253" i="1"/>
  <c r="T245" i="1"/>
  <c r="T237" i="1"/>
  <c r="T229" i="1"/>
  <c r="T221" i="1"/>
  <c r="T213" i="1"/>
  <c r="T205" i="1"/>
  <c r="T197" i="1"/>
  <c r="T189" i="1"/>
  <c r="T181" i="1"/>
  <c r="T173" i="1"/>
  <c r="T165" i="1"/>
  <c r="T157" i="1"/>
  <c r="T149" i="1"/>
  <c r="T141" i="1"/>
  <c r="T133" i="1"/>
  <c r="T125" i="1"/>
  <c r="T117" i="1"/>
  <c r="T109" i="1"/>
  <c r="T101" i="1"/>
  <c r="T93" i="1"/>
  <c r="T85" i="1"/>
  <c r="T77" i="1"/>
  <c r="T69" i="1"/>
  <c r="T61" i="1"/>
  <c r="T53" i="1"/>
  <c r="T45" i="1"/>
  <c r="T37" i="1"/>
  <c r="T29" i="1"/>
  <c r="T21" i="1"/>
  <c r="T13" i="1"/>
  <c r="T5" i="1"/>
  <c r="T300" i="1"/>
  <c r="T292" i="1"/>
  <c r="T284" i="1"/>
  <c r="T276" i="1"/>
  <c r="T268" i="1"/>
  <c r="T260" i="1"/>
  <c r="T252" i="1"/>
  <c r="T244" i="1"/>
  <c r="T236" i="1"/>
  <c r="T228" i="1"/>
  <c r="T220" i="1"/>
  <c r="T212" i="1"/>
  <c r="T204" i="1"/>
  <c r="T196" i="1"/>
  <c r="T188" i="1"/>
  <c r="T180" i="1"/>
  <c r="T172" i="1"/>
  <c r="T164" i="1"/>
  <c r="T156" i="1"/>
  <c r="T148" i="1"/>
  <c r="T140" i="1"/>
  <c r="T132" i="1"/>
  <c r="T124" i="1"/>
  <c r="T116" i="1"/>
  <c r="T108" i="1"/>
  <c r="T100" i="1"/>
  <c r="T92" i="1"/>
  <c r="T84" i="1"/>
  <c r="T76" i="1"/>
  <c r="T68" i="1"/>
  <c r="T60" i="1"/>
  <c r="T52" i="1"/>
  <c r="T44" i="1"/>
  <c r="T36" i="1"/>
  <c r="T28" i="1"/>
  <c r="T20" i="1"/>
  <c r="T12" i="1"/>
  <c r="T4" i="1"/>
  <c r="T294" i="1"/>
  <c r="T286" i="1"/>
  <c r="T278" i="1"/>
  <c r="T270" i="1"/>
  <c r="T262" i="1"/>
  <c r="T254" i="1"/>
  <c r="T246" i="1"/>
  <c r="T238" i="1"/>
  <c r="T230" i="1"/>
  <c r="T222" i="1"/>
  <c r="T214" i="1"/>
  <c r="T206" i="1"/>
  <c r="T198" i="1"/>
  <c r="T190" i="1"/>
  <c r="T182" i="1"/>
  <c r="T174" i="1"/>
  <c r="T166" i="1"/>
  <c r="T158" i="1"/>
  <c r="T150" i="1"/>
  <c r="T142" i="1"/>
  <c r="T134" i="1"/>
  <c r="T126" i="1"/>
  <c r="T118" i="1"/>
  <c r="T110" i="1"/>
  <c r="T102" i="1"/>
  <c r="T94" i="1"/>
  <c r="T86" i="1"/>
  <c r="T78" i="1"/>
  <c r="T70" i="1"/>
  <c r="T62" i="1"/>
  <c r="T54" i="1"/>
  <c r="T46" i="1"/>
  <c r="T38" i="1"/>
  <c r="T30" i="1"/>
  <c r="T22" i="1"/>
  <c r="T14" i="1"/>
  <c r="T6" i="1"/>
  <c r="T299" i="1"/>
  <c r="T291" i="1"/>
  <c r="T283" i="1"/>
  <c r="T275" i="1"/>
  <c r="T267" i="1"/>
  <c r="T259" i="1"/>
  <c r="T251" i="1"/>
  <c r="T243" i="1"/>
  <c r="T235" i="1"/>
  <c r="T227" i="1"/>
  <c r="T219" i="1"/>
  <c r="T211" i="1"/>
  <c r="T203" i="1"/>
  <c r="T195" i="1"/>
  <c r="T187" i="1"/>
  <c r="T179" i="1"/>
  <c r="T171" i="1"/>
  <c r="T163" i="1"/>
  <c r="T155" i="1"/>
  <c r="T147" i="1"/>
  <c r="T139" i="1"/>
  <c r="T131" i="1"/>
  <c r="T123" i="1"/>
  <c r="T115" i="1"/>
  <c r="T107" i="1"/>
  <c r="T99" i="1"/>
  <c r="T91" i="1"/>
  <c r="T83" i="1"/>
  <c r="T75" i="1"/>
  <c r="T67" i="1"/>
  <c r="T59" i="1"/>
  <c r="T51" i="1"/>
  <c r="T43" i="1"/>
  <c r="T35" i="1"/>
  <c r="T27" i="1"/>
  <c r="T19" i="1"/>
  <c r="T11" i="1"/>
  <c r="T3" i="1"/>
  <c r="V299" i="1" s="1"/>
  <c r="T298" i="1"/>
  <c r="T290" i="1"/>
  <c r="T282" i="1"/>
  <c r="T274" i="1"/>
  <c r="T266" i="1"/>
  <c r="T258" i="1"/>
  <c r="T250" i="1"/>
  <c r="T242" i="1"/>
  <c r="T234" i="1"/>
  <c r="T226" i="1"/>
  <c r="T218" i="1"/>
  <c r="T210" i="1"/>
  <c r="T202" i="1"/>
  <c r="T194" i="1"/>
  <c r="T186" i="1"/>
  <c r="T178" i="1"/>
  <c r="T170" i="1"/>
  <c r="T162" i="1"/>
  <c r="T154" i="1"/>
  <c r="T146" i="1"/>
  <c r="T138" i="1"/>
  <c r="T130" i="1"/>
  <c r="T122" i="1"/>
  <c r="T114" i="1"/>
  <c r="T106" i="1"/>
  <c r="T98" i="1"/>
  <c r="T90" i="1"/>
  <c r="T82" i="1"/>
  <c r="T74" i="1"/>
  <c r="T66" i="1"/>
  <c r="T58" i="1"/>
  <c r="T50" i="1"/>
  <c r="T42" i="1"/>
  <c r="T34" i="1"/>
  <c r="T26" i="1"/>
  <c r="T18" i="1"/>
  <c r="T10" i="1"/>
  <c r="V301" i="1"/>
  <c r="T297" i="1"/>
  <c r="T289" i="1"/>
  <c r="T281" i="1"/>
  <c r="T273" i="1"/>
  <c r="T265" i="1"/>
  <c r="T257" i="1"/>
  <c r="T249" i="1"/>
  <c r="T241" i="1"/>
  <c r="T233" i="1"/>
  <c r="T225" i="1"/>
  <c r="T217" i="1"/>
  <c r="T209" i="1"/>
  <c r="T201" i="1"/>
  <c r="T193" i="1"/>
  <c r="T185" i="1"/>
  <c r="T177" i="1"/>
  <c r="T169" i="1"/>
  <c r="T161" i="1"/>
  <c r="T153" i="1"/>
  <c r="T145" i="1"/>
  <c r="T137" i="1"/>
  <c r="T129" i="1"/>
  <c r="T121" i="1"/>
  <c r="T113" i="1"/>
  <c r="T105" i="1"/>
  <c r="T97" i="1"/>
  <c r="T89" i="1"/>
  <c r="T81" i="1"/>
  <c r="T73" i="1"/>
  <c r="T65" i="1"/>
  <c r="T57" i="1"/>
  <c r="T49" i="1"/>
  <c r="T41" i="1"/>
  <c r="T33" i="1"/>
  <c r="T25" i="1"/>
  <c r="T17" i="1"/>
  <c r="T9" i="1"/>
  <c r="T296" i="1"/>
  <c r="T288" i="1"/>
  <c r="T280" i="1"/>
  <c r="T272" i="1"/>
  <c r="T264" i="1"/>
  <c r="T256" i="1"/>
  <c r="T248" i="1"/>
  <c r="T240" i="1"/>
  <c r="T232" i="1"/>
  <c r="T224" i="1"/>
  <c r="T216" i="1"/>
  <c r="T208" i="1"/>
  <c r="T200" i="1"/>
  <c r="T192" i="1"/>
  <c r="T184" i="1"/>
  <c r="T176" i="1"/>
  <c r="T168" i="1"/>
  <c r="T160" i="1"/>
  <c r="T152" i="1"/>
  <c r="T144" i="1"/>
  <c r="T136" i="1"/>
  <c r="T128" i="1"/>
  <c r="T120" i="1"/>
  <c r="T112" i="1"/>
  <c r="T104" i="1"/>
  <c r="T96" i="1"/>
  <c r="T88" i="1"/>
  <c r="T80" i="1"/>
  <c r="T72" i="1"/>
  <c r="T64" i="1"/>
  <c r="T56" i="1"/>
  <c r="T48" i="1"/>
  <c r="T40" i="1"/>
  <c r="T32" i="1"/>
  <c r="T24" i="1"/>
  <c r="T16" i="1"/>
  <c r="T8" i="1"/>
  <c r="T295" i="1"/>
  <c r="T287" i="1"/>
  <c r="T279" i="1"/>
  <c r="T271" i="1"/>
  <c r="T263" i="1"/>
  <c r="T255" i="1"/>
  <c r="T247" i="1"/>
  <c r="T239" i="1"/>
  <c r="T231" i="1"/>
  <c r="T223" i="1"/>
  <c r="T215" i="1"/>
  <c r="T207" i="1"/>
  <c r="T199" i="1"/>
  <c r="T191" i="1"/>
  <c r="T183" i="1"/>
  <c r="T175" i="1"/>
  <c r="T167" i="1"/>
  <c r="T159" i="1"/>
  <c r="T151" i="1"/>
  <c r="T143" i="1"/>
  <c r="T135" i="1"/>
  <c r="T127" i="1"/>
  <c r="T119" i="1"/>
  <c r="T111" i="1"/>
  <c r="T103" i="1"/>
  <c r="T95" i="1"/>
  <c r="T87" i="1"/>
  <c r="T79" i="1"/>
  <c r="T71" i="1"/>
  <c r="T63" i="1"/>
  <c r="T55" i="1"/>
  <c r="T47" i="1"/>
  <c r="T39" i="1"/>
  <c r="T31" i="1"/>
  <c r="T23" i="1"/>
  <c r="T15" i="1"/>
  <c r="T7" i="1"/>
  <c r="V300" i="1" l="1"/>
  <c r="V298" i="1"/>
  <c r="V297" i="1"/>
  <c r="W105" i="1"/>
  <c r="W26" i="1"/>
  <c r="V118" i="1"/>
  <c r="V100" i="1"/>
  <c r="W269" i="1"/>
  <c r="V214" i="1"/>
  <c r="W272" i="1"/>
  <c r="V291" i="1"/>
  <c r="W235" i="1"/>
  <c r="V239" i="1"/>
  <c r="V83" i="1"/>
  <c r="V153" i="1"/>
  <c r="W5" i="1"/>
  <c r="V127" i="1"/>
  <c r="V107" i="1"/>
  <c r="W124" i="1"/>
  <c r="W183" i="1"/>
  <c r="V48" i="1"/>
  <c r="W91" i="1"/>
  <c r="V197" i="1"/>
  <c r="V144" i="1"/>
  <c r="V162" i="1"/>
  <c r="W297" i="1"/>
  <c r="W230" i="1"/>
  <c r="W210" i="1"/>
  <c r="V41" i="1"/>
  <c r="W141" i="1"/>
  <c r="V39" i="1"/>
  <c r="W144" i="1"/>
  <c r="V204" i="1"/>
  <c r="V257" i="1"/>
  <c r="W16" i="1"/>
  <c r="V109" i="1"/>
  <c r="V50" i="1"/>
  <c r="W55" i="1"/>
  <c r="V14" i="1"/>
  <c r="V256" i="1"/>
  <c r="V250" i="1"/>
  <c r="W233" i="1"/>
  <c r="W102" i="1"/>
  <c r="W137" i="1"/>
  <c r="V235" i="1"/>
  <c r="W172" i="1"/>
  <c r="W69" i="1"/>
  <c r="V220" i="1"/>
  <c r="V221" i="1"/>
  <c r="V47" i="1"/>
  <c r="V152" i="1"/>
  <c r="V264" i="1"/>
  <c r="V170" i="1"/>
  <c r="V147" i="1"/>
  <c r="W225" i="1"/>
  <c r="W136" i="1"/>
  <c r="W175" i="1"/>
  <c r="W94" i="1"/>
  <c r="W261" i="1"/>
  <c r="W116" i="1"/>
  <c r="W227" i="1"/>
  <c r="W18" i="1"/>
  <c r="V29" i="1"/>
  <c r="V142" i="1"/>
  <c r="V55" i="1"/>
  <c r="V176" i="1"/>
  <c r="V272" i="1"/>
  <c r="V82" i="1"/>
  <c r="V211" i="1"/>
  <c r="V179" i="1"/>
  <c r="W185" i="1"/>
  <c r="W57" i="1"/>
  <c r="W224" i="1"/>
  <c r="W96" i="1"/>
  <c r="W263" i="1"/>
  <c r="W135" i="1"/>
  <c r="W7" i="1"/>
  <c r="W182" i="1"/>
  <c r="W54" i="1"/>
  <c r="W221" i="1"/>
  <c r="W93" i="1"/>
  <c r="W252" i="1"/>
  <c r="W68" i="1"/>
  <c r="W219" i="1"/>
  <c r="W35" i="1"/>
  <c r="W154" i="1"/>
  <c r="W10" i="1"/>
  <c r="W34" i="1"/>
  <c r="V36" i="1"/>
  <c r="V140" i="1"/>
  <c r="V236" i="1"/>
  <c r="V45" i="1"/>
  <c r="V133" i="1"/>
  <c r="V245" i="1"/>
  <c r="V54" i="1"/>
  <c r="V150" i="1"/>
  <c r="V262" i="1"/>
  <c r="V63" i="1"/>
  <c r="V175" i="1"/>
  <c r="V279" i="1"/>
  <c r="V80" i="1"/>
  <c r="V192" i="1"/>
  <c r="V280" i="1"/>
  <c r="V89" i="1"/>
  <c r="V193" i="1"/>
  <c r="V289" i="1"/>
  <c r="V98" i="1"/>
  <c r="V186" i="1"/>
  <c r="V91" i="1"/>
  <c r="V243" i="1"/>
  <c r="W177" i="1"/>
  <c r="W49" i="1"/>
  <c r="W216" i="1"/>
  <c r="W88" i="1"/>
  <c r="W255" i="1"/>
  <c r="W127" i="1"/>
  <c r="W174" i="1"/>
  <c r="W46" i="1"/>
  <c r="W213" i="1"/>
  <c r="W85" i="1"/>
  <c r="W244" i="1"/>
  <c r="W60" i="1"/>
  <c r="W171" i="1"/>
  <c r="W27" i="1"/>
  <c r="W146" i="1"/>
  <c r="V12" i="1"/>
  <c r="V5" i="1"/>
  <c r="V222" i="1"/>
  <c r="V58" i="1"/>
  <c r="W8" i="1"/>
  <c r="V228" i="1"/>
  <c r="V246" i="1"/>
  <c r="V178" i="1"/>
  <c r="V244" i="1"/>
  <c r="V158" i="1"/>
  <c r="V183" i="1"/>
  <c r="V209" i="1"/>
  <c r="V59" i="1"/>
  <c r="W169" i="1"/>
  <c r="W80" i="1"/>
  <c r="W166" i="1"/>
  <c r="W138" i="1"/>
  <c r="V108" i="1"/>
  <c r="V134" i="1"/>
  <c r="V64" i="1"/>
  <c r="V65" i="1"/>
  <c r="V131" i="1"/>
  <c r="V116" i="1"/>
  <c r="V237" i="1"/>
  <c r="V167" i="1"/>
  <c r="V81" i="1"/>
  <c r="V290" i="1"/>
  <c r="V88" i="1"/>
  <c r="V106" i="1"/>
  <c r="V210" i="1"/>
  <c r="V11" i="1"/>
  <c r="V219" i="1"/>
  <c r="W41" i="1"/>
  <c r="W208" i="1"/>
  <c r="W247" i="1"/>
  <c r="W119" i="1"/>
  <c r="W294" i="1"/>
  <c r="W38" i="1"/>
  <c r="W205" i="1"/>
  <c r="W77" i="1"/>
  <c r="W196" i="1"/>
  <c r="W52" i="1"/>
  <c r="W163" i="1"/>
  <c r="W282" i="1"/>
  <c r="V52" i="1"/>
  <c r="V164" i="1"/>
  <c r="V268" i="1"/>
  <c r="V61" i="1"/>
  <c r="V173" i="1"/>
  <c r="V261" i="1"/>
  <c r="V78" i="1"/>
  <c r="V182" i="1"/>
  <c r="V278" i="1"/>
  <c r="V103" i="1"/>
  <c r="V191" i="1"/>
  <c r="V8" i="1"/>
  <c r="V112" i="1"/>
  <c r="V208" i="1"/>
  <c r="V17" i="1"/>
  <c r="V105" i="1"/>
  <c r="V217" i="1"/>
  <c r="V18" i="1"/>
  <c r="V114" i="1"/>
  <c r="V226" i="1"/>
  <c r="V75" i="1"/>
  <c r="V283" i="1"/>
  <c r="V251" i="1"/>
  <c r="W289" i="1"/>
  <c r="W161" i="1"/>
  <c r="W33" i="1"/>
  <c r="W200" i="1"/>
  <c r="W72" i="1"/>
  <c r="W239" i="1"/>
  <c r="W111" i="1"/>
  <c r="W286" i="1"/>
  <c r="W158" i="1"/>
  <c r="W30" i="1"/>
  <c r="W197" i="1"/>
  <c r="W29" i="1"/>
  <c r="W188" i="1"/>
  <c r="W4" i="1"/>
  <c r="W155" i="1"/>
  <c r="W274" i="1"/>
  <c r="W90" i="1"/>
  <c r="V22" i="1"/>
  <c r="V247" i="1"/>
  <c r="V273" i="1"/>
  <c r="V115" i="1"/>
  <c r="W264" i="1"/>
  <c r="W222" i="1"/>
  <c r="W260" i="1"/>
  <c r="W43" i="1"/>
  <c r="V125" i="1"/>
  <c r="V255" i="1"/>
  <c r="V169" i="1"/>
  <c r="V44" i="1"/>
  <c r="V157" i="1"/>
  <c r="V70" i="1"/>
  <c r="V87" i="1"/>
  <c r="V200" i="1"/>
  <c r="V76" i="1"/>
  <c r="V284" i="1"/>
  <c r="V181" i="1"/>
  <c r="V285" i="1"/>
  <c r="V198" i="1"/>
  <c r="V111" i="1"/>
  <c r="V16" i="1"/>
  <c r="V216" i="1"/>
  <c r="V25" i="1"/>
  <c r="V129" i="1"/>
  <c r="V225" i="1"/>
  <c r="V34" i="1"/>
  <c r="V122" i="1"/>
  <c r="V234" i="1"/>
  <c r="V267" i="1"/>
  <c r="V35" i="1"/>
  <c r="V43" i="1"/>
  <c r="W249" i="1"/>
  <c r="W121" i="1"/>
  <c r="W288" i="1"/>
  <c r="W160" i="1"/>
  <c r="W32" i="1"/>
  <c r="W199" i="1"/>
  <c r="W71" i="1"/>
  <c r="W246" i="1"/>
  <c r="W118" i="1"/>
  <c r="W285" i="1"/>
  <c r="W157" i="1"/>
  <c r="W21" i="1"/>
  <c r="W180" i="1"/>
  <c r="W291" i="1"/>
  <c r="W107" i="1"/>
  <c r="W266" i="1"/>
  <c r="W82" i="1"/>
  <c r="V117" i="1"/>
  <c r="V151" i="1"/>
  <c r="V161" i="1"/>
  <c r="V274" i="1"/>
  <c r="W97" i="1"/>
  <c r="W47" i="1"/>
  <c r="W133" i="1"/>
  <c r="W202" i="1"/>
  <c r="V28" i="1"/>
  <c r="V30" i="1"/>
  <c r="V72" i="1"/>
  <c r="V281" i="1"/>
  <c r="V156" i="1"/>
  <c r="V53" i="1"/>
  <c r="V253" i="1"/>
  <c r="V270" i="1"/>
  <c r="V295" i="1"/>
  <c r="V97" i="1"/>
  <c r="V172" i="1"/>
  <c r="V69" i="1"/>
  <c r="V86" i="1"/>
  <c r="V286" i="1"/>
  <c r="V215" i="1"/>
  <c r="V128" i="1"/>
  <c r="V92" i="1"/>
  <c r="V180" i="1"/>
  <c r="V292" i="1"/>
  <c r="V93" i="1"/>
  <c r="V189" i="1"/>
  <c r="V6" i="1"/>
  <c r="V94" i="1"/>
  <c r="V206" i="1"/>
  <c r="V23" i="1"/>
  <c r="V119" i="1"/>
  <c r="V231" i="1"/>
  <c r="V24" i="1"/>
  <c r="V136" i="1"/>
  <c r="V240" i="1"/>
  <c r="V33" i="1"/>
  <c r="V145" i="1"/>
  <c r="V233" i="1"/>
  <c r="V42" i="1"/>
  <c r="V146" i="1"/>
  <c r="V242" i="1"/>
  <c r="V19" i="1"/>
  <c r="V99" i="1"/>
  <c r="V67" i="1"/>
  <c r="W241" i="1"/>
  <c r="W113" i="1"/>
  <c r="W280" i="1"/>
  <c r="W152" i="1"/>
  <c r="W24" i="1"/>
  <c r="W191" i="1"/>
  <c r="W63" i="1"/>
  <c r="W238" i="1"/>
  <c r="W110" i="1"/>
  <c r="W277" i="1"/>
  <c r="W149" i="1"/>
  <c r="W13" i="1"/>
  <c r="W132" i="1"/>
  <c r="W283" i="1"/>
  <c r="W99" i="1"/>
  <c r="W218" i="1"/>
  <c r="W74" i="1"/>
  <c r="W236" i="1"/>
  <c r="W108" i="1"/>
  <c r="W44" i="1"/>
  <c r="W275" i="1"/>
  <c r="W211" i="1"/>
  <c r="W147" i="1"/>
  <c r="W83" i="1"/>
  <c r="W19" i="1"/>
  <c r="W258" i="1"/>
  <c r="W194" i="1"/>
  <c r="W130" i="1"/>
  <c r="W66" i="1"/>
  <c r="V188" i="1"/>
  <c r="V13" i="1"/>
  <c r="V141" i="1"/>
  <c r="V269" i="1"/>
  <c r="V102" i="1"/>
  <c r="V230" i="1"/>
  <c r="V71" i="1"/>
  <c r="V199" i="1"/>
  <c r="V32" i="1"/>
  <c r="V96" i="1"/>
  <c r="V160" i="1"/>
  <c r="V224" i="1"/>
  <c r="V288" i="1"/>
  <c r="V49" i="1"/>
  <c r="V113" i="1"/>
  <c r="V177" i="1"/>
  <c r="V241" i="1"/>
  <c r="V66" i="1"/>
  <c r="V130" i="1"/>
  <c r="V194" i="1"/>
  <c r="V258" i="1"/>
  <c r="V139" i="1"/>
  <c r="V275" i="1"/>
  <c r="V163" i="1"/>
  <c r="V123" i="1"/>
  <c r="V171" i="1"/>
  <c r="W281" i="1"/>
  <c r="W217" i="1"/>
  <c r="W153" i="1"/>
  <c r="W89" i="1"/>
  <c r="W25" i="1"/>
  <c r="W256" i="1"/>
  <c r="W192" i="1"/>
  <c r="W128" i="1"/>
  <c r="W64" i="1"/>
  <c r="W295" i="1"/>
  <c r="W231" i="1"/>
  <c r="W167" i="1"/>
  <c r="W103" i="1"/>
  <c r="W39" i="1"/>
  <c r="W278" i="1"/>
  <c r="W214" i="1"/>
  <c r="W150" i="1"/>
  <c r="W86" i="1"/>
  <c r="W22" i="1"/>
  <c r="W253" i="1"/>
  <c r="W189" i="1"/>
  <c r="W125" i="1"/>
  <c r="W61" i="1"/>
  <c r="W292" i="1"/>
  <c r="W228" i="1"/>
  <c r="W164" i="1"/>
  <c r="W100" i="1"/>
  <c r="W36" i="1"/>
  <c r="W267" i="1"/>
  <c r="W203" i="1"/>
  <c r="W139" i="1"/>
  <c r="W75" i="1"/>
  <c r="W11" i="1"/>
  <c r="W250" i="1"/>
  <c r="W186" i="1"/>
  <c r="W122" i="1"/>
  <c r="W58" i="1"/>
  <c r="V60" i="1"/>
  <c r="V124" i="1"/>
  <c r="V252" i="1"/>
  <c r="V77" i="1"/>
  <c r="V205" i="1"/>
  <c r="V38" i="1"/>
  <c r="V166" i="1"/>
  <c r="V7" i="1"/>
  <c r="V135" i="1"/>
  <c r="V263" i="1"/>
  <c r="V4" i="1"/>
  <c r="V68" i="1"/>
  <c r="V132" i="1"/>
  <c r="V196" i="1"/>
  <c r="V260" i="1"/>
  <c r="V21" i="1"/>
  <c r="V85" i="1"/>
  <c r="V149" i="1"/>
  <c r="V213" i="1"/>
  <c r="V277" i="1"/>
  <c r="V46" i="1"/>
  <c r="V110" i="1"/>
  <c r="V174" i="1"/>
  <c r="V238" i="1"/>
  <c r="V15" i="1"/>
  <c r="V79" i="1"/>
  <c r="V143" i="1"/>
  <c r="V207" i="1"/>
  <c r="V271" i="1"/>
  <c r="V40" i="1"/>
  <c r="V104" i="1"/>
  <c r="V168" i="1"/>
  <c r="V232" i="1"/>
  <c r="V296" i="1"/>
  <c r="V57" i="1"/>
  <c r="V121" i="1"/>
  <c r="V185" i="1"/>
  <c r="V249" i="1"/>
  <c r="V10" i="1"/>
  <c r="V74" i="1"/>
  <c r="V138" i="1"/>
  <c r="V202" i="1"/>
  <c r="V266" i="1"/>
  <c r="V203" i="1"/>
  <c r="V27" i="1"/>
  <c r="V227" i="1"/>
  <c r="V187" i="1"/>
  <c r="V195" i="1"/>
  <c r="W273" i="1"/>
  <c r="W209" i="1"/>
  <c r="AA209" i="1" s="1"/>
  <c r="W145" i="1"/>
  <c r="W81" i="1"/>
  <c r="W17" i="1"/>
  <c r="W248" i="1"/>
  <c r="W184" i="1"/>
  <c r="W120" i="1"/>
  <c r="W56" i="1"/>
  <c r="W287" i="1"/>
  <c r="W223" i="1"/>
  <c r="W159" i="1"/>
  <c r="W95" i="1"/>
  <c r="W31" i="1"/>
  <c r="W270" i="1"/>
  <c r="W206" i="1"/>
  <c r="W142" i="1"/>
  <c r="W78" i="1"/>
  <c r="W14" i="1"/>
  <c r="W245" i="1"/>
  <c r="W181" i="1"/>
  <c r="W117" i="1"/>
  <c r="W53" i="1"/>
  <c r="W284" i="1"/>
  <c r="W220" i="1"/>
  <c r="W156" i="1"/>
  <c r="W92" i="1"/>
  <c r="W28" i="1"/>
  <c r="W259" i="1"/>
  <c r="W195" i="1"/>
  <c r="W131" i="1"/>
  <c r="W67" i="1"/>
  <c r="W3" i="1"/>
  <c r="W242" i="1"/>
  <c r="W178" i="1"/>
  <c r="W114" i="1"/>
  <c r="W50" i="1"/>
  <c r="W265" i="1"/>
  <c r="W201" i="1"/>
  <c r="W240" i="1"/>
  <c r="W48" i="1"/>
  <c r="W279" i="1"/>
  <c r="W215" i="1"/>
  <c r="W151" i="1"/>
  <c r="W87" i="1"/>
  <c r="W262" i="1"/>
  <c r="W134" i="1"/>
  <c r="W70" i="1"/>
  <c r="W6" i="1"/>
  <c r="W237" i="1"/>
  <c r="W173" i="1"/>
  <c r="W109" i="1"/>
  <c r="W45" i="1"/>
  <c r="W276" i="1"/>
  <c r="W212" i="1"/>
  <c r="W148" i="1"/>
  <c r="W84" i="1"/>
  <c r="W20" i="1"/>
  <c r="W251" i="1"/>
  <c r="W187" i="1"/>
  <c r="W123" i="1"/>
  <c r="W59" i="1"/>
  <c r="W298" i="1"/>
  <c r="W234" i="1"/>
  <c r="W170" i="1"/>
  <c r="W106" i="1"/>
  <c r="W42" i="1"/>
  <c r="W73" i="1"/>
  <c r="W9" i="1"/>
  <c r="W176" i="1"/>
  <c r="W112" i="1"/>
  <c r="W23" i="1"/>
  <c r="W198" i="1"/>
  <c r="V20" i="1"/>
  <c r="V84" i="1"/>
  <c r="V148" i="1"/>
  <c r="V212" i="1"/>
  <c r="V276" i="1"/>
  <c r="V37" i="1"/>
  <c r="V101" i="1"/>
  <c r="V165" i="1"/>
  <c r="V229" i="1"/>
  <c r="V293" i="1"/>
  <c r="V62" i="1"/>
  <c r="V126" i="1"/>
  <c r="V190" i="1"/>
  <c r="V254" i="1"/>
  <c r="V31" i="1"/>
  <c r="V95" i="1"/>
  <c r="V159" i="1"/>
  <c r="V223" i="1"/>
  <c r="V287" i="1"/>
  <c r="V56" i="1"/>
  <c r="V120" i="1"/>
  <c r="V184" i="1"/>
  <c r="V248" i="1"/>
  <c r="V9" i="1"/>
  <c r="V73" i="1"/>
  <c r="V137" i="1"/>
  <c r="V201" i="1"/>
  <c r="V265" i="1"/>
  <c r="V26" i="1"/>
  <c r="V90" i="1"/>
  <c r="V154" i="1"/>
  <c r="V218" i="1"/>
  <c r="V282" i="1"/>
  <c r="V294" i="1"/>
  <c r="V155" i="1"/>
  <c r="V51" i="1"/>
  <c r="V3" i="1"/>
  <c r="V259" i="1"/>
  <c r="W257" i="1"/>
  <c r="W193" i="1"/>
  <c r="AA193" i="1" s="1"/>
  <c r="W129" i="1"/>
  <c r="W65" i="1"/>
  <c r="W296" i="1"/>
  <c r="W232" i="1"/>
  <c r="W168" i="1"/>
  <c r="W104" i="1"/>
  <c r="AA104" i="1" s="1"/>
  <c r="W40" i="1"/>
  <c r="W271" i="1"/>
  <c r="W207" i="1"/>
  <c r="W143" i="1"/>
  <c r="AA143" i="1" s="1"/>
  <c r="W79" i="1"/>
  <c r="W15" i="1"/>
  <c r="W254" i="1"/>
  <c r="W190" i="1"/>
  <c r="W126" i="1"/>
  <c r="W62" i="1"/>
  <c r="W293" i="1"/>
  <c r="W229" i="1"/>
  <c r="W165" i="1"/>
  <c r="W101" i="1"/>
  <c r="W37" i="1"/>
  <c r="W268" i="1"/>
  <c r="W204" i="1"/>
  <c r="W140" i="1"/>
  <c r="W76" i="1"/>
  <c r="W12" i="1"/>
  <c r="W243" i="1"/>
  <c r="W179" i="1"/>
  <c r="W115" i="1"/>
  <c r="W51" i="1"/>
  <c r="W290" i="1"/>
  <c r="W226" i="1"/>
  <c r="W162" i="1"/>
  <c r="W98" i="1"/>
  <c r="AA98" i="1" s="1"/>
  <c r="AA65" i="1" l="1"/>
  <c r="AA63" i="1"/>
  <c r="AA228" i="1"/>
  <c r="X26" i="1"/>
  <c r="AA50" i="1"/>
  <c r="AA181" i="1"/>
  <c r="X205" i="1"/>
  <c r="AA295" i="1"/>
  <c r="X210" i="1"/>
  <c r="X163" i="1"/>
  <c r="AA47" i="1"/>
  <c r="AA289" i="1"/>
  <c r="AA112" i="1"/>
  <c r="AA122" i="1"/>
  <c r="AA70" i="1"/>
  <c r="X10" i="1"/>
  <c r="AA167" i="1"/>
  <c r="AA115" i="1"/>
  <c r="AA234" i="1"/>
  <c r="AA215" i="1"/>
  <c r="X105" i="1"/>
  <c r="AA297" i="1"/>
  <c r="AA12" i="1"/>
  <c r="X127" i="1"/>
  <c r="AA118" i="1"/>
  <c r="AA83" i="1"/>
  <c r="AA87" i="1"/>
  <c r="AA17" i="1"/>
  <c r="AA250" i="1"/>
  <c r="AA197" i="1"/>
  <c r="AA14" i="1"/>
  <c r="X269" i="1"/>
  <c r="X27" i="1"/>
  <c r="AA251" i="1"/>
  <c r="AA214" i="1"/>
  <c r="AA144" i="1"/>
  <c r="AA162" i="1"/>
  <c r="AA109" i="1"/>
  <c r="AA39" i="1"/>
  <c r="AA100" i="1"/>
  <c r="AA153" i="1"/>
  <c r="AA82" i="1"/>
  <c r="AA29" i="1"/>
  <c r="X297" i="1"/>
  <c r="AA45" i="1"/>
  <c r="AA164" i="1"/>
  <c r="X235" i="1"/>
  <c r="AA290" i="1"/>
  <c r="AA204" i="1"/>
  <c r="AA134" i="1"/>
  <c r="AA36" i="1"/>
  <c r="X137" i="1"/>
  <c r="AA262" i="1"/>
  <c r="AA150" i="1"/>
  <c r="AA220" i="1"/>
  <c r="AA142" i="1"/>
  <c r="AA256" i="1"/>
  <c r="AA245" i="1"/>
  <c r="AA243" i="1"/>
  <c r="AA178" i="1"/>
  <c r="AA237" i="1"/>
  <c r="AA78" i="1"/>
  <c r="AA61" i="1"/>
  <c r="AA192" i="1"/>
  <c r="AA147" i="1"/>
  <c r="AA179" i="1"/>
  <c r="AA267" i="1"/>
  <c r="AA99" i="1"/>
  <c r="AA107" i="1"/>
  <c r="AA140" i="1"/>
  <c r="AA257" i="1"/>
  <c r="AA176" i="1"/>
  <c r="AA127" i="1"/>
  <c r="AA284" i="1"/>
  <c r="AA173" i="1"/>
  <c r="AA198" i="1"/>
  <c r="AA80" i="1"/>
  <c r="AA145" i="1"/>
  <c r="AA128" i="1"/>
  <c r="X171" i="1"/>
  <c r="AA207" i="1"/>
  <c r="AA129" i="1"/>
  <c r="AA279" i="1"/>
  <c r="AA158" i="1"/>
  <c r="X135" i="1"/>
  <c r="AA131" i="1"/>
  <c r="AA270" i="1"/>
  <c r="AA89" i="1"/>
  <c r="AA264" i="1"/>
  <c r="X38" i="1"/>
  <c r="AA186" i="1"/>
  <c r="AA108" i="1"/>
  <c r="AA151" i="1"/>
  <c r="AA64" i="1"/>
  <c r="AA42" i="1"/>
  <c r="AA226" i="1"/>
  <c r="AA6" i="1"/>
  <c r="AA40" i="1"/>
  <c r="AA240" i="1"/>
  <c r="AA58" i="1"/>
  <c r="AA190" i="1"/>
  <c r="AA53" i="1"/>
  <c r="AA44" i="1"/>
  <c r="AA81" i="1"/>
  <c r="AA281" i="1"/>
  <c r="AA75" i="1"/>
  <c r="AA242" i="1"/>
  <c r="AA156" i="1"/>
  <c r="AA283" i="1"/>
  <c r="AA24" i="1"/>
  <c r="AA168" i="1"/>
  <c r="AA195" i="1"/>
  <c r="AA280" i="1"/>
  <c r="AA62" i="1"/>
  <c r="AA148" i="1"/>
  <c r="AA206" i="1"/>
  <c r="AA103" i="1"/>
  <c r="AA268" i="1"/>
  <c r="AA201" i="1"/>
  <c r="AA130" i="1"/>
  <c r="AA239" i="1"/>
  <c r="AA101" i="1"/>
  <c r="AA123" i="1"/>
  <c r="AA79" i="1"/>
  <c r="AA13" i="1"/>
  <c r="AA114" i="1"/>
  <c r="AA28" i="1"/>
  <c r="AA11" i="1"/>
  <c r="AA92" i="1"/>
  <c r="AA133" i="1"/>
  <c r="AA246" i="1"/>
  <c r="AA271" i="1"/>
  <c r="AA170" i="1"/>
  <c r="AA48" i="1"/>
  <c r="AA273" i="1"/>
  <c r="AA211" i="1"/>
  <c r="AA191" i="1"/>
  <c r="AA126" i="1"/>
  <c r="AA23" i="1"/>
  <c r="AA51" i="1"/>
  <c r="AA41" i="1"/>
  <c r="AA117" i="1"/>
  <c r="AA86" i="1"/>
  <c r="AA200" i="1"/>
  <c r="AA37" i="1"/>
  <c r="AA254" i="1"/>
  <c r="AA15" i="1"/>
  <c r="AA232" i="1"/>
  <c r="AA165" i="1"/>
  <c r="AA296" i="1"/>
  <c r="AA19" i="1"/>
  <c r="AA229" i="1"/>
  <c r="AA292" i="1"/>
  <c r="AA139" i="1"/>
  <c r="AA189" i="1"/>
  <c r="AA222" i="1"/>
  <c r="AA221" i="1"/>
  <c r="AA231" i="1"/>
  <c r="AA157" i="1"/>
  <c r="AA285" i="1"/>
  <c r="AA218" i="1"/>
  <c r="AA238" i="1"/>
  <c r="AA30" i="1"/>
  <c r="AA161" i="1"/>
  <c r="AA8" i="1"/>
  <c r="AA60" i="1"/>
  <c r="AA255" i="1"/>
  <c r="AA68" i="1"/>
  <c r="AA263" i="1"/>
  <c r="AA261" i="1"/>
  <c r="AA102" i="1"/>
  <c r="AA16" i="1"/>
  <c r="AA230" i="1"/>
  <c r="AA124" i="1"/>
  <c r="AA212" i="1"/>
  <c r="AA223" i="1"/>
  <c r="AA76" i="1"/>
  <c r="AA293" i="1"/>
  <c r="AA106" i="1"/>
  <c r="AA20" i="1"/>
  <c r="AA287" i="1"/>
  <c r="AA278" i="1"/>
  <c r="AA71" i="1"/>
  <c r="AA43" i="1"/>
  <c r="AA90" i="1"/>
  <c r="AA282" i="1"/>
  <c r="AA119" i="1"/>
  <c r="AA244" i="1"/>
  <c r="AA88" i="1"/>
  <c r="AA252" i="1"/>
  <c r="AA96" i="1"/>
  <c r="AA94" i="1"/>
  <c r="AA233" i="1"/>
  <c r="AA272" i="1"/>
  <c r="AA84" i="1"/>
  <c r="AA3" i="1"/>
  <c r="AA56" i="1"/>
  <c r="AA203" i="1"/>
  <c r="AA125" i="1"/>
  <c r="AA97" i="1"/>
  <c r="AA291" i="1"/>
  <c r="AA199" i="1"/>
  <c r="AA260" i="1"/>
  <c r="AA274" i="1"/>
  <c r="AA286" i="1"/>
  <c r="AA163" i="1"/>
  <c r="AA247" i="1"/>
  <c r="AA85" i="1"/>
  <c r="AA216" i="1"/>
  <c r="AA93" i="1"/>
  <c r="AA224" i="1"/>
  <c r="AA175" i="1"/>
  <c r="AA67" i="1"/>
  <c r="AA120" i="1"/>
  <c r="AA25" i="1"/>
  <c r="AA66" i="1"/>
  <c r="AA275" i="1"/>
  <c r="AA132" i="1"/>
  <c r="AA180" i="1"/>
  <c r="AA32" i="1"/>
  <c r="AA155" i="1"/>
  <c r="AA111" i="1"/>
  <c r="AA52" i="1"/>
  <c r="AA208" i="1"/>
  <c r="AA213" i="1"/>
  <c r="AA49" i="1"/>
  <c r="AA34" i="1"/>
  <c r="AA57" i="1"/>
  <c r="AA136" i="1"/>
  <c r="AA5" i="1"/>
  <c r="AA269" i="1"/>
  <c r="AA266" i="1"/>
  <c r="AA184" i="1"/>
  <c r="AA253" i="1"/>
  <c r="AA152" i="1"/>
  <c r="AA21" i="1"/>
  <c r="AA160" i="1"/>
  <c r="AA4" i="1"/>
  <c r="AA196" i="1"/>
  <c r="AA138" i="1"/>
  <c r="AA46" i="1"/>
  <c r="AA177" i="1"/>
  <c r="AA10" i="1"/>
  <c r="AA54" i="1"/>
  <c r="AA185" i="1"/>
  <c r="AA225" i="1"/>
  <c r="AA69" i="1"/>
  <c r="AA59" i="1"/>
  <c r="AA276" i="1"/>
  <c r="AA265" i="1"/>
  <c r="AA31" i="1"/>
  <c r="AA248" i="1"/>
  <c r="AA22" i="1"/>
  <c r="AA194" i="1"/>
  <c r="AA149" i="1"/>
  <c r="AA288" i="1"/>
  <c r="AA188" i="1"/>
  <c r="AA72" i="1"/>
  <c r="AA77" i="1"/>
  <c r="AA166" i="1"/>
  <c r="AA146" i="1"/>
  <c r="AA174" i="1"/>
  <c r="AA154" i="1"/>
  <c r="AA182" i="1"/>
  <c r="AA18" i="1"/>
  <c r="AA172" i="1"/>
  <c r="AA55" i="1"/>
  <c r="AA141" i="1"/>
  <c r="AA91" i="1"/>
  <c r="AA294" i="1"/>
  <c r="AA9" i="1"/>
  <c r="AA259" i="1"/>
  <c r="AA95" i="1"/>
  <c r="AA217" i="1"/>
  <c r="AA258" i="1"/>
  <c r="AA236" i="1"/>
  <c r="AA277" i="1"/>
  <c r="AA113" i="1"/>
  <c r="AA121" i="1"/>
  <c r="AA205" i="1"/>
  <c r="AA27" i="1"/>
  <c r="AA2" i="1"/>
  <c r="AA35" i="1"/>
  <c r="AA7" i="1"/>
  <c r="AA227" i="1"/>
  <c r="AA26" i="1"/>
  <c r="AA73" i="1"/>
  <c r="AA187" i="1"/>
  <c r="AA159" i="1"/>
  <c r="AA74" i="1"/>
  <c r="AA110" i="1"/>
  <c r="AA241" i="1"/>
  <c r="AA202" i="1"/>
  <c r="AA249" i="1"/>
  <c r="AA33" i="1"/>
  <c r="AA38" i="1"/>
  <c r="AA169" i="1"/>
  <c r="AA171" i="1"/>
  <c r="AA219" i="1"/>
  <c r="AA135" i="1"/>
  <c r="AA116" i="1"/>
  <c r="AA137" i="1"/>
  <c r="AA210" i="1"/>
  <c r="AA183" i="1"/>
  <c r="AA235" i="1"/>
  <c r="AA105" i="1"/>
  <c r="X65" i="1"/>
  <c r="X215" i="1"/>
  <c r="X162" i="1"/>
  <c r="X209" i="1"/>
  <c r="X63" i="1"/>
  <c r="X47" i="1"/>
  <c r="X107" i="1"/>
  <c r="X289" i="1"/>
  <c r="X193" i="1"/>
  <c r="X291" i="1"/>
  <c r="X257" i="1"/>
  <c r="X234" i="1"/>
  <c r="X70" i="1"/>
  <c r="X112" i="1"/>
  <c r="X122" i="1"/>
  <c r="X167" i="1"/>
  <c r="X264" i="1"/>
  <c r="X204" i="1"/>
  <c r="X186" i="1"/>
  <c r="X100" i="1"/>
  <c r="X153" i="1"/>
  <c r="X98" i="1"/>
  <c r="X45" i="1"/>
  <c r="X50" i="1"/>
  <c r="X181" i="1"/>
  <c r="X250" i="1"/>
  <c r="X164" i="1"/>
  <c r="X295" i="1"/>
  <c r="X80" i="1"/>
  <c r="X214" i="1"/>
  <c r="X104" i="1"/>
  <c r="X115" i="1"/>
  <c r="X109" i="1"/>
  <c r="X228" i="1"/>
  <c r="X82" i="1"/>
  <c r="X118" i="1"/>
  <c r="X227" i="1"/>
  <c r="X5" i="1"/>
  <c r="X219" i="1"/>
  <c r="X169" i="1"/>
  <c r="X116" i="1"/>
  <c r="X183" i="1"/>
  <c r="X233" i="1"/>
  <c r="X14" i="1"/>
  <c r="X39" i="1"/>
  <c r="X154" i="1"/>
  <c r="X7" i="1"/>
  <c r="X268" i="1"/>
  <c r="X239" i="1"/>
  <c r="X41" i="1"/>
  <c r="X272" i="1"/>
  <c r="X170" i="1"/>
  <c r="X48" i="1"/>
  <c r="X197" i="1"/>
  <c r="X130" i="1"/>
  <c r="X144" i="1"/>
  <c r="X124" i="1"/>
  <c r="X230" i="1"/>
  <c r="X102" i="1"/>
  <c r="X16" i="1"/>
  <c r="X46" i="1"/>
  <c r="X24" i="1"/>
  <c r="X194" i="1"/>
  <c r="X44" i="1"/>
  <c r="X18" i="1"/>
  <c r="X91" i="1"/>
  <c r="X213" i="1"/>
  <c r="X143" i="1"/>
  <c r="X57" i="1"/>
  <c r="X256" i="1"/>
  <c r="X174" i="1"/>
  <c r="X166" i="1"/>
  <c r="X146" i="1"/>
  <c r="X172" i="1"/>
  <c r="X72" i="1"/>
  <c r="X179" i="1"/>
  <c r="X288" i="1"/>
  <c r="X243" i="1"/>
  <c r="X245" i="1"/>
  <c r="X178" i="1"/>
  <c r="X92" i="1"/>
  <c r="X66" i="1"/>
  <c r="X141" i="1"/>
  <c r="X83" i="1"/>
  <c r="X42" i="1"/>
  <c r="X237" i="1"/>
  <c r="X61" i="1"/>
  <c r="X192" i="1"/>
  <c r="X147" i="1"/>
  <c r="X182" i="1"/>
  <c r="X226" i="1"/>
  <c r="X211" i="1"/>
  <c r="X55" i="1"/>
  <c r="X280" i="1"/>
  <c r="X242" i="1"/>
  <c r="X35" i="1"/>
  <c r="X117" i="1"/>
  <c r="X81" i="1"/>
  <c r="X121" i="1"/>
  <c r="X277" i="1"/>
  <c r="X11" i="1"/>
  <c r="X156" i="1"/>
  <c r="X78" i="1"/>
  <c r="X36" i="1"/>
  <c r="X262" i="1"/>
  <c r="X145" i="1"/>
  <c r="X128" i="1"/>
  <c r="X33" i="1"/>
  <c r="X279" i="1"/>
  <c r="X129" i="1"/>
  <c r="X271" i="1"/>
  <c r="X273" i="1"/>
  <c r="X191" i="1"/>
  <c r="X284" i="1"/>
  <c r="X206" i="1"/>
  <c r="X103" i="1"/>
  <c r="X126" i="1"/>
  <c r="X190" i="1"/>
  <c r="X259" i="1"/>
  <c r="X131" i="1"/>
  <c r="X113" i="1"/>
  <c r="X249" i="1"/>
  <c r="X276" i="1"/>
  <c r="X149" i="1"/>
  <c r="X139" i="1"/>
  <c r="X13" i="1"/>
  <c r="X148" i="1"/>
  <c r="X151" i="1"/>
  <c r="X73" i="1"/>
  <c r="X159" i="1"/>
  <c r="X202" i="1"/>
  <c r="X158" i="1"/>
  <c r="X207" i="1"/>
  <c r="X62" i="1"/>
  <c r="X241" i="1"/>
  <c r="X74" i="1"/>
  <c r="X270" i="1"/>
  <c r="X110" i="1"/>
  <c r="X9" i="1"/>
  <c r="X286" i="1"/>
  <c r="X200" i="1"/>
  <c r="X212" i="1"/>
  <c r="X258" i="1"/>
  <c r="X287" i="1"/>
  <c r="X187" i="1"/>
  <c r="X296" i="1"/>
  <c r="X79" i="1"/>
  <c r="X123" i="1"/>
  <c r="X240" i="1"/>
  <c r="X119" i="1"/>
  <c r="X64" i="1"/>
  <c r="X176" i="1"/>
  <c r="X231" i="1"/>
  <c r="X157" i="1"/>
  <c r="X29" i="1"/>
  <c r="X225" i="1"/>
  <c r="X165" i="1"/>
  <c r="X19" i="1"/>
  <c r="X281" i="1"/>
  <c r="X99" i="1"/>
  <c r="X138" i="1"/>
  <c r="X185" i="1"/>
  <c r="X77" i="1"/>
  <c r="X114" i="1"/>
  <c r="X90" i="1"/>
  <c r="X244" i="1"/>
  <c r="X198" i="1"/>
  <c r="X188" i="1"/>
  <c r="X53" i="1"/>
  <c r="X71" i="1"/>
  <c r="X40" i="1"/>
  <c r="X54" i="1"/>
  <c r="X285" i="1"/>
  <c r="X12" i="1"/>
  <c r="X229" i="1"/>
  <c r="X251" i="1"/>
  <c r="X173" i="1"/>
  <c r="X4" i="1"/>
  <c r="X75" i="1"/>
  <c r="X292" i="1"/>
  <c r="X160" i="1"/>
  <c r="X218" i="1"/>
  <c r="X238" i="1"/>
  <c r="X67" i="1"/>
  <c r="X253" i="1"/>
  <c r="X133" i="1"/>
  <c r="X246" i="1"/>
  <c r="X25" i="1"/>
  <c r="X22" i="1"/>
  <c r="X30" i="1"/>
  <c r="X161" i="1"/>
  <c r="X217" i="1"/>
  <c r="X278" i="1"/>
  <c r="X52" i="1"/>
  <c r="X59" i="1"/>
  <c r="X8" i="1"/>
  <c r="X60" i="1"/>
  <c r="X255" i="1"/>
  <c r="X175" i="1"/>
  <c r="X236" i="1"/>
  <c r="X68" i="1"/>
  <c r="X263" i="1"/>
  <c r="X261" i="1"/>
  <c r="X152" i="1"/>
  <c r="X23" i="1"/>
  <c r="X120" i="1"/>
  <c r="X168" i="1"/>
  <c r="X21" i="1"/>
  <c r="X177" i="1"/>
  <c r="X132" i="1"/>
  <c r="X69" i="1"/>
  <c r="X180" i="1"/>
  <c r="X108" i="1"/>
  <c r="X49" i="1"/>
  <c r="X89" i="1"/>
  <c r="X150" i="1"/>
  <c r="X34" i="1"/>
  <c r="X221" i="1"/>
  <c r="X196" i="1"/>
  <c r="X232" i="1"/>
  <c r="X184" i="1"/>
  <c r="X28" i="1"/>
  <c r="X58" i="1"/>
  <c r="X3" i="1"/>
  <c r="X220" i="1"/>
  <c r="X142" i="1"/>
  <c r="X56" i="1"/>
  <c r="X15" i="1"/>
  <c r="X203" i="1"/>
  <c r="X32" i="1"/>
  <c r="X283" i="1"/>
  <c r="X189" i="1"/>
  <c r="X86" i="1"/>
  <c r="X97" i="1"/>
  <c r="X199" i="1"/>
  <c r="X87" i="1"/>
  <c r="X260" i="1"/>
  <c r="X274" i="1"/>
  <c r="X247" i="1"/>
  <c r="X290" i="1"/>
  <c r="X134" i="1"/>
  <c r="X85" i="1"/>
  <c r="X93" i="1"/>
  <c r="X224" i="1"/>
  <c r="X111" i="1"/>
  <c r="X267" i="1"/>
  <c r="X6" i="1"/>
  <c r="X208" i="1"/>
  <c r="X136" i="1"/>
  <c r="X254" i="1"/>
  <c r="X201" i="1"/>
  <c r="X266" i="1"/>
  <c r="X275" i="1"/>
  <c r="X222" i="1"/>
  <c r="X76" i="1"/>
  <c r="X20" i="1"/>
  <c r="X88" i="1"/>
  <c r="X252" i="1"/>
  <c r="X96" i="1"/>
  <c r="X125" i="1"/>
  <c r="X106" i="1"/>
  <c r="X282" i="1"/>
  <c r="X94" i="1"/>
  <c r="X37" i="1"/>
  <c r="X265" i="1"/>
  <c r="X195" i="1"/>
  <c r="X31" i="1"/>
  <c r="X248" i="1"/>
  <c r="X223" i="1"/>
  <c r="X294" i="1"/>
  <c r="X293" i="1"/>
  <c r="X140" i="1"/>
  <c r="X84" i="1"/>
  <c r="X216" i="1"/>
  <c r="X95" i="1"/>
  <c r="X17" i="1"/>
  <c r="X43" i="1"/>
  <c r="X101" i="1"/>
  <c r="X51" i="1"/>
  <c r="X1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B78731-17A0-4F25-8F38-8DFBB350F24B}"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BE8B7AC8-E5A7-4DED-8F11-E092EA581192}" keepAlive="1" name="Query - Campaign Metadata (2)" description="Connection to the 'Campaign Metadata (2)' query in the workbook." type="5" refreshedVersion="7" background="1" saveData="1">
    <dbPr connection="Provider=Microsoft.Mashup.OleDb.1;Data Source=$Workbook$;Location=&quot;Campaign Metadata (2)&quot;;Extended Properties=&quot;&quot;" command="SELECT * FROM [Campaign Metadata (2)]"/>
  </connection>
  <connection id="3" xr16:uid="{141B7FF5-0B69-4B5D-B296-9D9CAA19F667}" name="Query - Campaign Metadata (3)" description="Connection to the 'Campaign Metadata (3)' query in the workbook." type="100" refreshedVersion="7" minRefreshableVersion="5">
    <extLst>
      <ext xmlns:x15="http://schemas.microsoft.com/office/spreadsheetml/2010/11/main" uri="{DE250136-89BD-433C-8126-D09CA5730AF9}">
        <x15:connection id="6446c5ea-723c-447f-97d8-381b0a586702"/>
      </ext>
    </extLst>
  </connection>
  <connection id="4" xr16:uid="{5ED2AD37-1DA9-4D75-8AC0-8DEC35D1B384}"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5" xr16:uid="{F83EE677-863E-46BC-BF80-7B9974D44656}" keepAlive="1" name="Query - Posts_Cleaned" description="Connection to the 'Posts_Cleaned' query in the workbook." type="5" refreshedVersion="7" background="1" saveData="1">
    <dbPr connection="Provider=Microsoft.Mashup.OleDb.1;Data Source=$Workbook$;Location=Posts_Cleaned;Extended Properties=&quot;&quot;" command="SELECT * FROM [Posts_Cleaned]"/>
  </connection>
  <connection id="6" xr16:uid="{DB02032E-7991-4600-AE07-0E589E2AA0FC}" keepAlive="1" name="Query - Posts_Cleaned (2)" description="Connection to the 'Posts_Cleaned (2)' query in the workbook." type="5" refreshedVersion="7" background="1" saveData="1">
    <dbPr connection="Provider=Microsoft.Mashup.OleDb.1;Data Source=$Workbook$;Location=&quot;Posts_Cleaned (2)&quot;;Extended Properties=&quot;&quot;" command="SELECT * FROM [Posts_Cleaned (2)]"/>
  </connection>
  <connection id="7" xr16:uid="{8C27FB47-4ED9-4F2F-9583-19C177F2AF57}" name="Query - Posts_Cleaned (3)" description="Connection to the 'Posts_Cleaned (3)' query in the workbook." type="100" refreshedVersion="7" minRefreshableVersion="5">
    <extLst>
      <ext xmlns:x15="http://schemas.microsoft.com/office/spreadsheetml/2010/11/main" uri="{DE250136-89BD-433C-8126-D09CA5730AF9}">
        <x15:connection id="22afe7ab-818b-4346-b074-b70e6f2a4ba0"/>
      </ext>
    </extLst>
  </connection>
  <connection id="8" xr16:uid="{803EB73F-D303-4008-990A-3E436420127C}"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 id="9" xr16:uid="{D923D1F9-5403-459F-82FE-AF5A3413A7A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828D05EF-AD25-456F-B07F-5F4A21BF24C6}" name="WorksheetConnection_posts Dataset !$P:$P" type="102" refreshedVersion="7" minRefreshableVersion="5">
    <extLst>
      <ext xmlns:x15="http://schemas.microsoft.com/office/spreadsheetml/2010/11/main" uri="{DE250136-89BD-433C-8126-D09CA5730AF9}">
        <x15:connection id="Range" autoDelete="1">
          <x15:rangePr sourceName="_xlcn.WorksheetConnection_postsDatasetPP1"/>
        </x15:connection>
      </ext>
    </extLst>
  </connection>
  <connection id="11" xr16:uid="{63B039D3-2C27-4C76-BE4A-6A0504EBE851}" name="WorksheetConnection_Task 2 Engagement Analysis.xlsx!Posts_Cleaned" type="102" refreshedVersion="7" minRefreshableVersion="5">
    <extLst>
      <ext xmlns:x15="http://schemas.microsoft.com/office/spreadsheetml/2010/11/main" uri="{DE250136-89BD-433C-8126-D09CA5730AF9}">
        <x15:connection id="Posts_Cleaned">
          <x15:rangePr sourceName="_xlcn.WorksheetConnection_Task2EngagementAnalysis.xlsxPosts_Cleaned1"/>
        </x15:connection>
      </ext>
    </extLst>
  </connection>
</connections>
</file>

<file path=xl/sharedStrings.xml><?xml version="1.0" encoding="utf-8"?>
<sst xmlns="http://schemas.openxmlformats.org/spreadsheetml/2006/main" count="2332" uniqueCount="421">
  <si>
    <t>Post ID</t>
  </si>
  <si>
    <t>Platform</t>
  </si>
  <si>
    <t>Date</t>
  </si>
  <si>
    <t>Content Type</t>
  </si>
  <si>
    <t>Post Text</t>
  </si>
  <si>
    <t>Likes</t>
  </si>
  <si>
    <t>Shares</t>
  </si>
  <si>
    <t>Comments</t>
  </si>
  <si>
    <t>Impressions</t>
  </si>
  <si>
    <t>Reach</t>
  </si>
  <si>
    <t>Clicks</t>
  </si>
  <si>
    <t>Hashtags Used.1</t>
  </si>
  <si>
    <t>Hashtags Used.2</t>
  </si>
  <si>
    <t>Hashtags Used.3</t>
  </si>
  <si>
    <t>Campaign_Name</t>
  </si>
  <si>
    <t>P001</t>
  </si>
  <si>
    <t>X</t>
  </si>
  <si>
    <t>Reel</t>
  </si>
  <si>
    <t>Check out our latest reel on twitter!</t>
  </si>
  <si>
    <t>#FutureOfDriving</t>
  </si>
  <si>
    <t>#AnytimeIsTeslaTime</t>
  </si>
  <si>
    <t>CybertruckLaunch</t>
  </si>
  <si>
    <t>P002</t>
  </si>
  <si>
    <t>Text</t>
  </si>
  <si>
    <t>Check out our latest text on twitter!</t>
  </si>
  <si>
    <t>#TeslaCoInnovation</t>
  </si>
  <si>
    <t>#BetterWithTesla</t>
  </si>
  <si>
    <t>ModelYCampaign</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</si>
  <si>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</si>
  <si>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</si>
  <si>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</si>
  <si>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</si>
  <si>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</si>
  <si>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</si>
  <si>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</si>
  <si>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</si>
  <si>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</si>
  <si>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</si>
  <si>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</si>
  <si>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</si>
  <si>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</si>
  <si>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</si>
  <si>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</si>
  <si>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</si>
  <si>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</si>
  <si>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</si>
  <si>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</si>
  <si>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</si>
  <si>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</si>
  <si>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</si>
  <si>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</si>
  <si>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</si>
  <si>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</si>
  <si>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</si>
  <si>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</si>
  <si>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</si>
  <si>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</si>
  <si>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</si>
  <si>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</si>
  <si>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</si>
  <si>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</si>
  <si>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</si>
  <si>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</si>
  <si>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</si>
  <si>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</si>
  <si>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</si>
  <si>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</si>
  <si>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</si>
  <si>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</si>
  <si>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</si>
  <si>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</si>
  <si>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</si>
  <si>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</si>
  <si>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</si>
  <si>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</si>
  <si>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</si>
  <si>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</si>
  <si>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</si>
  <si>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</si>
  <si>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</si>
  <si>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</si>
  <si>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</si>
  <si>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</si>
  <si>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</si>
  <si>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</si>
  <si>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</si>
  <si>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</si>
  <si>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</si>
  <si>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</si>
  <si>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</si>
  <si>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</si>
  <si>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</si>
  <si>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</si>
  <si>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</si>
  <si>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</si>
  <si>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</si>
  <si>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</si>
  <si>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</si>
  <si>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</si>
  <si>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</si>
  <si>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</si>
  <si>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</si>
  <si>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</si>
  <si>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</si>
  <si>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</si>
  <si>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</si>
  <si>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</si>
  <si>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</si>
  <si>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</si>
  <si>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</si>
  <si>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</si>
  <si>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</si>
  <si>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</si>
  <si>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</si>
  <si>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</si>
  <si>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</si>
  <si>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</si>
  <si>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</si>
  <si>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</si>
  <si>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</si>
  <si>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</si>
  <si>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</si>
  <si>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</si>
  <si>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</si>
  <si>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</si>
  <si>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</si>
  <si>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</si>
  <si>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</si>
  <si>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</si>
  <si>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</si>
  <si>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</si>
  <si>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</si>
  <si>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</si>
  <si>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</si>
  <si>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</si>
  <si>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</si>
  <si>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</si>
  <si>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</si>
  <si>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</si>
  <si>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</si>
  <si>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</si>
  <si>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</si>
  <si>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</si>
  <si>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</si>
  <si>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</si>
  <si>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</si>
  <si>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</si>
  <si>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</si>
  <si>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</si>
  <si>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</si>
  <si>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</si>
  <si>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</si>
  <si>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</si>
  <si>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</si>
  <si>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</si>
  <si>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</si>
  <si>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</si>
  <si>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</si>
  <si>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</si>
  <si>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</si>
  <si>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</si>
  <si>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</si>
  <si>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</si>
  <si>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</si>
  <si>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</si>
  <si>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</si>
  <si>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</si>
  <si>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</si>
  <si>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</si>
  <si>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</si>
  <si>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</si>
  <si>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</si>
  <si>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</si>
  <si>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</si>
  <si>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</si>
  <si>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</si>
  <si>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</si>
  <si>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</si>
  <si>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</si>
  <si>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</si>
  <si>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</si>
  <si>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</si>
  <si>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</si>
  <si>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</si>
  <si>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</si>
  <si>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</si>
  <si>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</si>
  <si>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</si>
  <si>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</si>
  <si>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</si>
  <si>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</si>
  <si>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</si>
  <si>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</si>
  <si>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</si>
  <si>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</si>
  <si>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</si>
  <si>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</si>
  <si>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</si>
  <si>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</si>
  <si>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</si>
  <si>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</si>
  <si>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</si>
  <si>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</si>
  <si>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</si>
  <si>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</si>
  <si>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</si>
  <si>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</si>
  <si>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</si>
  <si>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</si>
  <si>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</si>
  <si>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</si>
  <si>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</si>
  <si>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</si>
  <si>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</si>
  <si>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</si>
  <si>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</si>
  <si>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</si>
  <si>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</si>
  <si>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</si>
  <si>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</si>
  <si>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</si>
  <si>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</si>
  <si>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</si>
  <si>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</si>
  <si>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</si>
  <si>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</si>
  <si>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</si>
  <si>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</si>
  <si>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</si>
  <si>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</si>
  <si>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</si>
  <si>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</si>
  <si>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</si>
  <si>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</si>
  <si>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</si>
  <si>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</si>
  <si>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</si>
  <si>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</si>
  <si>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</si>
  <si>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</si>
  <si>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</si>
  <si>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</si>
  <si>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</si>
  <si>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</si>
  <si>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</si>
  <si>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</si>
  <si>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</si>
  <si>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</si>
  <si>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</si>
  <si>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</si>
  <si>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</si>
  <si>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</si>
  <si>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</si>
  <si>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</si>
  <si>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</si>
  <si>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</si>
  <si>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</si>
  <si>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</si>
  <si>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</si>
  <si>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</si>
  <si>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</si>
  <si>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</si>
  <si>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</si>
  <si>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</si>
  <si>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</si>
  <si>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</si>
  <si>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</si>
  <si>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</si>
  <si>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</si>
  <si>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</si>
  <si>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</si>
  <si>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</si>
  <si>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</si>
  <si>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</si>
  <si>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</si>
  <si>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</si>
  <si>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</si>
  <si>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</si>
  <si>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</si>
  <si>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</si>
  <si>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</si>
  <si>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</si>
  <si>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</si>
  <si>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</si>
  <si>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</si>
  <si>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</si>
  <si>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</si>
  <si>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</si>
  <si>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</si>
  <si>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</si>
  <si>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</si>
  <si>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</si>
  <si>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</si>
  <si>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</si>
  <si>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</si>
  <si>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</si>
  <si>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</si>
  <si>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</si>
  <si>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</si>
  <si>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</si>
  <si>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</si>
  <si>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</si>
  <si>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</si>
  <si>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</si>
  <si>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</si>
  <si>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</si>
  <si>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</si>
  <si>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</si>
  <si>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</si>
  <si>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</si>
  <si>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</si>
  <si>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</si>
  <si>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</si>
  <si>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</si>
  <si>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</si>
  <si>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</si>
  <si>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</si>
  <si>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</si>
  <si>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</si>
  <si>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</si>
  <si>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</si>
  <si>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</si>
  <si>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</si>
  <si>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</si>
  <si>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</si>
  <si>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</si>
  <si>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</si>
  <si>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</si>
  <si>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</si>
  <si>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</si>
  <si>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</si>
  <si>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</si>
  <si>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</si>
  <si>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</si>
  <si>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</si>
  <si>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</si>
  <si>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</si>
  <si>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</si>
  <si>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</si>
  <si>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</si>
  <si>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</si>
  <si>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</si>
  <si>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</si>
  <si>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</si>
  <si>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</si>
  <si>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</si>
  <si>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</si>
  <si>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</si>
  <si>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</si>
  <si>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</si>
  <si>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</si>
  <si>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</si>
  <si>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</si>
  <si>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</si>
  <si>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</si>
  <si>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</si>
  <si>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</si>
  <si>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</si>
  <si>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</si>
  <si>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</si>
  <si>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</si>
  <si>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</si>
  <si>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</si>
  <si>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</si>
  <si>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</si>
  <si>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</si>
  <si>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</si>
  <si>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</si>
  <si>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</si>
  <si>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</si>
  <si>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Primary_Hashtags</t>
  </si>
  <si>
    <t>Product Awareness</t>
  </si>
  <si>
    <t>Instagram,Facebook</t>
  </si>
  <si>
    <t>#EVRevolution,#TeslaCoInnovation</t>
  </si>
  <si>
    <t>Customer Engagement</t>
  </si>
  <si>
    <t>Instagram,YouTube</t>
  </si>
  <si>
    <t>#AnytimeIsTeslaTime,</t>
  </si>
  <si>
    <t>Vehicle Launch</t>
  </si>
  <si>
    <t>Community Growth</t>
  </si>
  <si>
    <t>#BetterWithTesla,#FutureOfDriving</t>
  </si>
  <si>
    <t xml:space="preserve">Engagement Rate </t>
  </si>
  <si>
    <t xml:space="preserve">Hashtags </t>
  </si>
  <si>
    <t>Facebook,Twitter</t>
  </si>
  <si>
    <t>Instagram,Twitter</t>
  </si>
  <si>
    <t xml:space="preserve">Start Date </t>
  </si>
  <si>
    <t xml:space="preserve">End Date </t>
  </si>
  <si>
    <t>Period</t>
  </si>
  <si>
    <t>Engagement</t>
  </si>
  <si>
    <t xml:space="preserve">Before </t>
  </si>
  <si>
    <t xml:space="preserve">During </t>
  </si>
  <si>
    <t>Uplift</t>
  </si>
  <si>
    <t xml:space="preserve">Total Budget </t>
  </si>
  <si>
    <t>ROI</t>
  </si>
  <si>
    <t>Row Labels</t>
  </si>
  <si>
    <t>(blank)</t>
  </si>
  <si>
    <t>Grand Total</t>
  </si>
  <si>
    <t>Sum of Likes</t>
  </si>
  <si>
    <t>Average of Likes2</t>
  </si>
  <si>
    <t>Sum of Impressions</t>
  </si>
  <si>
    <t>Average of Impressions2</t>
  </si>
  <si>
    <t>Sum of Clicks2</t>
  </si>
  <si>
    <t>Average of Clicks</t>
  </si>
  <si>
    <t xml:space="preserve">Average of Before </t>
  </si>
  <si>
    <t xml:space="preserve">Average of During </t>
  </si>
  <si>
    <t>Average of Uplift</t>
  </si>
  <si>
    <t>UPLIFT %</t>
  </si>
  <si>
    <t>Average of UPLIFT %</t>
  </si>
  <si>
    <t xml:space="preserve">Target Platform </t>
  </si>
  <si>
    <t xml:space="preserve">Instagram </t>
  </si>
  <si>
    <t xml:space="preserve">Facebook </t>
  </si>
  <si>
    <t xml:space="preserve">youtube </t>
  </si>
  <si>
    <t xml:space="preserve">Twitter </t>
  </si>
  <si>
    <t xml:space="preserve">New_Follewrs </t>
  </si>
  <si>
    <t>Highest ROI</t>
  </si>
  <si>
    <t>Sum of Highest ROI</t>
  </si>
  <si>
    <t xml:space="preserve">Sum of New_Follewrs </t>
  </si>
  <si>
    <t xml:space="preserve">Total Enagaement </t>
  </si>
  <si>
    <t>a) Total &amp; Average Impressions, Likes, Clicks per Campaign.</t>
  </si>
  <si>
    <t>b) Engagement uplift during vs. before campaigns</t>
  </si>
  <si>
    <r>
      <t xml:space="preserve"> </t>
    </r>
    <r>
      <rPr>
        <sz val="22"/>
        <color theme="1"/>
        <rFont val="Times New Roman"/>
        <family val="1"/>
      </rPr>
      <t>Highest ROI</t>
    </r>
  </si>
  <si>
    <t>The Strongest Follower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</si>
</sst>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Arial Black"/>
      <family val="2"/>
    </font>
    <font>
      <sz val="11"/>
      <color theme="0"/>
      <name val="Calibri"/>
      <family val="2"/>
      <scheme val="minor"/>
    </font>
    <font>
      <sz val="14"/>
      <color theme="1"/>
      <name val="Calibri"/>
      <family val="2"/>
      <scheme val="minor"/>
    </font>
    <font>
      <sz val="16"/>
      <color theme="0"/>
      <name val="Calibri"/>
      <family val="2"/>
      <scheme val="minor"/>
    </font>
    <font>
      <sz val="16"/>
      <color theme="1"/>
      <name val="Calibri"/>
      <family val="2"/>
      <scheme val="minor"/>
    </font>
    <font>
      <sz val="12"/>
      <color theme="1"/>
      <name val="Calibri"/>
      <family val="2"/>
      <scheme val="minor"/>
    </font>
    <font>
      <sz val="14"/>
      <color theme="1"/>
      <name val="Arial Black"/>
      <family val="2"/>
    </font>
    <font>
      <sz val="12"/>
      <color theme="1"/>
      <name val="Times New Roman"/>
      <family val="1"/>
    </font>
    <font>
      <sz val="22"/>
      <color theme="1"/>
      <name val="Times New Roman"/>
      <family val="1"/>
    </font>
    <font>
      <b/>
      <sz val="18"/>
      <color theme="0"/>
      <name val="Calibri"/>
      <family val="2"/>
      <scheme val="minor"/>
    </font>
    <font>
      <sz val="18"/>
      <color theme="1"/>
      <name val="Calibri"/>
      <family val="2"/>
      <scheme val="minor"/>
    </font>
    <font>
      <b/>
      <u/>
      <sz val="18"/>
      <color theme="1"/>
      <name val="Times New Roman"/>
      <family val="1"/>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7"/>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2">
    <xf numFmtId="0" fontId="0" fillId="0" borderId="0"/>
    <xf numFmtId="0" fontId="2" fillId="4" borderId="0" applyNumberFormat="0" applyBorder="0" applyAlignment="0" applyProtection="0"/>
  </cellStyleXfs>
  <cellXfs count="35">
    <xf numFmtId="0" fontId="0" fillId="0" borderId="0" xfId="0"/>
    <xf numFmtId="0" fontId="0" fillId="0" borderId="0" xfId="0" applyNumberFormat="1"/>
    <xf numFmtId="14" fontId="0" fillId="0" borderId="0" xfId="0" applyNumberFormat="1"/>
    <xf numFmtId="49" fontId="0" fillId="0" borderId="0" xfId="0" applyNumberFormat="1" applyAlignment="1">
      <alignment horizontal="center"/>
    </xf>
    <xf numFmtId="14" fontId="0" fillId="0" borderId="0" xfId="0" applyNumberFormat="1" applyFill="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0" borderId="0" xfId="1" applyFont="1" applyFill="1"/>
    <xf numFmtId="0" fontId="5" fillId="0" borderId="0" xfId="0" applyNumberFormat="1" applyFont="1"/>
    <xf numFmtId="14" fontId="5" fillId="0" borderId="2" xfId="0" applyNumberFormat="1" applyFont="1" applyFill="1" applyBorder="1"/>
    <xf numFmtId="0" fontId="5" fillId="0" borderId="0" xfId="0" applyFont="1"/>
    <xf numFmtId="0" fontId="5" fillId="0" borderId="1" xfId="0" applyNumberFormat="1" applyFont="1" applyBorder="1"/>
    <xf numFmtId="0" fontId="5" fillId="0" borderId="1" xfId="0" applyNumberFormat="1" applyFont="1" applyFill="1" applyBorder="1"/>
    <xf numFmtId="14" fontId="5" fillId="0" borderId="0" xfId="0" applyNumberFormat="1" applyFont="1"/>
    <xf numFmtId="14" fontId="5" fillId="0" borderId="2" xfId="0" applyNumberFormat="1" applyFont="1" applyBorder="1"/>
    <xf numFmtId="0" fontId="6" fillId="0" borderId="0" xfId="0" pivotButton="1" applyFont="1"/>
    <xf numFmtId="0" fontId="6" fillId="0" borderId="0" xfId="0" applyFont="1"/>
    <xf numFmtId="0" fontId="8" fillId="0" borderId="0" xfId="0" applyFont="1" applyAlignment="1">
      <alignment horizontal="left"/>
    </xf>
    <xf numFmtId="0" fontId="8" fillId="0" borderId="0" xfId="0" applyNumberFormat="1" applyFont="1"/>
    <xf numFmtId="0" fontId="10" fillId="2" borderId="2" xfId="0" applyFont="1" applyFill="1" applyBorder="1"/>
    <xf numFmtId="0" fontId="11" fillId="3" borderId="2" xfId="0" applyFont="1" applyFill="1" applyBorder="1"/>
    <xf numFmtId="0" fontId="11" fillId="0" borderId="2" xfId="0" applyFont="1" applyBorder="1"/>
    <xf numFmtId="0" fontId="11" fillId="3" borderId="2" xfId="0" applyNumberFormat="1" applyFont="1" applyFill="1" applyBorder="1"/>
    <xf numFmtId="0" fontId="11" fillId="0" borderId="2" xfId="0" applyNumberFormat="1" applyFont="1" applyBorder="1"/>
    <xf numFmtId="0" fontId="11" fillId="0" borderId="0" xfId="0" applyFont="1" applyFill="1"/>
    <xf numFmtId="0" fontId="5" fillId="0" borderId="0" xfId="0" pivotButton="1" applyFont="1"/>
    <xf numFmtId="0" fontId="5" fillId="0" borderId="0" xfId="0" applyFont="1" applyAlignment="1">
      <alignment horizontal="left"/>
    </xf>
    <xf numFmtId="0" fontId="1" fillId="0" borderId="0" xfId="0" applyFont="1" applyAlignment="1">
      <alignment horizontal="center"/>
    </xf>
    <xf numFmtId="0" fontId="0" fillId="0" borderId="0" xfId="0" applyAlignment="1">
      <alignment horizontal="center"/>
    </xf>
    <xf numFmtId="0" fontId="7" fillId="0" borderId="0" xfId="0" applyFont="1" applyAlignment="1">
      <alignment horizontal="center"/>
    </xf>
    <xf numFmtId="0" fontId="3" fillId="0" borderId="0" xfId="0" applyFont="1" applyAlignment="1">
      <alignment horizontal="center"/>
    </xf>
    <xf numFmtId="0" fontId="12" fillId="0" borderId="0" xfId="0" applyFont="1" applyAlignment="1">
      <alignment horizontal="center"/>
    </xf>
  </cellXfs>
  <cellStyles count="2">
    <cellStyle name="Accent4" xfId="1" builtinId="41"/>
    <cellStyle name="Normal" xfId="0" builtinId="0"/>
  </cellStyles>
  <dxfs count="52">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b val="0"/>
        <i val="0"/>
        <strike val="0"/>
        <condense val="0"/>
        <extend val="0"/>
        <outline val="0"/>
        <shadow val="0"/>
        <u val="none"/>
        <vertAlign val="baseline"/>
        <sz val="16"/>
        <color theme="1"/>
        <name val="Calibri"/>
        <family val="2"/>
        <scheme val="minor"/>
      </font>
      <numFmt numFmtId="19" formatCode="m/d/yyyy"/>
      <border diagonalUp="0" diagonalDown="0" outline="0">
        <left/>
        <right/>
        <top style="thin">
          <color theme="9" tint="0.39997558519241921"/>
        </top>
        <bottom style="thin">
          <color theme="9" tint="0.39997558519241921"/>
        </bottom>
      </border>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dxf>
    <dxf>
      <font>
        <strike val="0"/>
        <outline val="0"/>
        <shadow val="0"/>
        <u val="none"/>
        <vertAlign val="baseline"/>
        <sz val="16"/>
        <name val="Calibri"/>
        <family val="2"/>
        <scheme val="minor"/>
      </font>
      <fill>
        <patternFill patternType="none">
          <fgColor indexed="64"/>
          <bgColor auto="1"/>
        </patternFill>
      </fill>
    </dxf>
    <dxf>
      <font>
        <sz val="16"/>
      </font>
    </dxf>
    <dxf>
      <font>
        <sz val="16"/>
      </font>
    </dxf>
    <dxf>
      <font>
        <sz val="16"/>
      </font>
    </dxf>
    <dxf>
      <font>
        <sz val="16"/>
      </font>
    </dxf>
    <dxf>
      <font>
        <sz val="16"/>
      </font>
    </dxf>
    <dxf>
      <font>
        <sz val="16"/>
      </font>
    </dxf>
    <dxf>
      <font>
        <color rgb="FF006100"/>
      </font>
      <fill>
        <patternFill>
          <bgColor rgb="FFC6EFCE"/>
        </patternFill>
      </fill>
    </dxf>
    <dxf>
      <fill>
        <patternFill patternType="none">
          <fgColor indexed="64"/>
          <bgColor auto="1"/>
        </patternFill>
      </fill>
    </dxf>
    <dxf>
      <fill>
        <patternFill patternType="none">
          <fgColor indexed="64"/>
          <bgColor auto="1"/>
        </patternFill>
      </fill>
    </dxf>
    <dxf>
      <border outline="0">
        <left style="thin">
          <color theme="9" tint="0.39997558519241921"/>
        </left>
      </border>
    </dxf>
    <dxf>
      <font>
        <name val="Times New Roman"/>
        <family val="1"/>
        <scheme val="none"/>
      </font>
    </dxf>
    <dxf>
      <font>
        <name val="Times New Roman"/>
        <family val="1"/>
        <scheme val="none"/>
      </font>
    </dxf>
    <dxf>
      <font>
        <sz val="12"/>
      </font>
    </dxf>
    <dxf>
      <font>
        <sz val="12"/>
      </font>
    </dxf>
    <dxf>
      <font>
        <sz val="12"/>
      </font>
    </dxf>
    <dxf>
      <font>
        <sz val="12"/>
      </font>
    </dxf>
    <dxf>
      <font>
        <color rgb="FF9C0006"/>
      </font>
      <fill>
        <patternFill>
          <bgColor rgb="FFFFC7CE"/>
        </patternFill>
      </fil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4" formatCode="0.00%"/>
    </dxf>
    <dxf>
      <numFmt numFmtId="2" formatCode="0.00"/>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5 Campaign Effectiveness.xlsx]TASK 5(Q2 (a))!PivotTable1</c:name>
    <c:fmtId val="2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HIGHEST ROI</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6275262467191601"/>
          <c:w val="0.82248140857392826"/>
          <c:h val="0.5151279527559055"/>
        </c:manualLayout>
      </c:layout>
      <c:barChart>
        <c:barDir val="col"/>
        <c:grouping val="clustered"/>
        <c:varyColors val="0"/>
        <c:ser>
          <c:idx val="0"/>
          <c:order val="0"/>
          <c:tx>
            <c:strRef>
              <c:f>'TASK 5(Q2 (a))'!$D$14</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 5(Q2 (a))'!$C$15:$C$19</c:f>
              <c:strCache>
                <c:ptCount val="4"/>
                <c:pt idx="0">
                  <c:v>CybertruckLaunch</c:v>
                </c:pt>
                <c:pt idx="1">
                  <c:v>FSDUpdate</c:v>
                </c:pt>
                <c:pt idx="2">
                  <c:v>ModelYCampaign</c:v>
                </c:pt>
                <c:pt idx="3">
                  <c:v>SustainabilityDrive</c:v>
                </c:pt>
              </c:strCache>
            </c:strRef>
          </c:cat>
          <c:val>
            <c:numRef>
              <c:f>'TASK 5(Q2 (a))'!$D$15:$D$19</c:f>
              <c:numCache>
                <c:formatCode>General</c:formatCode>
                <c:ptCount val="4"/>
                <c:pt idx="0">
                  <c:v>1.2022333333333333</c:v>
                </c:pt>
                <c:pt idx="1">
                  <c:v>0.97141200000000005</c:v>
                </c:pt>
                <c:pt idx="2">
                  <c:v>1.058055</c:v>
                </c:pt>
                <c:pt idx="3">
                  <c:v>1.3954</c:v>
                </c:pt>
              </c:numCache>
            </c:numRef>
          </c:val>
          <c:extLst>
            <c:ext xmlns:c16="http://schemas.microsoft.com/office/drawing/2014/chart" uri="{C3380CC4-5D6E-409C-BE32-E72D297353CC}">
              <c16:uniqueId val="{00000000-FB78-4400-9906-C5F43C516667}"/>
            </c:ext>
          </c:extLst>
        </c:ser>
        <c:dLbls>
          <c:dLblPos val="outEnd"/>
          <c:showLegendKey val="0"/>
          <c:showVal val="1"/>
          <c:showCatName val="0"/>
          <c:showSerName val="0"/>
          <c:showPercent val="0"/>
          <c:showBubbleSize val="0"/>
        </c:dLbls>
        <c:gapWidth val="80"/>
        <c:overlap val="25"/>
        <c:axId val="989646991"/>
        <c:axId val="989647823"/>
      </c:barChart>
      <c:catAx>
        <c:axId val="9896469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89647823"/>
        <c:crosses val="autoZero"/>
        <c:auto val="1"/>
        <c:lblAlgn val="ctr"/>
        <c:lblOffset val="100"/>
        <c:noMultiLvlLbl val="0"/>
      </c:catAx>
      <c:valAx>
        <c:axId val="98964782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8964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Campaign Effectiveness.xlsx]TASK5(Q2(b))!PivotTable2</c:name>
    <c:fmtId val="1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'TASK5(Q2(b))'!$C$22</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8AD-4F3C-A8F6-7F0473AD4D32}"/>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8AD-4F3C-A8F6-7F0473AD4D32}"/>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8AD-4F3C-A8F6-7F0473AD4D32}"/>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8AD-4F3C-A8F6-7F0473AD4D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'TASK5(Q2(b))'!$B$23:$B$27</c:f>
              <c:strCache>
                <c:ptCount val="4"/>
                <c:pt idx="0">
                  <c:v>Instagram </c:v>
                </c:pt>
                <c:pt idx="1">
                  <c:v>Twitter </c:v>
                </c:pt>
                <c:pt idx="2">
                  <c:v>Facebook </c:v>
                </c:pt>
                <c:pt idx="3">
                  <c:v>youtube </c:v>
                </c:pt>
              </c:strCache>
            </c:strRef>
          </c:cat>
          <c:val>
            <c:numRef>
              <c:f>'TASK5(Q2(b))'!$C$23:$C$27</c:f>
              <c:numCache>
                <c:formatCode>General</c:formatCode>
                <c:ptCount val="4"/>
                <c:pt idx="0">
                  <c:v>15102</c:v>
                </c:pt>
                <c:pt idx="1">
                  <c:v>9151</c:v>
                </c:pt>
                <c:pt idx="2">
                  <c:v>7353</c:v>
                </c:pt>
                <c:pt idx="3">
                  <c:v>4242</c:v>
                </c:pt>
              </c:numCache>
            </c:numRef>
          </c:val>
          <c:extLst>
            <c:ext xmlns:c16="http://schemas.microsoft.com/office/drawing/2014/chart" uri="{C3380CC4-5D6E-409C-BE32-E72D297353CC}">
              <c16:uniqueId val="{00000000-8AE7-4F54-9BBE-222E2E7869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24344459409602"/>
          <c:y val="0.31874513544994465"/>
          <c:w val="0.24546854173532753"/>
          <c:h val="0.3627775358449478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https://mirincondemariposas.blogspot.com/2011/07/helado-de-cookies-cream.htm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28</xdr:col>
      <xdr:colOff>10948</xdr:colOff>
      <xdr:row>7</xdr:row>
      <xdr:rowOff>175171</xdr:rowOff>
    </xdr:from>
    <xdr:to>
      <xdr:col>40</xdr:col>
      <xdr:colOff>503620</xdr:colOff>
      <xdr:row>26</xdr:row>
      <xdr:rowOff>10948</xdr:rowOff>
    </xdr:to>
    <xdr:sp macro="" textlink="">
      <xdr:nvSpPr>
        <xdr:cNvPr id="2" name="TextBox 1">
          <a:extLst>
            <a:ext uri="{FF2B5EF4-FFF2-40B4-BE49-F238E27FC236}">
              <a16:creationId xmlns:a16="http://schemas.microsoft.com/office/drawing/2014/main" id="{CD0937E3-C97D-42A6-837C-86AA888D2169}"/>
            </a:ext>
          </a:extLst>
        </xdr:cNvPr>
        <xdr:cNvSpPr txBox="1"/>
      </xdr:nvSpPr>
      <xdr:spPr>
        <a:xfrm>
          <a:off x="33961551" y="1478016"/>
          <a:ext cx="8134569" cy="3372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start date </a:t>
          </a:r>
          <a:r>
            <a:rPr lang="en-US" sz="1200"/>
            <a:t>:VLOOKUP([@[Campaign_Name]],'Campaign Metadata Dataset '!$A$2:$B$5,2,0)</a:t>
          </a:r>
        </a:p>
        <a:p>
          <a:br>
            <a:rPr lang="en-US" sz="1200"/>
          </a:br>
          <a:r>
            <a:rPr lang="en-US" sz="1200" b="1"/>
            <a:t>end date </a:t>
          </a:r>
          <a:r>
            <a:rPr lang="en-US" sz="1200"/>
            <a:t>: =VLOOKUP([@[Campaign_Name]],'Campaign Metadata Dataset '!$A$1:$C$5,3,0)</a:t>
          </a:r>
        </a:p>
        <a:p>
          <a:endParaRPr lang="en-US" sz="1200"/>
        </a:p>
        <a:p>
          <a:r>
            <a:rPr lang="en-US" sz="1200" b="1"/>
            <a:t>period</a:t>
          </a:r>
          <a:r>
            <a:rPr lang="en-US" sz="1200" baseline="0"/>
            <a:t> :=IF(AND(C2&gt;R2, C2&lt;=S2),"During Campaign","Before Campaign")</a:t>
          </a:r>
        </a:p>
        <a:p>
          <a:endParaRPr lang="en-US" sz="1200" baseline="0"/>
        </a:p>
        <a:p>
          <a:r>
            <a:rPr lang="en-US" sz="1200" b="1"/>
            <a:t>engagement</a:t>
          </a:r>
          <a:r>
            <a:rPr lang="en-US" sz="1200"/>
            <a:t> =SUM([@Likes]+[@Shares]+[@Comments]+[@Clicks])</a:t>
          </a:r>
        </a:p>
        <a:p>
          <a:endParaRPr lang="en-US" sz="1200"/>
        </a:p>
        <a:p>
          <a:r>
            <a:rPr lang="en-US" sz="1200" b="1"/>
            <a:t>before </a:t>
          </a:r>
          <a:r>
            <a:rPr lang="en-US" sz="1200"/>
            <a:t>=AVERAGEIF([@Period]:T:T,"Before Campaign",[@[Engagement Rate ]])</a:t>
          </a:r>
        </a:p>
        <a:p>
          <a:endParaRPr lang="en-US" sz="1200"/>
        </a:p>
        <a:p>
          <a:r>
            <a:rPr lang="en-US" sz="1200" b="1"/>
            <a:t>during</a:t>
          </a:r>
          <a:r>
            <a:rPr lang="en-US" sz="1200"/>
            <a:t>=AVERAGEIF($T$2:$T$302,"During Campaign",P2)</a:t>
          </a:r>
        </a:p>
        <a:p>
          <a:endParaRPr lang="en-US" sz="1200"/>
        </a:p>
        <a:p>
          <a:r>
            <a:rPr lang="en-US" sz="1200" b="1"/>
            <a:t>uplift</a:t>
          </a:r>
          <a:r>
            <a:rPr lang="en-US" sz="1200"/>
            <a:t>=(W2-V2)/W2(during -before )/during </a:t>
          </a:r>
        </a:p>
        <a:p>
          <a:br>
            <a:rPr lang="en-US" sz="1200"/>
          </a:br>
          <a:r>
            <a:rPr lang="en-US" sz="1200" b="1"/>
            <a:t>total budget </a:t>
          </a:r>
          <a:r>
            <a:rPr lang="en-US" sz="1200"/>
            <a:t>=IFERROR(VLOOKUP(O3, 'Campaign Metadata Dataset '!$A$1:$G$5,5,0),0)</a:t>
          </a:r>
        </a:p>
        <a:p>
          <a:endParaRPr lang="en-US" sz="1200"/>
        </a:p>
        <a:p>
          <a:r>
            <a:rPr lang="en-US" sz="1200" b="1"/>
            <a:t>ROI</a:t>
          </a:r>
          <a:r>
            <a:rPr lang="en-US" sz="1200"/>
            <a:t>=([@Likes]+[@Shares]+[@Comments]+[@Clicks])/[@[Total Budget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600075</xdr:colOff>
      <xdr:row>0</xdr:row>
      <xdr:rowOff>161925</xdr:rowOff>
    </xdr:from>
    <xdr:to>
      <xdr:col>9</xdr:col>
      <xdr:colOff>57150</xdr:colOff>
      <xdr:row>14</xdr:row>
      <xdr:rowOff>19050</xdr:rowOff>
    </xdr:to>
    <mc:AlternateContent xmlns:mc="http://schemas.openxmlformats.org/markup-compatibility/2006" xmlns:a14="http://schemas.microsoft.com/office/drawing/2010/main">
      <mc:Choice Requires="a14">
        <xdr:graphicFrame macro="">
          <xdr:nvGraphicFramePr>
            <xdr:cNvPr id="2" name="Campaign_Name">
              <a:extLst>
                <a:ext uri="{FF2B5EF4-FFF2-40B4-BE49-F238E27FC236}">
                  <a16:creationId xmlns:a16="http://schemas.microsoft.com/office/drawing/2014/main" id="{7DCE08D2-69E6-40BA-888A-A55223BDD1D1}"/>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8829675" y="161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11</xdr:row>
      <xdr:rowOff>180975</xdr:rowOff>
    </xdr:from>
    <xdr:to>
      <xdr:col>5</xdr:col>
      <xdr:colOff>409575</xdr:colOff>
      <xdr:row>15</xdr:row>
      <xdr:rowOff>57150</xdr:rowOff>
    </xdr:to>
    <xdr:sp macro="" textlink="">
      <xdr:nvSpPr>
        <xdr:cNvPr id="3" name="TextBox 2">
          <a:extLst>
            <a:ext uri="{FF2B5EF4-FFF2-40B4-BE49-F238E27FC236}">
              <a16:creationId xmlns:a16="http://schemas.microsoft.com/office/drawing/2014/main" id="{4AAAAA2E-7ED8-438E-AF10-372D0478DD36}"/>
            </a:ext>
          </a:extLst>
        </xdr:cNvPr>
        <xdr:cNvSpPr txBox="1"/>
      </xdr:nvSpPr>
      <xdr:spPr>
        <a:xfrm>
          <a:off x="171450" y="2276475"/>
          <a:ext cx="611505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table provides totals and averages for impressions, likes, and clicks for each of the campaigns. "SustainabilityDrive" had the highest aggregate for impressions and clicks, while "ModelYCampaign" had the highest average clicks.</a:t>
          </a:r>
          <a:endParaRPr lang="en-US" sz="1100"/>
        </a:p>
      </xdr:txBody>
    </xdr:sp>
    <xdr:clientData/>
  </xdr:twoCellAnchor>
  <xdr:twoCellAnchor editAs="oneCell">
    <xdr:from>
      <xdr:col>9</xdr:col>
      <xdr:colOff>219075</xdr:colOff>
      <xdr:row>29</xdr:row>
      <xdr:rowOff>142875</xdr:rowOff>
    </xdr:from>
    <xdr:to>
      <xdr:col>12</xdr:col>
      <xdr:colOff>219075</xdr:colOff>
      <xdr:row>43</xdr:row>
      <xdr:rowOff>0</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7B1923CA-3951-4A36-9FA4-A581827A8CB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467975" y="5667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29</xdr:row>
      <xdr:rowOff>161925</xdr:rowOff>
    </xdr:from>
    <xdr:to>
      <xdr:col>15</xdr:col>
      <xdr:colOff>495300</xdr:colOff>
      <xdr:row>43</xdr:row>
      <xdr:rowOff>19050</xdr:rowOff>
    </xdr:to>
    <mc:AlternateContent xmlns:mc="http://schemas.openxmlformats.org/markup-compatibility/2006" xmlns:a14="http://schemas.microsoft.com/office/drawing/2010/main">
      <mc:Choice Requires="a14">
        <xdr:graphicFrame macro="">
          <xdr:nvGraphicFramePr>
            <xdr:cNvPr id="5" name="Campaign_Name 1">
              <a:extLst>
                <a:ext uri="{FF2B5EF4-FFF2-40B4-BE49-F238E27FC236}">
                  <a16:creationId xmlns:a16="http://schemas.microsoft.com/office/drawing/2014/main" id="{F5554D42-DB7C-452B-A42F-3F542B4A0920}"/>
                </a:ext>
              </a:extLst>
            </xdr:cNvPr>
            <xdr:cNvGraphicFramePr/>
          </xdr:nvGraphicFramePr>
          <xdr:xfrm>
            <a:off x="0" y="0"/>
            <a:ext cx="0" cy="0"/>
          </xdr:xfrm>
          <a:graphic>
            <a:graphicData uri="http://schemas.microsoft.com/office/drawing/2010/slicer">
              <sle:slicer xmlns:sle="http://schemas.microsoft.com/office/drawing/2010/slicer" name="Campaign_Name 1"/>
            </a:graphicData>
          </a:graphic>
        </xdr:graphicFrame>
      </mc:Choice>
      <mc:Fallback xmlns="">
        <xdr:sp macro="" textlink="">
          <xdr:nvSpPr>
            <xdr:cNvPr id="0" name=""/>
            <xdr:cNvSpPr>
              <a:spLocks noTextEdit="1"/>
            </xdr:cNvSpPr>
          </xdr:nvSpPr>
          <xdr:spPr>
            <a:xfrm>
              <a:off x="12573000" y="5686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660980</xdr:colOff>
      <xdr:row>57</xdr:row>
      <xdr:rowOff>171449</xdr:rowOff>
    </xdr:from>
    <xdr:ext cx="5530269" cy="264560"/>
    <xdr:sp macro="" textlink="">
      <xdr:nvSpPr>
        <xdr:cNvPr id="6" name="TextBox 5">
          <a:extLst>
            <a:ext uri="{FF2B5EF4-FFF2-40B4-BE49-F238E27FC236}">
              <a16:creationId xmlns:a16="http://schemas.microsoft.com/office/drawing/2014/main" id="{87553FED-E2F3-40F5-A8CA-5853C10ADDB2}"/>
            </a:ext>
          </a:extLst>
        </xdr:cNvPr>
        <xdr:cNvSpPr txBox="1"/>
      </xdr:nvSpPr>
      <xdr:spPr>
        <a:xfrm flipH="1">
          <a:off x="5090105" y="11029949"/>
          <a:ext cx="55302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9</xdr:col>
      <xdr:colOff>142875</xdr:colOff>
      <xdr:row>44</xdr:row>
      <xdr:rowOff>0</xdr:rowOff>
    </xdr:from>
    <xdr:to>
      <xdr:col>18</xdr:col>
      <xdr:colOff>447675</xdr:colOff>
      <xdr:row>50</xdr:row>
      <xdr:rowOff>19050</xdr:rowOff>
    </xdr:to>
    <xdr:sp macro="" textlink="">
      <xdr:nvSpPr>
        <xdr:cNvPr id="7" name="TextBox 6">
          <a:extLst>
            <a:ext uri="{FF2B5EF4-FFF2-40B4-BE49-F238E27FC236}">
              <a16:creationId xmlns:a16="http://schemas.microsoft.com/office/drawing/2014/main" id="{16217DA4-9803-48CE-BB2A-1E21DDFDA146}"/>
            </a:ext>
          </a:extLst>
        </xdr:cNvPr>
        <xdr:cNvSpPr txBox="1"/>
      </xdr:nvSpPr>
      <xdr:spPr>
        <a:xfrm>
          <a:off x="10744200" y="8382000"/>
          <a:ext cx="5791200"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Engagement rates went down on all platforms during the campaign, indicating a decline overall. Engagement on X fell the most while YouTube experienced the smallest drop, suggesting somewhat stable audience engagement.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115454</xdr:colOff>
      <xdr:row>5</xdr:row>
      <xdr:rowOff>28864</xdr:rowOff>
    </xdr:from>
    <xdr:to>
      <xdr:col>14</xdr:col>
      <xdr:colOff>418521</xdr:colOff>
      <xdr:row>23</xdr:row>
      <xdr:rowOff>0</xdr:rowOff>
    </xdr:to>
    <xdr:graphicFrame macro="">
      <xdr:nvGraphicFramePr>
        <xdr:cNvPr id="2" name="Chart 1">
          <a:extLst>
            <a:ext uri="{FF2B5EF4-FFF2-40B4-BE49-F238E27FC236}">
              <a16:creationId xmlns:a16="http://schemas.microsoft.com/office/drawing/2014/main" id="{8BE99986-E82F-461F-8E54-CAF229B8F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125845</xdr:colOff>
      <xdr:row>25</xdr:row>
      <xdr:rowOff>28575</xdr:rowOff>
    </xdr:from>
    <xdr:to>
      <xdr:col>8</xdr:col>
      <xdr:colOff>154420</xdr:colOff>
      <xdr:row>35</xdr:row>
      <xdr:rowOff>171450</xdr:rowOff>
    </xdr:to>
    <xdr:sp macro="" textlink="">
      <xdr:nvSpPr>
        <xdr:cNvPr id="4" name="TextBox 3">
          <a:extLst>
            <a:ext uri="{FF2B5EF4-FFF2-40B4-BE49-F238E27FC236}">
              <a16:creationId xmlns:a16="http://schemas.microsoft.com/office/drawing/2014/main" id="{DD244C86-F020-4077-A7B5-A3A99870ADED}"/>
            </a:ext>
          </a:extLst>
        </xdr:cNvPr>
        <xdr:cNvSpPr txBox="1"/>
      </xdr:nvSpPr>
      <xdr:spPr>
        <a:xfrm>
          <a:off x="125845" y="4892098"/>
          <a:ext cx="8745393" cy="16437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Formula </a:t>
          </a:r>
          <a:r>
            <a:rPr lang="en-US" sz="1600" b="1" u="sng"/>
            <a:t>HIghest</a:t>
          </a:r>
          <a:r>
            <a:rPr lang="en-US" sz="1600" b="1" u="sng" baseline="0"/>
            <a:t> ROI </a:t>
          </a:r>
          <a:r>
            <a:rPr lang="en-US" sz="1600"/>
            <a:t>:</a:t>
          </a:r>
          <a:r>
            <a:rPr lang="en-US" sz="1600" baseline="0"/>
            <a:t> =C2/B2(Total Engagement / Total Budget )</a:t>
          </a:r>
        </a:p>
        <a:p>
          <a:br>
            <a:rPr lang="en-US" sz="1600" baseline="0"/>
          </a:br>
          <a:r>
            <a:rPr lang="en-US" sz="1600" b="1" u="sng"/>
            <a:t>TotalEnagaemen</a:t>
          </a:r>
          <a:r>
            <a:rPr lang="en-US" sz="1600"/>
            <a:t>t=SUMIFS(Posts_Cleaned[Likes],Posts_Cleaned[Campaign_Name],"CybertruckLaunch")+SUMIFS(Posts_Cleaned[Shares],Posts_Cleaned[Campaign_Name],"CybertruckLaunch")+SUMIFS(Posts_Cleaned[Comments],Posts_Cleaned[Campaign_Name],"CybertruckLaunch")+SUMIFS(Posts_Cleaned[Clicks],Posts_Cleaned[Campaign_Name],"CybertruckLaunch")</a:t>
          </a:r>
        </a:p>
      </xdr:txBody>
    </xdr:sp>
    <xdr:clientData/>
  </xdr:twoCellAnchor>
  <xdr:twoCellAnchor>
    <xdr:from>
      <xdr:col>14</xdr:col>
      <xdr:colOff>551707</xdr:colOff>
      <xdr:row>9</xdr:row>
      <xdr:rowOff>51542</xdr:rowOff>
    </xdr:from>
    <xdr:to>
      <xdr:col>25</xdr:col>
      <xdr:colOff>81642</xdr:colOff>
      <xdr:row>15</xdr:row>
      <xdr:rowOff>147204</xdr:rowOff>
    </xdr:to>
    <xdr:sp macro="" textlink="">
      <xdr:nvSpPr>
        <xdr:cNvPr id="3" name="TextBox 2">
          <a:extLst>
            <a:ext uri="{FF2B5EF4-FFF2-40B4-BE49-F238E27FC236}">
              <a16:creationId xmlns:a16="http://schemas.microsoft.com/office/drawing/2014/main" id="{28EEED95-B248-4F21-800D-8582B2E04DCB}"/>
            </a:ext>
          </a:extLst>
        </xdr:cNvPr>
        <xdr:cNvSpPr txBox="1"/>
      </xdr:nvSpPr>
      <xdr:spPr>
        <a:xfrm>
          <a:off x="14233071" y="2245178"/>
          <a:ext cx="6197435" cy="1250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dk1"/>
              </a:solidFill>
              <a:effectLst/>
              <a:latin typeface="+mn-lt"/>
              <a:ea typeface="+mn-ea"/>
              <a:cs typeface="+mn-cs"/>
            </a:rPr>
            <a:t>The "SustainabilityDrive" campaign was the most successful among the four campaigns offered, and it also had the highest ROI of 1.3954. On the contrary, the "FSDUpdate" campaign achieved the lowest ROI of less than 1, meaning it did not fully recover its initial cost.</a:t>
          </a:r>
          <a:endParaRPr lang="en-US"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462566</xdr:colOff>
      <xdr:row>24</xdr:row>
      <xdr:rowOff>269297</xdr:rowOff>
    </xdr:from>
    <xdr:to>
      <xdr:col>19</xdr:col>
      <xdr:colOff>87355</xdr:colOff>
      <xdr:row>40</xdr:row>
      <xdr:rowOff>85979</xdr:rowOff>
    </xdr:to>
    <xdr:sp macro="" textlink="">
      <xdr:nvSpPr>
        <xdr:cNvPr id="2" name="TextBox 1">
          <a:extLst>
            <a:ext uri="{FF2B5EF4-FFF2-40B4-BE49-F238E27FC236}">
              <a16:creationId xmlns:a16="http://schemas.microsoft.com/office/drawing/2014/main" id="{6ECDD90A-24E5-428A-A685-294F4B42F9F6}"/>
            </a:ext>
          </a:extLst>
        </xdr:cNvPr>
        <xdr:cNvSpPr txBox="1"/>
      </xdr:nvSpPr>
      <xdr:spPr>
        <a:xfrm>
          <a:off x="8107306" y="5761635"/>
          <a:ext cx="8110698" cy="3738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dk1"/>
              </a:solidFill>
              <a:effectLst/>
              <a:latin typeface="+mn-lt"/>
              <a:ea typeface="+mn-ea"/>
              <a:cs typeface="+mn-cs"/>
            </a:rPr>
            <a:t>This summary shows new followers that were gained during recent campaigns across all social channels. From the pivot table, Instagram received the most new followers at 15,102, followed by Twitter, Facebook, and YouTube. The pie chart also confirms visually that Instagram was the highest growing platform for new followers.</a:t>
          </a:r>
        </a:p>
        <a:p>
          <a:endParaRPr lang="en-US" sz="1100" b="0" i="0">
            <a:solidFill>
              <a:schemeClr val="dk1"/>
            </a:solidFill>
            <a:effectLst/>
            <a:latin typeface="+mn-lt"/>
            <a:ea typeface="+mn-ea"/>
            <a:cs typeface="+mn-cs"/>
          </a:endParaRPr>
        </a:p>
        <a:p>
          <a:r>
            <a:rPr lang="en-US" sz="1600" b="1" u="sng"/>
            <a:t>New</a:t>
          </a:r>
          <a:r>
            <a:rPr lang="en-US" sz="1600" b="1" u="sng" baseline="0"/>
            <a:t> Followers  </a:t>
          </a:r>
          <a:r>
            <a:rPr lang="en-US" sz="1600" b="1"/>
            <a:t>=SUMIFS('Engagement Summary Dataset '!C3:C202,'Engagement Summary Dataset '!A3:A202,"&gt;="&amp;B4,'Engagement Summary Dataset '!A3:A202,"&lt;="&amp;C4,'Engagement Summary Dataset '!B3:B202,"Instagram")</a:t>
          </a:r>
        </a:p>
      </xdr:txBody>
    </xdr:sp>
    <xdr:clientData/>
  </xdr:twoCellAnchor>
  <xdr:twoCellAnchor editAs="oneCell">
    <xdr:from>
      <xdr:col>18</xdr:col>
      <xdr:colOff>149619</xdr:colOff>
      <xdr:row>34</xdr:row>
      <xdr:rowOff>52609</xdr:rowOff>
    </xdr:from>
    <xdr:to>
      <xdr:col>18</xdr:col>
      <xdr:colOff>526302</xdr:colOff>
      <xdr:row>35</xdr:row>
      <xdr:rowOff>112831</xdr:rowOff>
    </xdr:to>
    <xdr:pic>
      <xdr:nvPicPr>
        <xdr:cNvPr id="4" name="Picture 3">
          <a:extLst>
            <a:ext uri="{FF2B5EF4-FFF2-40B4-BE49-F238E27FC236}">
              <a16:creationId xmlns:a16="http://schemas.microsoft.com/office/drawing/2014/main" id="{4811E034-A60D-4761-A3D8-C1F7D7A4C8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5702158" y="7747023"/>
          <a:ext cx="376683" cy="253699"/>
        </a:xfrm>
        <a:prstGeom prst="rect">
          <a:avLst/>
        </a:prstGeom>
      </xdr:spPr>
    </xdr:pic>
    <xdr:clientData/>
  </xdr:twoCellAnchor>
  <xdr:twoCellAnchor>
    <xdr:from>
      <xdr:col>5</xdr:col>
      <xdr:colOff>529616</xdr:colOff>
      <xdr:row>4</xdr:row>
      <xdr:rowOff>146539</xdr:rowOff>
    </xdr:from>
    <xdr:to>
      <xdr:col>16</xdr:col>
      <xdr:colOff>219807</xdr:colOff>
      <xdr:row>23</xdr:row>
      <xdr:rowOff>131885</xdr:rowOff>
    </xdr:to>
    <xdr:graphicFrame macro="">
      <xdr:nvGraphicFramePr>
        <xdr:cNvPr id="7" name="Chart 6">
          <a:extLst>
            <a:ext uri="{FF2B5EF4-FFF2-40B4-BE49-F238E27FC236}">
              <a16:creationId xmlns:a16="http://schemas.microsoft.com/office/drawing/2014/main" id="{2B7DE5BF-39E6-44A2-BCDD-2BCC09257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569025</xdr:colOff>
      <xdr:row>17</xdr:row>
      <xdr:rowOff>95497</xdr:rowOff>
    </xdr:from>
    <xdr:to>
      <xdr:col>4</xdr:col>
      <xdr:colOff>764968</xdr:colOff>
      <xdr:row>27</xdr:row>
      <xdr:rowOff>187407</xdr:rowOff>
    </xdr:to>
    <mc:AlternateContent xmlns:mc="http://schemas.openxmlformats.org/markup-compatibility/2006" xmlns:a14="http://schemas.microsoft.com/office/drawing/2010/main">
      <mc:Choice Requires="a14">
        <xdr:graphicFrame macro="">
          <xdr:nvGraphicFramePr>
            <xdr:cNvPr id="3" name="Campaign_Name 2">
              <a:extLst>
                <a:ext uri="{FF2B5EF4-FFF2-40B4-BE49-F238E27FC236}">
                  <a16:creationId xmlns:a16="http://schemas.microsoft.com/office/drawing/2014/main" id="{C3FB0B29-710A-4D15-826F-EC00DFF0779C}"/>
                </a:ext>
              </a:extLst>
            </xdr:cNvPr>
            <xdr:cNvGraphicFramePr/>
          </xdr:nvGraphicFramePr>
          <xdr:xfrm>
            <a:off x="0" y="0"/>
            <a:ext cx="0" cy="0"/>
          </xdr:xfrm>
          <a:graphic>
            <a:graphicData uri="http://schemas.microsoft.com/office/drawing/2010/slicer">
              <sle:slicer xmlns:sle="http://schemas.microsoft.com/office/drawing/2010/slicer" name="Campaign_Name 2"/>
            </a:graphicData>
          </a:graphic>
        </xdr:graphicFrame>
      </mc:Choice>
      <mc:Fallback xmlns="">
        <xdr:sp macro="" textlink="">
          <xdr:nvSpPr>
            <xdr:cNvPr id="0" name=""/>
            <xdr:cNvSpPr>
              <a:spLocks noTextEdit="1"/>
            </xdr:cNvSpPr>
          </xdr:nvSpPr>
          <xdr:spPr>
            <a:xfrm>
              <a:off x="5212463" y="4054325"/>
              <a:ext cx="1833052" cy="2530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9.1148994213" createdVersion="7" refreshedVersion="7" minRefreshableVersion="3" recordCount="300" xr:uid="{95701698-C9F2-4AE9-A213-CA827E004104}">
  <cacheSource type="worksheet">
    <worksheetSource ref="A1:AA301" sheet="Posts "/>
  </cacheSource>
  <cacheFields count="27">
    <cacheField name="Post ID" numFmtId="0">
      <sharedItems/>
    </cacheField>
    <cacheField name="Platform" numFmtId="0">
      <sharedItems count="4">
        <s v="X"/>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1" numFmtId="0">
      <sharedItems/>
    </cacheField>
    <cacheField name="Hashtags Used.2" numFmtId="0">
      <sharedItems containsBlank="1"/>
    </cacheField>
    <cacheField name="Hashtags Used.3" numFmtId="0">
      <sharedItems containsBlank="1"/>
    </cacheField>
    <cacheField name="Campaign_Name" numFmtId="0">
      <sharedItems containsBlank="1" count="5">
        <s v="CybertruckLaunch"/>
        <s v="ModelYCampaign"/>
        <s v="FSDUpdate"/>
        <s v="SustainabilityDrive"/>
        <m/>
      </sharedItems>
    </cacheField>
    <cacheField name="Engagement Rate " numFmtId="2">
      <sharedItems containsSemiMixedTypes="0" containsString="0" containsNumber="1" minValue="5.2551586421122697E-2" maxValue="1.8129251700680271"/>
    </cacheField>
    <cacheField name="Hashtags " numFmtId="49">
      <sharedItems/>
    </cacheField>
    <cacheField name="Start Date " numFmtId="14">
      <sharedItems containsDate="1" containsMixedTypes="1" minDate="2024-06-15T00:00:00" maxDate="2025-03-02T00:00:00"/>
    </cacheField>
    <cacheField name="End Date " numFmtId="14">
      <sharedItems containsDate="1" containsMixedTypes="1" minDate="2024-07-15T00:00:00" maxDate="2025-04-01T00:00:00"/>
    </cacheField>
    <cacheField name="Period" numFmtId="0">
      <sharedItems/>
    </cacheField>
    <cacheField name="Engagement" numFmtId="0">
      <sharedItems containsSemiMixedTypes="0" containsString="0" containsNumber="1" containsInteger="1" minValue="585" maxValue="6343"/>
    </cacheField>
    <cacheField name="Before " numFmtId="0">
      <sharedItems containsSemiMixedTypes="0" containsString="0" containsNumber="1" minValue="0" maxValue="0.18328719029536797"/>
    </cacheField>
    <cacheField name="During " numFmtId="2">
      <sharedItems containsSemiMixedTypes="0" containsString="0" containsNumber="1" minValue="0" maxValue="0.44730325925491521"/>
    </cacheField>
    <cacheField name="Uplift" numFmtId="10">
      <sharedItems containsSemiMixedTypes="0" containsString="0" containsNumber="1" minValue="-2.1362155801302016" maxValue="0.65886507165685149"/>
    </cacheField>
    <cacheField name="Total Budget " numFmtId="0">
      <sharedItems containsSemiMixedTypes="0" containsString="0" containsNumber="1" containsInteger="1" minValue="0" maxValue="250000"/>
    </cacheField>
    <cacheField name="ROI" numFmtId="0">
      <sharedItems containsSemiMixedTypes="0" containsString="0" containsNumber="1" minValue="0" maxValue="4.2286666666666667E-2"/>
    </cacheField>
    <cacheField name="UPLIFT %" numFmtId="0">
      <sharedItems containsSemiMixedTypes="0" containsString="0" containsNumber="1" minValue="-2.1362155801302016" maxValue="0.65886507165685149"/>
    </cacheField>
  </cacheFields>
  <extLst>
    <ext xmlns:x14="http://schemas.microsoft.com/office/spreadsheetml/2009/9/main" uri="{725AE2AE-9491-48be-B2B4-4EB974FC3084}">
      <x14:pivotCacheDefinition pivotCacheId="14091120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9.653842361113" createdVersion="7" refreshedVersion="7" minRefreshableVersion="3" recordCount="4" xr:uid="{08E820C1-3102-4ACF-ACC7-914014263FF1}">
  <cacheSource type="worksheet">
    <worksheetSource ref="A5:D9" sheet="TASK 5(Q2 (a))"/>
  </cacheSource>
  <cacheFields count="4">
    <cacheField name="Campaign_Name" numFmtId="0">
      <sharedItems count="4">
        <s v="CybertruckLaunch"/>
        <s v="ModelYCampaign"/>
        <s v="FSDUpdate"/>
        <s v="SustainabilityDrive"/>
      </sharedItems>
    </cacheField>
    <cacheField name="Total_Budget" numFmtId="0">
      <sharedItems containsSemiMixedTypes="0" containsString="0" containsNumber="1" containsInteger="1" minValue="150000" maxValue="250000"/>
    </cacheField>
    <cacheField name="Enagaement " numFmtId="0">
      <sharedItems containsSemiMixedTypes="0" containsString="0" containsNumber="1" containsInteger="1" minValue="180335" maxValue="251172"/>
    </cacheField>
    <cacheField name="Highest ROI" numFmtId="0">
      <sharedItems containsSemiMixedTypes="0" containsString="0" containsNumber="1" minValue="0.97141200000000005" maxValue="1.3954"/>
    </cacheField>
  </cacheFields>
  <extLst>
    <ext xmlns:x14="http://schemas.microsoft.com/office/spreadsheetml/2009/9/main" uri="{725AE2AE-9491-48be-B2B4-4EB974FC3084}">
      <x14:pivotCacheDefinition pivotCacheId="261086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9.706515972219" createdVersion="7" refreshedVersion="7" minRefreshableVersion="3" recordCount="8" xr:uid="{D0E471FC-7347-4F8B-AE6B-421FF20BADD1}">
  <cacheSource type="worksheet">
    <worksheetSource name="Table6"/>
  </cacheSource>
  <cacheFields count="5">
    <cacheField name="Campaign_Name" numFmtId="0">
      <sharedItems count="4">
        <s v="CybertruckLaunch"/>
        <s v="ModelYCampaign"/>
        <s v="FSDUpdate"/>
        <s v="SustainabilityDrive"/>
      </sharedItems>
    </cacheField>
    <cacheField name="Start Date " numFmtId="14">
      <sharedItems containsSemiMixedTypes="0" containsNonDate="0" containsDate="1" containsString="0" minDate="2024-06-15T00:00:00" maxDate="2025-03-02T00:00:00"/>
    </cacheField>
    <cacheField name="End Date " numFmtId="14">
      <sharedItems containsSemiMixedTypes="0" containsNonDate="0" containsDate="1" containsString="0" minDate="2024-07-15T00:00:00" maxDate="2025-04-01T00:00:00"/>
    </cacheField>
    <cacheField name="Target Platform " numFmtId="0">
      <sharedItems count="4">
        <s v="Instagram "/>
        <s v="Facebook "/>
        <s v="youtube "/>
        <s v="Twitter "/>
      </sharedItems>
    </cacheField>
    <cacheField name="New_Follewrs " numFmtId="0">
      <sharedItems containsSemiMixedTypes="0" containsString="0" containsNumber="1" containsInteger="1" minValue="2796" maxValue="5902"/>
    </cacheField>
  </cacheFields>
  <extLst>
    <ext xmlns:x14="http://schemas.microsoft.com/office/spreadsheetml/2009/9/main" uri="{725AE2AE-9491-48be-B2B4-4EB974FC3084}">
      <x14:pivotCacheDefinition pivotCacheId="20768082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 refreshedDate="45940.047195370367" backgroundQuery="1" createdVersion="7" refreshedVersion="7" minRefreshableVersion="3" recordCount="0" supportSubquery="1" supportAdvancedDrill="1" xr:uid="{D620D65E-F459-4CDE-9842-470ED86DAC9B}">
  <cacheSource type="external" connectionId="9"/>
  <cacheFields count="7">
    <cacheField name="[Posts_Cleaned].[Campaign_Name].[Campaign_Name]" caption="Campaign_Name" numFmtId="0" hierarchy="21" level="1">
      <sharedItems count="4">
        <s v="CybertruckLaunch"/>
        <s v="FSDUpdate"/>
        <s v="ModelYCampaign"/>
        <s v="SustainabilityDrive"/>
      </sharedItems>
    </cacheField>
    <cacheField name="[Measures].[Sum of Likes]" caption="Sum of Likes" numFmtId="0" hierarchy="46" level="32767"/>
    <cacheField name="[Measures].[Average of Likes]" caption="Average of Likes" numFmtId="0" hierarchy="51" level="32767"/>
    <cacheField name="[Measures].[Sum of Impressions]" caption="Sum of Impressions" numFmtId="0" hierarchy="52" level="32767"/>
    <cacheField name="[Measures].[Average of Impressions]" caption="Average of Impressions" numFmtId="0" hierarchy="53" level="32767"/>
    <cacheField name="[Measures].[Sum of Clicks]" caption="Sum of Clicks" numFmtId="0" hierarchy="54" level="32767"/>
    <cacheField name="[Measures].[Average of Clicks 2]" caption="Average of Clicks 2" numFmtId="0" hierarchy="55" level="32767"/>
  </cacheFields>
  <cacheHierarchies count="56">
    <cacheHierarchy uniqueName="[Campaign Metadata  3].[Campaign_Name]" caption="Campaign_Name" attribute="1" defaultMemberUniqueName="[Campaign Metadata  3].[Campaign_Name].[All]" allUniqueName="[Campaign Metadata  3].[Campaign_Name].[All]" dimensionUniqueName="[Campaign Metadata  3]" displayFolder="" count="2" memberValueDatatype="130" unbalanced="0"/>
    <cacheHierarchy uniqueName="[Campaign Metadata  3].[Start_Date]" caption="Start_Date" attribute="1" time="1" defaultMemberUniqueName="[Campaign Metadata  3].[Start_Date].[All]" allUniqueName="[Campaign Metadata  3].[Start_Date].[All]" dimensionUniqueName="[Campaign Metadata  3]" displayFolder="" count="2" memberValueDatatype="7" unbalanced="0"/>
    <cacheHierarchy uniqueName="[Campaign Metadata  3].[End_Date]" caption="End_Date" attribute="1" time="1" defaultMemberUniqueName="[Campaign Metadata  3].[End_Date].[All]" allUniqueName="[Campaign Metadata  3].[End_Date].[All]" dimensionUniqueName="[Campaign Metadata  3]" displayFolder="" count="2" memberValueDatatype="7" unbalanced="0"/>
    <cacheHierarchy uniqueName="[Campaign Metadata  3].[Objective]" caption="Objective" attribute="1" defaultMemberUniqueName="[Campaign Metadata  3].[Objective].[All]" allUniqueName="[Campaign Metadata  3].[Objective].[All]" dimensionUniqueName="[Campaign Metadata  3]" displayFolder="" count="2" memberValueDatatype="130" unbalanced="0"/>
    <cacheHierarchy uniqueName="[Campaign Metadata  3].[Total_Budget]" caption="Total_Budget" attribute="1" defaultMemberUniqueName="[Campaign Metadata  3].[Total_Budget].[All]" allUniqueName="[Campaign Metadata  3].[Total_Budget].[All]" dimensionUniqueName="[Campaign Metadata  3]" displayFolder="" count="2" memberValueDatatype="20" unbalanced="0"/>
    <cacheHierarchy uniqueName="[Campaign Metadata  3].[Target_Platforms]" caption="Target_Platforms" attribute="1" defaultMemberUniqueName="[Campaign Metadata  3].[Target_Platforms].[All]" allUniqueName="[Campaign Metadata  3].[Target_Platforms].[All]" dimensionUniqueName="[Campaign Metadata  3]" displayFolder="" count="2" memberValueDatatype="130" unbalanced="0"/>
    <cacheHierarchy uniqueName="[Campaign Metadata  3].[Primary_Hashtags]" caption="Primary_Hashtags" attribute="1" defaultMemberUniqueName="[Campaign Metadata  3].[Primary_Hashtags].[All]" allUniqueName="[Campaign Metadata  3].[Primary_Hashtags].[All]" dimensionUniqueName="[Campaign Metadata  3]" displayFolder="" count="2" memberValueDatatype="130" unbalanced="0"/>
    <cacheHierarchy uniqueName="[Posts_Cleaned].[Post ID]" caption="Post ID" attribute="1" defaultMemberUniqueName="[Posts_Cleaned].[Post ID].[All]" allUniqueName="[Posts_Cleaned].[Post ID].[All]" dimensionUniqueName="[Posts_Cleaned]" displayFolder="" count="2" memberValueDatatype="130" unbalanced="0"/>
    <cacheHierarchy uniqueName="[Posts_Cleaned].[Platform]" caption="Platform" attribute="1" defaultMemberUniqueName="[Posts_Cleaned].[Platform].[All]" allUniqueName="[Posts_Cleaned].[Platform].[All]" dimensionUniqueName="[Posts_Cleaned]" displayFolder="" count="2" memberValueDatatype="130" unbalanced="0"/>
    <cacheHierarchy uniqueName="[Posts_Cleaned].[Date]" caption="Date" attribute="1" time="1" defaultMemberUniqueName="[Posts_Cleaned].[Date].[All]" allUniqueName="[Posts_Cleaned].[Date].[All]" dimensionUniqueName="[Posts_Cleaned]" displayFolder="" count="2" memberValueDatatype="7" unbalanced="0"/>
    <cacheHierarchy uniqueName="[Posts_Cleaned].[Content Type]" caption="Content Type" attribute="1" defaultMemberUniqueName="[Posts_Cleaned].[Content Type].[All]" allUniqueName="[Posts_Cleaned].[Content Type].[All]" dimensionUniqueName="[Posts_Cleaned]" displayFolder="" count="2" memberValueDatatype="130" unbalanced="0"/>
    <cacheHierarchy uniqueName="[Posts_Cleaned].[Post Text]" caption="Post Text" attribute="1" defaultMemberUniqueName="[Posts_Cleaned].[Post Text].[All]" allUniqueName="[Posts_Cleaned].[Post Text].[All]" dimensionUniqueName="[Posts_Cleaned]" displayFolder="" count="2" memberValueDatatype="130" unbalanced="0"/>
    <cacheHierarchy uniqueName="[Posts_Cleaned].[Likes]" caption="Likes" attribute="1" defaultMemberUniqueName="[Posts_Cleaned].[Likes].[All]" allUniqueName="[Posts_Cleaned].[Likes].[All]" dimensionUniqueName="[Posts_Cleaned]" displayFolder="" count="2" memberValueDatatype="20" unbalanced="0"/>
    <cacheHierarchy uniqueName="[Posts_Cleaned].[Shares]" caption="Shares" attribute="1" defaultMemberUniqueName="[Posts_Cleaned].[Shares].[All]" allUniqueName="[Posts_Cleaned].[Shares].[All]" dimensionUniqueName="[Posts_Cleaned]" displayFolder="" count="2" memberValueDatatype="20" unbalanced="0"/>
    <cacheHierarchy uniqueName="[Posts_Cleaned].[Comments]" caption="Comments" attribute="1" defaultMemberUniqueName="[Posts_Cleaned].[Comments].[All]" allUniqueName="[Posts_Cleaned].[Comments].[All]" dimensionUniqueName="[Posts_Cleaned]" displayFolder="" count="2" memberValueDatatype="20" unbalanced="0"/>
    <cacheHierarchy uniqueName="[Posts_Cleaned].[Impressions]" caption="Impressions" attribute="1" defaultMemberUniqueName="[Posts_Cleaned].[Impressions].[All]" allUniqueName="[Posts_Cleaned].[Impressions].[All]" dimensionUniqueName="[Posts_Cleaned]" displayFolder="" count="2" memberValueDatatype="20" unbalanced="0"/>
    <cacheHierarchy uniqueName="[Posts_Cleaned].[Reach]" caption="Reach" attribute="1" defaultMemberUniqueName="[Posts_Cleaned].[Reach].[All]" allUniqueName="[Posts_Cleaned].[Reach].[All]" dimensionUniqueName="[Posts_Cleaned]" displayFolder="" count="2" memberValueDatatype="20" unbalanced="0"/>
    <cacheHierarchy uniqueName="[Posts_Cleaned].[Clicks]" caption="Clicks" attribute="1" defaultMemberUniqueName="[Posts_Cleaned].[Clicks].[All]" allUniqueName="[Posts_Cleaned].[Clicks].[All]" dimensionUniqueName="[Posts_Cleaned]" displayFolder="" count="2" memberValueDatatype="20" unbalanced="0"/>
    <cacheHierarchy uniqueName="[Posts_Cleaned].[Hashtags Used.1]" caption="Hashtags Used.1" attribute="1" defaultMemberUniqueName="[Posts_Cleaned].[Hashtags Used.1].[All]" allUniqueName="[Posts_Cleaned].[Hashtags Used.1].[All]" dimensionUniqueName="[Posts_Cleaned]" displayFolder="" count="2" memberValueDatatype="130" unbalanced="0"/>
    <cacheHierarchy uniqueName="[Posts_Cleaned].[Hashtags Used.2]" caption="Hashtags Used.2" attribute="1" defaultMemberUniqueName="[Posts_Cleaned].[Hashtags Used.2].[All]" allUniqueName="[Posts_Cleaned].[Hashtags Used.2].[All]" dimensionUniqueName="[Posts_Cleaned]" displayFolder="" count="2" memberValueDatatype="130" unbalanced="0"/>
    <cacheHierarchy uniqueName="[Posts_Cleaned].[Hashtags Used.3]" caption="Hashtags Used.3" attribute="1" defaultMemberUniqueName="[Posts_Cleaned].[Hashtags Used.3].[All]" allUniqueName="[Posts_Cleaned].[Hashtags Used.3].[All]" dimensionUniqueName="[Posts_Cleaned]" displayFolder="" count="2" memberValueDatatype="130" unbalanced="0"/>
    <cacheHierarchy uniqueName="[Posts_Cleaned].[Campaign_Name]" caption="Campaign_Name" attribute="1" defaultMemberUniqueName="[Posts_Cleaned].[Campaign_Name].[All]" allUniqueName="[Posts_Cleaned].[Campaign_Name].[All]" dimensionUniqueName="[Posts_Cleaned]" displayFolder="" count="2" memberValueDatatype="130" unbalanced="0">
      <fieldsUsage count="2">
        <fieldUsage x="-1"/>
        <fieldUsage x="0"/>
      </fieldsUsage>
    </cacheHierarchy>
    <cacheHierarchy uniqueName="[Posts_Cleaned].[Engagement Rate]" caption="Engagement Rate" attribute="1" defaultMemberUniqueName="[Posts_Cleaned].[Engagement Rate].[All]" allUniqueName="[Posts_Cleaned].[Engagement Rate].[All]" dimensionUniqueName="[Posts_Cleaned]" displayFolder="" count="2" memberValueDatatype="5" unbalanced="0"/>
    <cacheHierarchy uniqueName="[Posts_Cleaned].[Hashtags]" caption="Hashtags" attribute="1" defaultMemberUniqueName="[Posts_Cleaned].[Hashtags].[All]" allUniqueName="[Posts_Cleaned].[Hashtags].[All]" dimensionUniqueName="[Posts_Cleaned]" displayFolder="" count="2" memberValueDatatype="130" unbalanced="0"/>
    <cacheHierarchy uniqueName="[Posts_Cleaned].[Column1]" caption="Column1" attribute="1" defaultMemberUniqueName="[Posts_Cleaned].[Column1].[All]" allUniqueName="[Posts_Cleaned].[Column1].[All]" dimensionUniqueName="[Posts_Cleaned]" displayFolder="" count="2" memberValueDatatype="130" unbalanced="0"/>
    <cacheHierarchy uniqueName="[Posts_Cleaned  3].[Post ID]" caption="Post ID" attribute="1" defaultMemberUniqueName="[Posts_Cleaned  3].[Post ID].[All]" allUniqueName="[Posts_Cleaned  3].[Post ID].[All]" dimensionUniqueName="[Posts_Cleaned  3]" displayFolder="" count="2" memberValueDatatype="130" unbalanced="0"/>
    <cacheHierarchy uniqueName="[Posts_Cleaned  3].[Platform]" caption="Platform" attribute="1" defaultMemberUniqueName="[Posts_Cleaned  3].[Platform].[All]" allUniqueName="[Posts_Cleaned  3].[Platform].[All]" dimensionUniqueName="[Posts_Cleaned  3]" displayFolder="" count="2" memberValueDatatype="130" unbalanced="0"/>
    <cacheHierarchy uniqueName="[Posts_Cleaned  3].[Date]" caption="Date" attribute="1" time="1" defaultMemberUniqueName="[Posts_Cleaned  3].[Date].[All]" allUniqueName="[Posts_Cleaned  3].[Date].[All]" dimensionUniqueName="[Posts_Cleaned  3]" displayFolder="" count="2" memberValueDatatype="7" unbalanced="0"/>
    <cacheHierarchy uniqueName="[Posts_Cleaned  3].[Content Type]" caption="Content Type" attribute="1" defaultMemberUniqueName="[Posts_Cleaned  3].[Content Type].[All]" allUniqueName="[Posts_Cleaned  3].[Content Type].[All]" dimensionUniqueName="[Posts_Cleaned  3]" displayFolder="" count="2" memberValueDatatype="130" unbalanced="0"/>
    <cacheHierarchy uniqueName="[Posts_Cleaned  3].[Post Text]" caption="Post Text" attribute="1" defaultMemberUniqueName="[Posts_Cleaned  3].[Post Text].[All]" allUniqueName="[Posts_Cleaned  3].[Post Text].[All]" dimensionUniqueName="[Posts_Cleaned  3]" displayFolder="" count="2" memberValueDatatype="130" unbalanced="0"/>
    <cacheHierarchy uniqueName="[Posts_Cleaned  3].[Likes]" caption="Likes" attribute="1" defaultMemberUniqueName="[Posts_Cleaned  3].[Likes].[All]" allUniqueName="[Posts_Cleaned  3].[Likes].[All]" dimensionUniqueName="[Posts_Cleaned  3]" displayFolder="" count="2" memberValueDatatype="20" unbalanced="0"/>
    <cacheHierarchy uniqueName="[Posts_Cleaned  3].[Shares]" caption="Shares" attribute="1" defaultMemberUniqueName="[Posts_Cleaned  3].[Shares].[All]" allUniqueName="[Posts_Cleaned  3].[Shares].[All]" dimensionUniqueName="[Posts_Cleaned  3]" displayFolder="" count="2" memberValueDatatype="20" unbalanced="0"/>
    <cacheHierarchy uniqueName="[Posts_Cleaned  3].[Comments]" caption="Comments" attribute="1" defaultMemberUniqueName="[Posts_Cleaned  3].[Comments].[All]" allUniqueName="[Posts_Cleaned  3].[Comments].[All]" dimensionUniqueName="[Posts_Cleaned  3]" displayFolder="" count="2" memberValueDatatype="20" unbalanced="0"/>
    <cacheHierarchy uniqueName="[Posts_Cleaned  3].[Impressions]" caption="Impressions" attribute="1" defaultMemberUniqueName="[Posts_Cleaned  3].[Impressions].[All]" allUniqueName="[Posts_Cleaned  3].[Impressions].[All]" dimensionUniqueName="[Posts_Cleaned  3]" displayFolder="" count="2" memberValueDatatype="20" unbalanced="0"/>
    <cacheHierarchy uniqueName="[Posts_Cleaned  3].[Reach]" caption="Reach" attribute="1" defaultMemberUniqueName="[Posts_Cleaned  3].[Reach].[All]" allUniqueName="[Posts_Cleaned  3].[Reach].[All]" dimensionUniqueName="[Posts_Cleaned  3]" displayFolder="" count="2" memberValueDatatype="20" unbalanced="0"/>
    <cacheHierarchy uniqueName="[Posts_Cleaned  3].[Clicks]" caption="Clicks" attribute="1" defaultMemberUniqueName="[Posts_Cleaned  3].[Clicks].[All]" allUniqueName="[Posts_Cleaned  3].[Clicks].[All]" dimensionUniqueName="[Posts_Cleaned  3]" displayFolder="" count="2" memberValueDatatype="20" unbalanced="0"/>
    <cacheHierarchy uniqueName="[Posts_Cleaned  3].[Hashtags Used.1]" caption="Hashtags Used.1" attribute="1" defaultMemberUniqueName="[Posts_Cleaned  3].[Hashtags Used.1].[All]" allUniqueName="[Posts_Cleaned  3].[Hashtags Used.1].[All]" dimensionUniqueName="[Posts_Cleaned  3]" displayFolder="" count="2" memberValueDatatype="130" unbalanced="0"/>
    <cacheHierarchy uniqueName="[Posts_Cleaned  3].[Hashtags Used.2]" caption="Hashtags Used.2" attribute="1" defaultMemberUniqueName="[Posts_Cleaned  3].[Hashtags Used.2].[All]" allUniqueName="[Posts_Cleaned  3].[Hashtags Used.2].[All]" dimensionUniqueName="[Posts_Cleaned  3]" displayFolder="" count="2" memberValueDatatype="130" unbalanced="0"/>
    <cacheHierarchy uniqueName="[Posts_Cleaned  3].[Hashtags Used.3]" caption="Hashtags Used.3" attribute="1" defaultMemberUniqueName="[Posts_Cleaned  3].[Hashtags Used.3].[All]" allUniqueName="[Posts_Cleaned  3].[Hashtags Used.3].[All]" dimensionUniqueName="[Posts_Cleaned  3]" displayFolder="" count="2" memberValueDatatype="130" unbalanced="0"/>
    <cacheHierarchy uniqueName="[Posts_Cleaned  3].[Campaign_Name]" caption="Campaign_Name" attribute="1" defaultMemberUniqueName="[Posts_Cleaned  3].[Campaign_Name].[All]" allUniqueName="[Posts_Cleaned  3].[Campaign_Name].[All]" dimensionUniqueName="[Posts_Cleaned  3]" displayFolder="" count="2" memberValueDatatype="130" unbalanced="0"/>
    <cacheHierarchy uniqueName="[Range].[Engagement Rate]" caption="Engagement Rate" attribute="1" defaultMemberUniqueName="[Range].[Engagement Rate].[All]" allUniqueName="[Range].[Engagement Rate].[All]" dimensionUniqueName="[Range]" displayFolder="" count="2" memberValueDatatype="5" unbalanced="0"/>
    <cacheHierarchy uniqueName="[Measures].[__XL_Count Range]" caption="__XL_Count Range" measure="1" displayFolder="" measureGroup="Range" count="0" hidden="1"/>
    <cacheHierarchy uniqueName="[Measures].[__XL_Count Posts_Cleaned]" caption="__XL_Count Posts_Cleaned" measure="1" displayFolder="" measureGroup="Posts_Cleaned" count="0" hidden="1"/>
    <cacheHierarchy uniqueName="[Measures].[__XL_Count Posts_Cleaned  3]" caption="__XL_Count Posts_Cleaned  3" measure="1" displayFolder="" measureGroup="Posts_Cleaned  3" count="0" hidden="1"/>
    <cacheHierarchy uniqueName="[Measures].[__XL_Count Campaign Metadata  3]" caption="__XL_Count Campaign Metadata  3" measure="1" displayFolder="" measureGroup="Campaign Metadata  3" count="0" hidden="1"/>
    <cacheHierarchy uniqueName="[Measures].[__No measures defined]" caption="__No measures defined" measure="1" displayFolder="" count="0" hidden="1"/>
    <cacheHierarchy uniqueName="[Measures].[Sum of Likes]" caption="Sum of Likes" measure="1" displayFolder="" measureGroup="Posts_Cleaned"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hares]" caption="Sum of Shares" measure="1" displayFolder="" measureGroup="Posts_Cleaned" count="0" hidden="1">
      <extLst>
        <ext xmlns:x15="http://schemas.microsoft.com/office/spreadsheetml/2010/11/main" uri="{B97F6D7D-B522-45F9-BDA1-12C45D357490}">
          <x15:cacheHierarchy aggregatedColumn="13"/>
        </ext>
      </extLst>
    </cacheHierarchy>
    <cacheHierarchy uniqueName="[Measures].[Sum of Comments]" caption="Sum of Comments" measure="1" displayFolder="" measureGroup="Posts_Cleaned" count="0" hidden="1">
      <extLst>
        <ext xmlns:x15="http://schemas.microsoft.com/office/spreadsheetml/2010/11/main" uri="{B97F6D7D-B522-45F9-BDA1-12C45D357490}">
          <x15:cacheHierarchy aggregatedColumn="14"/>
        </ext>
      </extLst>
    </cacheHierarchy>
    <cacheHierarchy uniqueName="[Measures].[Average of Clicks]" caption="Average of Clicks" measure="1" displayFolder="" measureGroup="Posts_Cleaned  3" count="0" hidden="1">
      <extLst>
        <ext xmlns:x15="http://schemas.microsoft.com/office/spreadsheetml/2010/11/main" uri="{B97F6D7D-B522-45F9-BDA1-12C45D357490}">
          <x15:cacheHierarchy aggregatedColumn="35"/>
        </ext>
      </extLst>
    </cacheHierarchy>
    <cacheHierarchy uniqueName="[Measures].[Count of Post ID]" caption="Count of Post ID" measure="1" displayFolder="" measureGroup="Posts_Cleaned  3" count="0" hidden="1">
      <extLst>
        <ext xmlns:x15="http://schemas.microsoft.com/office/spreadsheetml/2010/11/main" uri="{B97F6D7D-B522-45F9-BDA1-12C45D357490}">
          <x15:cacheHierarchy aggregatedColumn="25"/>
        </ext>
      </extLst>
    </cacheHierarchy>
    <cacheHierarchy uniqueName="[Measures].[Average of Likes]" caption="Average of Likes" measure="1" displayFolder="" measureGroup="Posts_Cleaned"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Posts_Cleaned"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Impressions]" caption="Average of Impressions" measure="1" displayFolder="" measureGroup="Posts_Cleaned"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Clicks]" caption="Sum of Clicks" measure="1" displayFolder="" measureGroup="Posts_Cleaned" count="0" oneField="1" hidden="1">
      <fieldsUsage count="1">
        <fieldUsage x="5"/>
      </fieldsUsage>
      <extLst>
        <ext xmlns:x15="http://schemas.microsoft.com/office/spreadsheetml/2010/11/main" uri="{B97F6D7D-B522-45F9-BDA1-12C45D357490}">
          <x15:cacheHierarchy aggregatedColumn="17"/>
        </ext>
      </extLst>
    </cacheHierarchy>
    <cacheHierarchy uniqueName="[Measures].[Average of Clicks 2]" caption="Average of Clicks 2" measure="1" displayFolder="" measureGroup="Posts_Cleaned" count="0" oneField="1" hidden="1">
      <fieldsUsage count="1">
        <fieldUsage x="6"/>
      </fieldsUsage>
      <extLst>
        <ext xmlns:x15="http://schemas.microsoft.com/office/spreadsheetml/2010/11/main" uri="{B97F6D7D-B522-45F9-BDA1-12C45D357490}">
          <x15:cacheHierarchy aggregatedColumn="17"/>
        </ext>
      </extLst>
    </cacheHierarchy>
  </cacheHierarchies>
  <kpis count="0"/>
  <dimensions count="5">
    <dimension name="Campaign Metadata  3" uniqueName="[Campaign Metadata  3]" caption="Campaign Metadata  3"/>
    <dimension measure="1" name="Measures" uniqueName="[Measures]" caption="Measures"/>
    <dimension name="Posts_Cleaned" uniqueName="[Posts_Cleaned]" caption="Posts_Cleaned"/>
    <dimension name="Posts_Cleaned  3" uniqueName="[Posts_Cleaned  3]" caption="Posts_Cleaned  3"/>
    <dimension name="Range" uniqueName="[Range]" caption="Range"/>
  </dimensions>
  <measureGroups count="4">
    <measureGroup name="Campaign Metadata  3" caption="Campaign Metadata  3"/>
    <measureGroup name="Posts_Cleaned" caption="Posts_Cleaned"/>
    <measureGroup name="Posts_Cleaned  3" caption="Posts_Cleaned  3"/>
    <measureGroup name="Range" caption="Range"/>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gi" refreshedDate="45939.094236111108" backgroundQuery="1" createdVersion="3" refreshedVersion="7" minRefreshableVersion="3" recordCount="0" supportSubquery="1" supportAdvancedDrill="1" xr:uid="{81C52ED4-159B-4484-A97A-1B6EBA3EBA99}">
  <cacheSource type="external" connectionId="9">
    <extLst>
      <ext xmlns:x14="http://schemas.microsoft.com/office/spreadsheetml/2009/9/main" uri="{F057638F-6D5F-4e77-A914-E7F072B9BCA8}">
        <x14:sourceConnection name="ThisWorkbookDataModel"/>
      </ext>
    </extLst>
  </cacheSource>
  <cacheFields count="0"/>
  <cacheHierarchies count="56">
    <cacheHierarchy uniqueName="[Campaign Metadata  3].[Campaign_Name]" caption="Campaign_Name" attribute="1" defaultMemberUniqueName="[Campaign Metadata  3].[Campaign_Name].[All]" allUniqueName="[Campaign Metadata  3].[Campaign_Name].[All]" dimensionUniqueName="[Campaign Metadata  3]" displayFolder="" count="0" memberValueDatatype="130" unbalanced="0"/>
    <cacheHierarchy uniqueName="[Campaign Metadata  3].[Start_Date]" caption="Start_Date" attribute="1" time="1" defaultMemberUniqueName="[Campaign Metadata  3].[Start_Date].[All]" allUniqueName="[Campaign Metadata  3].[Start_Date].[All]" dimensionUniqueName="[Campaign Metadata  3]" displayFolder="" count="0" memberValueDatatype="7" unbalanced="0"/>
    <cacheHierarchy uniqueName="[Campaign Metadata  3].[End_Date]" caption="End_Date" attribute="1" time="1" defaultMemberUniqueName="[Campaign Metadata  3].[End_Date].[All]" allUniqueName="[Campaign Metadata  3].[End_Date].[All]" dimensionUniqueName="[Campaign Metadata  3]" displayFolder="" count="0" memberValueDatatype="7" unbalanced="0"/>
    <cacheHierarchy uniqueName="[Campaign Metadata  3].[Objective]" caption="Objective" attribute="1" defaultMemberUniqueName="[Campaign Metadata  3].[Objective].[All]" allUniqueName="[Campaign Metadata  3].[Objective].[All]" dimensionUniqueName="[Campaign Metadata  3]" displayFolder="" count="0" memberValueDatatype="130" unbalanced="0"/>
    <cacheHierarchy uniqueName="[Campaign Metadata  3].[Total_Budget]" caption="Total_Budget" attribute="1" defaultMemberUniqueName="[Campaign Metadata  3].[Total_Budget].[All]" allUniqueName="[Campaign Metadata  3].[Total_Budget].[All]" dimensionUniqueName="[Campaign Metadata  3]" displayFolder="" count="0" memberValueDatatype="20" unbalanced="0"/>
    <cacheHierarchy uniqueName="[Campaign Metadata  3].[Target_Platforms]" caption="Target_Platforms" attribute="1" defaultMemberUniqueName="[Campaign Metadata  3].[Target_Platforms].[All]" allUniqueName="[Campaign Metadata  3].[Target_Platforms].[All]" dimensionUniqueName="[Campaign Metadata  3]" displayFolder="" count="0" memberValueDatatype="130" unbalanced="0"/>
    <cacheHierarchy uniqueName="[Campaign Metadata  3].[Primary_Hashtags]" caption="Primary_Hashtags" attribute="1" defaultMemberUniqueName="[Campaign Metadata  3].[Primary_Hashtags].[All]" allUniqueName="[Campaign Metadata  3].[Primary_Hashtags].[All]" dimensionUniqueName="[Campaign Metadata  3]" displayFolder="" count="0" memberValueDatatype="130" unbalanced="0"/>
    <cacheHierarchy uniqueName="[Posts_Cleaned].[Post ID]" caption="Post ID" attribute="1" defaultMemberUniqueName="[Posts_Cleaned].[Post ID].[All]" allUniqueName="[Posts_Cleaned].[Post ID].[All]" dimensionUniqueName="[Posts_Cleaned]" displayFolder="" count="0" memberValueDatatype="130" unbalanced="0"/>
    <cacheHierarchy uniqueName="[Posts_Cleaned].[Platform]" caption="Platform" attribute="1" defaultMemberUniqueName="[Posts_Cleaned].[Platform].[All]" allUniqueName="[Posts_Cleaned].[Platform].[All]" dimensionUniqueName="[Posts_Cleaned]" displayFolder="" count="0" memberValueDatatype="130" unbalanced="0"/>
    <cacheHierarchy uniqueName="[Posts_Cleaned].[Date]" caption="Date" attribute="1" time="1" defaultMemberUniqueName="[Posts_Cleaned].[Date].[All]" allUniqueName="[Posts_Cleaned].[Date].[All]" dimensionUniqueName="[Posts_Cleaned]" displayFolder="" count="0" memberValueDatatype="7" unbalanced="0"/>
    <cacheHierarchy uniqueName="[Posts_Cleaned].[Content Type]" caption="Content Type" attribute="1" defaultMemberUniqueName="[Posts_Cleaned].[Content Type].[All]" allUniqueName="[Posts_Cleaned].[Content Type].[All]" dimensionUniqueName="[Posts_Cleaned]" displayFolder="" count="0" memberValueDatatype="130" unbalanced="0"/>
    <cacheHierarchy uniqueName="[Posts_Cleaned].[Post Text]" caption="Post Text" attribute="1" defaultMemberUniqueName="[Posts_Cleaned].[Post Text].[All]" allUniqueName="[Posts_Cleaned].[Post Text].[All]" dimensionUniqueName="[Posts_Cleaned]" displayFolder="" count="0" memberValueDatatype="130" unbalanced="0"/>
    <cacheHierarchy uniqueName="[Posts_Cleaned].[Likes]" caption="Likes" attribute="1" defaultMemberUniqueName="[Posts_Cleaned].[Likes].[All]" allUniqueName="[Posts_Cleaned].[Likes].[All]" dimensionUniqueName="[Posts_Cleaned]" displayFolder="" count="0" memberValueDatatype="20" unbalanced="0"/>
    <cacheHierarchy uniqueName="[Posts_Cleaned].[Shares]" caption="Shares" attribute="1" defaultMemberUniqueName="[Posts_Cleaned].[Shares].[All]" allUniqueName="[Posts_Cleaned].[Shares].[All]" dimensionUniqueName="[Posts_Cleaned]" displayFolder="" count="0" memberValueDatatype="20" unbalanced="0"/>
    <cacheHierarchy uniqueName="[Posts_Cleaned].[Comments]" caption="Comments" attribute="1" defaultMemberUniqueName="[Posts_Cleaned].[Comments].[All]" allUniqueName="[Posts_Cleaned].[Comments].[All]" dimensionUniqueName="[Posts_Cleaned]" displayFolder="" count="0" memberValueDatatype="20" unbalanced="0"/>
    <cacheHierarchy uniqueName="[Posts_Cleaned].[Impressions]" caption="Impressions" attribute="1" defaultMemberUniqueName="[Posts_Cleaned].[Impressions].[All]" allUniqueName="[Posts_Cleaned].[Impressions].[All]" dimensionUniqueName="[Posts_Cleaned]" displayFolder="" count="0" memberValueDatatype="20" unbalanced="0"/>
    <cacheHierarchy uniqueName="[Posts_Cleaned].[Reach]" caption="Reach" attribute="1" defaultMemberUniqueName="[Posts_Cleaned].[Reach].[All]" allUniqueName="[Posts_Cleaned].[Reach].[All]" dimensionUniqueName="[Posts_Cleaned]" displayFolder="" count="0" memberValueDatatype="20" unbalanced="0"/>
    <cacheHierarchy uniqueName="[Posts_Cleaned].[Clicks]" caption="Clicks" attribute="1" defaultMemberUniqueName="[Posts_Cleaned].[Clicks].[All]" allUniqueName="[Posts_Cleaned].[Clicks].[All]" dimensionUniqueName="[Posts_Cleaned]" displayFolder="" count="0" memberValueDatatype="20" unbalanced="0"/>
    <cacheHierarchy uniqueName="[Posts_Cleaned].[Hashtags Used.1]" caption="Hashtags Used.1" attribute="1" defaultMemberUniqueName="[Posts_Cleaned].[Hashtags Used.1].[All]" allUniqueName="[Posts_Cleaned].[Hashtags Used.1].[All]" dimensionUniqueName="[Posts_Cleaned]" displayFolder="" count="0" memberValueDatatype="130" unbalanced="0"/>
    <cacheHierarchy uniqueName="[Posts_Cleaned].[Hashtags Used.2]" caption="Hashtags Used.2" attribute="1" defaultMemberUniqueName="[Posts_Cleaned].[Hashtags Used.2].[All]" allUniqueName="[Posts_Cleaned].[Hashtags Used.2].[All]" dimensionUniqueName="[Posts_Cleaned]" displayFolder="" count="0" memberValueDatatype="130" unbalanced="0"/>
    <cacheHierarchy uniqueName="[Posts_Cleaned].[Hashtags Used.3]" caption="Hashtags Used.3" attribute="1" defaultMemberUniqueName="[Posts_Cleaned].[Hashtags Used.3].[All]" allUniqueName="[Posts_Cleaned].[Hashtags Used.3].[All]" dimensionUniqueName="[Posts_Cleaned]" displayFolder="" count="0" memberValueDatatype="130" unbalanced="0"/>
    <cacheHierarchy uniqueName="[Posts_Cleaned].[Campaign_Name]" caption="Campaign_Name" attribute="1" defaultMemberUniqueName="[Posts_Cleaned].[Campaign_Name].[All]" allUniqueName="[Posts_Cleaned].[Campaign_Name].[All]" dimensionUniqueName="[Posts_Cleaned]" displayFolder="" count="2" memberValueDatatype="130" unbalanced="0"/>
    <cacheHierarchy uniqueName="[Posts_Cleaned].[Engagement Rate]" caption="Engagement Rate" attribute="1" defaultMemberUniqueName="[Posts_Cleaned].[Engagement Rate].[All]" allUniqueName="[Posts_Cleaned].[Engagement Rate].[All]" dimensionUniqueName="[Posts_Cleaned]" displayFolder="" count="0" memberValueDatatype="5" unbalanced="0"/>
    <cacheHierarchy uniqueName="[Posts_Cleaned].[Hashtags]" caption="Hashtags" attribute="1" defaultMemberUniqueName="[Posts_Cleaned].[Hashtags].[All]" allUniqueName="[Posts_Cleaned].[Hashtags].[All]" dimensionUniqueName="[Posts_Cleaned]" displayFolder="" count="0" memberValueDatatype="130" unbalanced="0"/>
    <cacheHierarchy uniqueName="[Posts_Cleaned].[Column1]" caption="Column1" attribute="1" defaultMemberUniqueName="[Posts_Cleaned].[Column1].[All]" allUniqueName="[Posts_Cleaned].[Column1].[All]" dimensionUniqueName="[Posts_Cleaned]" displayFolder="" count="0" memberValueDatatype="130" unbalanced="0"/>
    <cacheHierarchy uniqueName="[Posts_Cleaned  3].[Post ID]" caption="Post ID" attribute="1" defaultMemberUniqueName="[Posts_Cleaned  3].[Post ID].[All]" allUniqueName="[Posts_Cleaned  3].[Post ID].[All]" dimensionUniqueName="[Posts_Cleaned  3]" displayFolder="" count="0" memberValueDatatype="130" unbalanced="0"/>
    <cacheHierarchy uniqueName="[Posts_Cleaned  3].[Platform]" caption="Platform" attribute="1" defaultMemberUniqueName="[Posts_Cleaned  3].[Platform].[All]" allUniqueName="[Posts_Cleaned  3].[Platform].[All]" dimensionUniqueName="[Posts_Cleaned  3]" displayFolder="" count="0" memberValueDatatype="130" unbalanced="0"/>
    <cacheHierarchy uniqueName="[Posts_Cleaned  3].[Date]" caption="Date" attribute="1" time="1" defaultMemberUniqueName="[Posts_Cleaned  3].[Date].[All]" allUniqueName="[Posts_Cleaned  3].[Date].[All]" dimensionUniqueName="[Posts_Cleaned  3]" displayFolder="" count="0" memberValueDatatype="7" unbalanced="0"/>
    <cacheHierarchy uniqueName="[Posts_Cleaned  3].[Content Type]" caption="Content Type" attribute="1" defaultMemberUniqueName="[Posts_Cleaned  3].[Content Type].[All]" allUniqueName="[Posts_Cleaned  3].[Content Type].[All]" dimensionUniqueName="[Posts_Cleaned  3]" displayFolder="" count="0" memberValueDatatype="130" unbalanced="0"/>
    <cacheHierarchy uniqueName="[Posts_Cleaned  3].[Post Text]" caption="Post Text" attribute="1" defaultMemberUniqueName="[Posts_Cleaned  3].[Post Text].[All]" allUniqueName="[Posts_Cleaned  3].[Post Text].[All]" dimensionUniqueName="[Posts_Cleaned  3]" displayFolder="" count="0" memberValueDatatype="130" unbalanced="0"/>
    <cacheHierarchy uniqueName="[Posts_Cleaned  3].[Likes]" caption="Likes" attribute="1" defaultMemberUniqueName="[Posts_Cleaned  3].[Likes].[All]" allUniqueName="[Posts_Cleaned  3].[Likes].[All]" dimensionUniqueName="[Posts_Cleaned  3]" displayFolder="" count="0" memberValueDatatype="20" unbalanced="0"/>
    <cacheHierarchy uniqueName="[Posts_Cleaned  3].[Shares]" caption="Shares" attribute="1" defaultMemberUniqueName="[Posts_Cleaned  3].[Shares].[All]" allUniqueName="[Posts_Cleaned  3].[Shares].[All]" dimensionUniqueName="[Posts_Cleaned  3]" displayFolder="" count="0" memberValueDatatype="20" unbalanced="0"/>
    <cacheHierarchy uniqueName="[Posts_Cleaned  3].[Comments]" caption="Comments" attribute="1" defaultMemberUniqueName="[Posts_Cleaned  3].[Comments].[All]" allUniqueName="[Posts_Cleaned  3].[Comments].[All]" dimensionUniqueName="[Posts_Cleaned  3]" displayFolder="" count="0" memberValueDatatype="20" unbalanced="0"/>
    <cacheHierarchy uniqueName="[Posts_Cleaned  3].[Impressions]" caption="Impressions" attribute="1" defaultMemberUniqueName="[Posts_Cleaned  3].[Impressions].[All]" allUniqueName="[Posts_Cleaned  3].[Impressions].[All]" dimensionUniqueName="[Posts_Cleaned  3]" displayFolder="" count="0" memberValueDatatype="20" unbalanced="0"/>
    <cacheHierarchy uniqueName="[Posts_Cleaned  3].[Reach]" caption="Reach" attribute="1" defaultMemberUniqueName="[Posts_Cleaned  3].[Reach].[All]" allUniqueName="[Posts_Cleaned  3].[Reach].[All]" dimensionUniqueName="[Posts_Cleaned  3]" displayFolder="" count="0" memberValueDatatype="20" unbalanced="0"/>
    <cacheHierarchy uniqueName="[Posts_Cleaned  3].[Clicks]" caption="Clicks" attribute="1" defaultMemberUniqueName="[Posts_Cleaned  3].[Clicks].[All]" allUniqueName="[Posts_Cleaned  3].[Clicks].[All]" dimensionUniqueName="[Posts_Cleaned  3]" displayFolder="" count="0" memberValueDatatype="20" unbalanced="0"/>
    <cacheHierarchy uniqueName="[Posts_Cleaned  3].[Hashtags Used.1]" caption="Hashtags Used.1" attribute="1" defaultMemberUniqueName="[Posts_Cleaned  3].[Hashtags Used.1].[All]" allUniqueName="[Posts_Cleaned  3].[Hashtags Used.1].[All]" dimensionUniqueName="[Posts_Cleaned  3]" displayFolder="" count="0" memberValueDatatype="130" unbalanced="0"/>
    <cacheHierarchy uniqueName="[Posts_Cleaned  3].[Hashtags Used.2]" caption="Hashtags Used.2" attribute="1" defaultMemberUniqueName="[Posts_Cleaned  3].[Hashtags Used.2].[All]" allUniqueName="[Posts_Cleaned  3].[Hashtags Used.2].[All]" dimensionUniqueName="[Posts_Cleaned  3]" displayFolder="" count="0" memberValueDatatype="130" unbalanced="0"/>
    <cacheHierarchy uniqueName="[Posts_Cleaned  3].[Hashtags Used.3]" caption="Hashtags Used.3" attribute="1" defaultMemberUniqueName="[Posts_Cleaned  3].[Hashtags Used.3].[All]" allUniqueName="[Posts_Cleaned  3].[Hashtags Used.3].[All]" dimensionUniqueName="[Posts_Cleaned  3]" displayFolder="" count="0" memberValueDatatype="130" unbalanced="0"/>
    <cacheHierarchy uniqueName="[Posts_Cleaned  3].[Campaign_Name]" caption="Campaign_Name" attribute="1" defaultMemberUniqueName="[Posts_Cleaned  3].[Campaign_Name].[All]" allUniqueName="[Posts_Cleaned  3].[Campaign_Name].[All]" dimensionUniqueName="[Posts_Cleaned  3]" displayFolder="" count="0" memberValueDatatype="130" unbalanced="0"/>
    <cacheHierarchy uniqueName="[Range].[Engagement Rate]" caption="Engagement Rate" attribute="1" defaultMemberUniqueName="[Range].[Engagement Rate].[All]" allUniqueName="[Range].[Engagement Rate].[All]" dimensionUniqueName="[Range]" displayFolder="" count="0" memberValueDatatype="5" unbalanced="0"/>
    <cacheHierarchy uniqueName="[Measures].[__XL_Count Range]" caption="__XL_Count Range" measure="1" displayFolder="" measureGroup="Range" count="0" hidden="1"/>
    <cacheHierarchy uniqueName="[Measures].[__XL_Count Posts_Cleaned]" caption="__XL_Count Posts_Cleaned" measure="1" displayFolder="" measureGroup="Posts_Cleaned" count="0" hidden="1"/>
    <cacheHierarchy uniqueName="[Measures].[__XL_Count Posts_Cleaned  3]" caption="__XL_Count Posts_Cleaned  3" measure="1" displayFolder="" measureGroup="Posts_Cleaned  3" count="0" hidden="1"/>
    <cacheHierarchy uniqueName="[Measures].[__XL_Count Campaign Metadata  3]" caption="__XL_Count Campaign Metadata  3" measure="1" displayFolder="" measureGroup="Campaign Metadata  3" count="0" hidden="1"/>
    <cacheHierarchy uniqueName="[Measures].[__No measures defined]" caption="__No measures defined" measure="1" displayFolder="" count="0" hidden="1"/>
    <cacheHierarchy uniqueName="[Measures].[Sum of Likes]" caption="Sum of Likes" measure="1" displayFolder="" measureGroup="Posts_Cleaned" count="0" hidden="1">
      <extLst>
        <ext xmlns:x15="http://schemas.microsoft.com/office/spreadsheetml/2010/11/main" uri="{B97F6D7D-B522-45F9-BDA1-12C45D357490}">
          <x15:cacheHierarchy aggregatedColumn="12"/>
        </ext>
      </extLst>
    </cacheHierarchy>
    <cacheHierarchy uniqueName="[Measures].[Sum of Shares]" caption="Sum of Shares" measure="1" displayFolder="" measureGroup="Posts_Cleaned" count="0" hidden="1">
      <extLst>
        <ext xmlns:x15="http://schemas.microsoft.com/office/spreadsheetml/2010/11/main" uri="{B97F6D7D-B522-45F9-BDA1-12C45D357490}">
          <x15:cacheHierarchy aggregatedColumn="13"/>
        </ext>
      </extLst>
    </cacheHierarchy>
    <cacheHierarchy uniqueName="[Measures].[Sum of Comments]" caption="Sum of Comments" measure="1" displayFolder="" measureGroup="Posts_Cleaned" count="0" hidden="1">
      <extLst>
        <ext xmlns:x15="http://schemas.microsoft.com/office/spreadsheetml/2010/11/main" uri="{B97F6D7D-B522-45F9-BDA1-12C45D357490}">
          <x15:cacheHierarchy aggregatedColumn="14"/>
        </ext>
      </extLst>
    </cacheHierarchy>
    <cacheHierarchy uniqueName="[Measures].[Average of Clicks]" caption="Average of Clicks" measure="1" displayFolder="" measureGroup="Posts_Cleaned  3" count="0" hidden="1">
      <extLst>
        <ext xmlns:x15="http://schemas.microsoft.com/office/spreadsheetml/2010/11/main" uri="{B97F6D7D-B522-45F9-BDA1-12C45D357490}">
          <x15:cacheHierarchy aggregatedColumn="35"/>
        </ext>
      </extLst>
    </cacheHierarchy>
    <cacheHierarchy uniqueName="[Measures].[Count of Post ID]" caption="Count of Post ID" measure="1" displayFolder="" measureGroup="Posts_Cleaned  3" count="0" hidden="1">
      <extLst>
        <ext xmlns:x15="http://schemas.microsoft.com/office/spreadsheetml/2010/11/main" uri="{B97F6D7D-B522-45F9-BDA1-12C45D357490}">
          <x15:cacheHierarchy aggregatedColumn="25"/>
        </ext>
      </extLst>
    </cacheHierarchy>
    <cacheHierarchy uniqueName="[Measures].[Average of Likes]" caption="Average of Likes" measure="1" displayFolder="" measureGroup="Posts_Cleaned"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Posts_Cleaned" count="0" hidden="1">
      <extLst>
        <ext xmlns:x15="http://schemas.microsoft.com/office/spreadsheetml/2010/11/main" uri="{B97F6D7D-B522-45F9-BDA1-12C45D357490}">
          <x15:cacheHierarchy aggregatedColumn="15"/>
        </ext>
      </extLst>
    </cacheHierarchy>
    <cacheHierarchy uniqueName="[Measures].[Average of Impressions]" caption="Average of Impressions" measure="1" displayFolder="" measureGroup="Posts_Cleaned" count="0" hidden="1">
      <extLst>
        <ext xmlns:x15="http://schemas.microsoft.com/office/spreadsheetml/2010/11/main" uri="{B97F6D7D-B522-45F9-BDA1-12C45D357490}">
          <x15:cacheHierarchy aggregatedColumn="15"/>
        </ext>
      </extLst>
    </cacheHierarchy>
    <cacheHierarchy uniqueName="[Measures].[Sum of Clicks]" caption="Sum of Clicks" measure="1" displayFolder="" measureGroup="Posts_Cleaned" count="0" hidden="1">
      <extLst>
        <ext xmlns:x15="http://schemas.microsoft.com/office/spreadsheetml/2010/11/main" uri="{B97F6D7D-B522-45F9-BDA1-12C45D357490}">
          <x15:cacheHierarchy aggregatedColumn="17"/>
        </ext>
      </extLst>
    </cacheHierarchy>
    <cacheHierarchy uniqueName="[Measures].[Average of Clicks 2]" caption="Average of Clicks 2" measure="1" displayFolder="" measureGroup="Posts_Cleaned"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429008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s v="Reel"/>
    <s v="Check out our latest reel on twitter!"/>
    <n v="1461"/>
    <n v="184"/>
    <n v="344"/>
    <n v="21915"/>
    <n v="21675"/>
    <n v="15"/>
    <s v="#FutureOfDriving"/>
    <s v="#AnytimeIsTeslaTime"/>
    <m/>
    <x v="0"/>
    <n v="9.0759753593429152E-2"/>
    <s v="#FutureOfDriving, #AnytimeIsTeslaTime"/>
    <d v="2024-06-15T00:00:00"/>
    <d v="2024-07-15T00:00:00"/>
    <s v="Before Campaign"/>
    <n v="2004"/>
    <n v="0.14581846288291217"/>
    <n v="0.1285241227988913"/>
    <n v="-0.13456104354108109"/>
    <n v="150000"/>
    <n v="1.336E-2"/>
    <n v="-0.13456104354108109"/>
  </r>
  <r>
    <s v="P002"/>
    <x v="0"/>
    <d v="2025-04-03T00:00:00"/>
    <s v="Text"/>
    <s v="Check out our latest text on twitter!"/>
    <n v="4054"/>
    <n v="389"/>
    <n v="493"/>
    <n v="64864"/>
    <n v="64383"/>
    <n v="117"/>
    <s v="#TeslaCoInnovation"/>
    <s v="#BetterWithTesla"/>
    <m/>
    <x v="1"/>
    <n v="7.6097681302417369E-2"/>
    <s v="#TeslaCoInnovation, #BetterWithTesla"/>
    <d v="2024-10-01T00:00:00"/>
    <d v="2024-10-31T00:00:00"/>
    <s v="Before Campaign"/>
    <n v="5053"/>
    <n v="0.14572924899368364"/>
    <n v="0.18027698306239801"/>
    <n v="0.19163696597228166"/>
    <n v="200000"/>
    <n v="2.5264999999999999E-2"/>
    <n v="0.19163696597228166"/>
  </r>
  <r>
    <s v="P003"/>
    <x v="1"/>
    <d v="2025-05-12T00:00:00"/>
    <s v="Reel"/>
    <s v="Check out our latest reel on youtube!"/>
    <n v="2795"/>
    <n v="105"/>
    <n v="49"/>
    <n v="53105"/>
    <n v="52307"/>
    <n v="204"/>
    <s v="#TeslaCoInnovation"/>
    <m/>
    <m/>
    <x v="2"/>
    <n v="5.5531494209584788E-2"/>
    <s v="#TeslaCoInnovation"/>
    <d v="2024-12-25T00:00:00"/>
    <d v="2025-01-10T00:00:00"/>
    <s v="Before Campaign"/>
    <n v="3153"/>
    <n v="0.14082148653695845"/>
    <n v="0.16154791308173352"/>
    <n v="0.12829894332518399"/>
    <n v="250000"/>
    <n v="1.2612E-2"/>
    <n v="0.12829894332518399"/>
  </r>
  <r>
    <s v="P004"/>
    <x v="2"/>
    <d v="2024-08-12T00:00:00"/>
    <s v="Story"/>
    <s v="Check out our latest story on instagram!"/>
    <n v="2404"/>
    <n v="363"/>
    <n v="138"/>
    <n v="19232"/>
    <n v="18636"/>
    <n v="128"/>
    <s v="#EVRevolution"/>
    <m/>
    <m/>
    <x v="3"/>
    <n v="0.15105033277870217"/>
    <s v="#EVRevolution"/>
    <d v="2025-03-01T00:00:00"/>
    <d v="2025-03-31T00:00:00"/>
    <s v="Before Campaign"/>
    <n v="3033"/>
    <n v="0.15032951281772053"/>
    <n v="0.14598514221458356"/>
    <n v="-2.9758991478401144E-2"/>
    <n v="180000"/>
    <n v="1.685E-2"/>
    <n v="-2.9758991478401144E-2"/>
  </r>
  <r>
    <s v="P005"/>
    <x v="1"/>
    <d v="2024-06-26T00:00:00"/>
    <s v="Reel"/>
    <s v="Check out our latest reel on youtube!"/>
    <n v="3557"/>
    <n v="687"/>
    <n v="424"/>
    <n v="71140"/>
    <n v="70701"/>
    <n v="224"/>
    <s v="#EVRevolution"/>
    <s v="#TeslaCoInnovation"/>
    <m/>
    <x v="0"/>
    <n v="6.5617093055946027E-2"/>
    <s v="#EVRevolution, #TeslaCoInnovation"/>
    <d v="2024-06-15T00:00:00"/>
    <d v="2024-07-15T00:00:00"/>
    <s v="During Campaign"/>
    <n v="4892"/>
    <n v="0.14805746871848174"/>
    <n v="0.15787462854893083"/>
    <n v="6.2183264788530673E-2"/>
    <n v="150000"/>
    <n v="3.2613333333333334E-2"/>
    <n v="6.2183264788530673E-2"/>
  </r>
  <r>
    <s v="P006"/>
    <x v="3"/>
    <d v="2024-10-31T00:00:00"/>
    <s v="Carousel"/>
    <s v="Check out our latest carousel on facebook!"/>
    <n v="2945"/>
    <n v="930"/>
    <n v="355"/>
    <n v="23560"/>
    <n v="23275"/>
    <n v="256"/>
    <s v="#TeslaCoInnovation"/>
    <m/>
    <m/>
    <x v="1"/>
    <n v="0.17954159592529711"/>
    <s v="#TeslaCoInnovation"/>
    <d v="2024-10-01T00:00:00"/>
    <d v="2024-10-31T00:00:00"/>
    <s v="During Campaign"/>
    <n v="4486"/>
    <n v="0.14973769459402911"/>
    <n v="0.14999160926623065"/>
    <n v="1.6928591768813374E-3"/>
    <n v="200000"/>
    <n v="2.2429999999999999E-2"/>
    <n v="1.6928591768813374E-3"/>
  </r>
  <r>
    <s v="P007"/>
    <x v="0"/>
    <d v="2024-06-24T00:00:00"/>
    <s v="Carousel"/>
    <s v="Check out our latest carousel on twitter!"/>
    <n v="3860"/>
    <n v="201"/>
    <n v="279"/>
    <n v="61760"/>
    <n v="61660"/>
    <n v="235"/>
    <s v="#TeslaCoInnovation"/>
    <m/>
    <m/>
    <x v="1"/>
    <n v="7.0272020725388601E-2"/>
    <s v="#TeslaCoInnovation"/>
    <d v="2024-10-01T00:00:00"/>
    <d v="2024-10-31T00:00:00"/>
    <s v="Before Campaign"/>
    <n v="4575"/>
    <n v="0.15113021738468799"/>
    <n v="0.15368621724132922"/>
    <n v="1.663128875524093E-2"/>
    <n v="200000"/>
    <n v="2.2875E-2"/>
    <n v="1.663128875524093E-2"/>
  </r>
  <r>
    <s v="P008"/>
    <x v="1"/>
    <d v="2024-07-13T00:00:00"/>
    <s v="Image"/>
    <s v="Check out our latest image on youtube!"/>
    <n v="3929"/>
    <n v="262"/>
    <n v="278"/>
    <n v="43219"/>
    <n v="42841"/>
    <n v="39"/>
    <s v="#EVRevolution"/>
    <m/>
    <m/>
    <x v="3"/>
    <n v="0.10340359564080613"/>
    <s v="#EVRevolution"/>
    <d v="2025-03-01T00:00:00"/>
    <d v="2025-03-31T00:00:00"/>
    <s v="Before Campaign"/>
    <n v="4508"/>
    <n v="0.15662962002266001"/>
    <n v="0.14010366721437068"/>
    <n v="-0.11795517659793447"/>
    <n v="180000"/>
    <n v="2.5044444444444446E-2"/>
    <n v="-0.11795517659793447"/>
  </r>
  <r>
    <s v="P009"/>
    <x v="3"/>
    <d v="2024-08-30T00:00:00"/>
    <s v="Text"/>
    <s v="Check out our latest text on facebook!"/>
    <n v="3784"/>
    <n v="808"/>
    <n v="404"/>
    <n v="56760"/>
    <n v="56343"/>
    <n v="131"/>
    <s v="#TeslaCoInnovation"/>
    <m/>
    <m/>
    <x v="1"/>
    <n v="8.8019732205778717E-2"/>
    <s v="#TeslaCoInnovation"/>
    <d v="2024-10-01T00:00:00"/>
    <d v="2024-10-31T00:00:00"/>
    <s v="Before Campaign"/>
    <n v="5127"/>
    <n v="0.15343464712797378"/>
    <n v="0.12142417351668718"/>
    <n v="-0.26362521303789183"/>
    <n v="200000"/>
    <n v="2.5635000000000002E-2"/>
    <n v="-0.26362521303789183"/>
  </r>
  <r>
    <s v="P010"/>
    <x v="3"/>
    <d v="2025-03-11T00:00:00"/>
    <s v="Image"/>
    <s v="Check out our latest image on facebook!"/>
    <n v="4241"/>
    <n v="902"/>
    <n v="47"/>
    <n v="72097"/>
    <n v="71598"/>
    <n v="167"/>
    <s v="#TeslaCoInnovation"/>
    <m/>
    <m/>
    <x v="1"/>
    <n v="7.198635172059864E-2"/>
    <s v="#TeslaCoInnovation"/>
    <d v="2024-10-01T00:00:00"/>
    <d v="2024-10-31T00:00:00"/>
    <s v="Before Campaign"/>
    <n v="5357"/>
    <n v="0.15445597342448292"/>
    <n v="0.11586950384248629"/>
    <n v="-0.3330166118122963"/>
    <n v="200000"/>
    <n v="2.6785E-2"/>
    <n v="-0.3330166118122963"/>
  </r>
  <r>
    <s v="P011"/>
    <x v="2"/>
    <d v="2025-02-02T00:00:00"/>
    <s v="Story"/>
    <s v="Check out our latest story on instagram!"/>
    <n v="1792"/>
    <n v="614"/>
    <n v="497"/>
    <n v="25088"/>
    <n v="24675"/>
    <n v="65"/>
    <s v="#FutureOfDriving"/>
    <m/>
    <m/>
    <x v="3"/>
    <n v="0.11571269132653061"/>
    <s v="#FutureOfDriving"/>
    <d v="2025-03-01T00:00:00"/>
    <d v="2025-03-31T00:00:00"/>
    <s v="Before Campaign"/>
    <n v="2968"/>
    <n v="0.14062877814327526"/>
    <n v="0.12898687919608331"/>
    <n v="-9.0256458794496161E-2"/>
    <n v="180000"/>
    <n v="1.648888888888889E-2"/>
    <n v="-9.0256458794496161E-2"/>
  </r>
  <r>
    <s v="P012"/>
    <x v="3"/>
    <d v="2024-07-21T00:00:00"/>
    <s v="Reel"/>
    <s v="Check out our latest reel on facebook!"/>
    <n v="1946"/>
    <n v="686"/>
    <n v="377"/>
    <n v="23352"/>
    <n v="22982"/>
    <n v="213"/>
    <s v="#FutureOfDriving"/>
    <m/>
    <m/>
    <x v="2"/>
    <n v="0.12885405960945528"/>
    <s v="#FutureOfDriving"/>
    <d v="2024-12-25T00:00:00"/>
    <d v="2025-01-10T00:00:00"/>
    <s v="Before Campaign"/>
    <n v="3222"/>
    <n v="0.15123177306809749"/>
    <n v="0.20263430574728197"/>
    <n v="0.25367142295881445"/>
    <n v="250000"/>
    <n v="1.2888E-2"/>
    <n v="0.25367142295881445"/>
  </r>
  <r>
    <s v="P013"/>
    <x v="1"/>
    <d v="2024-11-18T00:00:00"/>
    <s v="Carousel"/>
    <s v="Check out our latest carousel on youtube!"/>
    <n v="1171"/>
    <n v="286"/>
    <n v="231"/>
    <n v="22249"/>
    <n v="21282"/>
    <n v="114"/>
    <s v="#EVRevolution"/>
    <m/>
    <m/>
    <x v="0"/>
    <n v="7.5868578363072495E-2"/>
    <s v="#EVRevolution"/>
    <d v="2024-06-15T00:00:00"/>
    <d v="2024-07-15T00:00:00"/>
    <s v="Before Campaign"/>
    <n v="1802"/>
    <n v="0.14104640797350912"/>
    <n v="0.14487223325578705"/>
    <n v="2.6408271594205595E-2"/>
    <n v="150000"/>
    <n v="1.2013333333333334E-2"/>
    <n v="2.6408271594205595E-2"/>
  </r>
  <r>
    <s v="P014"/>
    <x v="3"/>
    <d v="2025-02-16T00:00:00"/>
    <s v="Story"/>
    <s v="Check out our latest story on facebook!"/>
    <n v="4242"/>
    <n v="555"/>
    <n v="131"/>
    <n v="33936"/>
    <n v="33802"/>
    <n v="265"/>
    <s v="#FutureOfDriving"/>
    <m/>
    <m/>
    <x v="4"/>
    <n v="0.14521452145214522"/>
    <s v="#FutureOfDriving"/>
    <e v="#N/A"/>
    <e v="#N/A"/>
    <e v="#N/A"/>
    <n v="5193"/>
    <n v="0.14054891349649579"/>
    <n v="0.21659329608790068"/>
    <n v="0.35109296531755801"/>
    <n v="0"/>
    <n v="0"/>
    <n v="0.35109296531755801"/>
  </r>
  <r>
    <s v="P015"/>
    <x v="3"/>
    <d v="2024-10-24T00:00:00"/>
    <s v="Video"/>
    <s v="Check out our latest video on facebook!"/>
    <n v="3888"/>
    <n v="604"/>
    <n v="128"/>
    <n v="77760"/>
    <n v="77167"/>
    <n v="20"/>
    <s v="#FutureOfDriving"/>
    <m/>
    <m/>
    <x v="0"/>
    <n v="5.941358024691358E-2"/>
    <s v="#FutureOfDriving"/>
    <d v="2024-06-15T00:00:00"/>
    <d v="2024-07-15T00:00:00"/>
    <s v="Before Campaign"/>
    <n v="4640"/>
    <n v="0.14759713341092504"/>
    <n v="0.2070106936633766"/>
    <n v="0.28700720335281282"/>
    <n v="150000"/>
    <n v="3.0933333333333334E-2"/>
    <n v="0.28700720335281282"/>
  </r>
  <r>
    <s v="P016"/>
    <x v="3"/>
    <d v="2024-08-26T00:00:00"/>
    <s v="Text"/>
    <s v="Check out our latest text on facebook!"/>
    <n v="3452"/>
    <n v="377"/>
    <n v="360"/>
    <n v="55232"/>
    <n v="55075"/>
    <n v="87"/>
    <s v="#FutureOfDriving"/>
    <m/>
    <m/>
    <x v="2"/>
    <n v="7.5843713789107758E-2"/>
    <s v="#FutureOfDriving"/>
    <d v="2024-12-25T00:00:00"/>
    <d v="2025-01-10T00:00:00"/>
    <s v="Before Campaign"/>
    <n v="4276"/>
    <n v="0.14369205604294419"/>
    <n v="0.14575988781671251"/>
    <n v="1.4186562604717005E-2"/>
    <n v="250000"/>
    <n v="1.7104000000000001E-2"/>
    <n v="1.4186562604717005E-2"/>
  </r>
  <r>
    <s v="P017"/>
    <x v="3"/>
    <d v="2025-05-05T00:00:00"/>
    <s v="Text"/>
    <s v="Check out our latest text on facebook!"/>
    <n v="4441"/>
    <n v="511"/>
    <n v="70"/>
    <n v="53292"/>
    <n v="53082"/>
    <n v="159"/>
    <s v="#EVRevolution"/>
    <m/>
    <m/>
    <x v="3"/>
    <n v="9.4235532537716729E-2"/>
    <s v="#EVRevolution"/>
    <d v="2025-03-01T00:00:00"/>
    <d v="2025-03-31T00:00:00"/>
    <s v="Before Campaign"/>
    <n v="5181"/>
    <n v="0.14927161775906023"/>
    <n v="0.20432316006574089"/>
    <n v="0.26943368675860263"/>
    <n v="180000"/>
    <n v="2.8783333333333334E-2"/>
    <n v="0.26943368675860263"/>
  </r>
  <r>
    <s v="P018"/>
    <x v="2"/>
    <d v="2024-08-19T00:00:00"/>
    <s v="Reel"/>
    <s v="Check out our latest reel on instagram!"/>
    <n v="3000"/>
    <n v="382"/>
    <n v="325"/>
    <n v="36000"/>
    <n v="35819"/>
    <n v="19"/>
    <s v="#FutureOfDriving"/>
    <m/>
    <m/>
    <x v="0"/>
    <n v="0.10297222222222223"/>
    <s v="#FutureOfDriving"/>
    <d v="2024-06-15T00:00:00"/>
    <d v="2024-07-15T00:00:00"/>
    <s v="Before Campaign"/>
    <n v="3726"/>
    <n v="0.146172877994943"/>
    <n v="0.16177416723250818"/>
    <n v="9.6438692928904987E-2"/>
    <n v="150000"/>
    <n v="2.4840000000000001E-2"/>
    <n v="9.6438692928904987E-2"/>
  </r>
  <r>
    <s v="P019"/>
    <x v="2"/>
    <d v="2024-06-23T00:00:00"/>
    <s v="Video"/>
    <s v="Check out our latest video on instagram!"/>
    <n v="1071"/>
    <n v="519"/>
    <n v="22"/>
    <n v="16065"/>
    <n v="15865"/>
    <n v="103"/>
    <s v="#TeslaCoInnovation"/>
    <m/>
    <m/>
    <x v="3"/>
    <n v="0.10034235916588857"/>
    <s v="#TeslaCoInnovation"/>
    <d v="2025-03-01T00:00:00"/>
    <d v="2025-03-31T00:00:00"/>
    <s v="Before Campaign"/>
    <n v="1715"/>
    <n v="0.14979441231111049"/>
    <n v="0.17370950211437022"/>
    <n v="0.13767289360782381"/>
    <n v="180000"/>
    <n v="9.5277777777777774E-3"/>
    <n v="0.13767289360782381"/>
  </r>
  <r>
    <s v="P020"/>
    <x v="2"/>
    <d v="2024-09-09T00:00:00"/>
    <s v="Carousel"/>
    <s v="Check out our latest carousel on instagram!"/>
    <n v="4054"/>
    <n v="488"/>
    <n v="373"/>
    <n v="77026"/>
    <n v="76881"/>
    <n v="25"/>
    <s v="#TeslaCoInnovation"/>
    <m/>
    <m/>
    <x v="0"/>
    <n v="6.3809622724794221E-2"/>
    <s v="#TeslaCoInnovation"/>
    <d v="2024-06-15T00:00:00"/>
    <d v="2024-07-15T00:00:00"/>
    <s v="Before Campaign"/>
    <n v="4940"/>
    <n v="0.15667333949516279"/>
    <n v="0.14948499223586742"/>
    <n v="-4.8087417685068475E-2"/>
    <n v="150000"/>
    <n v="3.2933333333333335E-2"/>
    <n v="-4.8087417685068475E-2"/>
  </r>
  <r>
    <s v="P021"/>
    <x v="2"/>
    <d v="2025-01-04T00:00:00"/>
    <s v="Reel"/>
    <s v="Check out our latest reel on instagram!"/>
    <n v="4838"/>
    <n v="640"/>
    <n v="128"/>
    <n v="72570"/>
    <n v="72396"/>
    <n v="83"/>
    <s v="#FutureOfDriving"/>
    <m/>
    <m/>
    <x v="3"/>
    <n v="7.7249552156538517E-2"/>
    <s v="#FutureOfDriving"/>
    <d v="2025-03-01T00:00:00"/>
    <d v="2025-03-31T00:00:00"/>
    <s v="Before Campaign"/>
    <n v="5689"/>
    <n v="0.15641970616846815"/>
    <n v="0.13014815696440993"/>
    <n v="-0.20185878783702169"/>
    <n v="180000"/>
    <n v="3.1605555555555553E-2"/>
    <n v="-0.20185878783702169"/>
  </r>
  <r>
    <s v="P022"/>
    <x v="3"/>
    <d v="2025-02-27T00:00:00"/>
    <s v="Text"/>
    <s v="Check out our latest text on facebook!"/>
    <n v="1570"/>
    <n v="187"/>
    <n v="260"/>
    <n v="25120"/>
    <n v="24613"/>
    <n v="133"/>
    <s v="#TeslaCoInnovation"/>
    <m/>
    <m/>
    <x v="3"/>
    <n v="8.0294585987261149E-2"/>
    <s v="#TeslaCoInnovation"/>
    <d v="2025-03-01T00:00:00"/>
    <d v="2025-03-31T00:00:00"/>
    <s v="Before Campaign"/>
    <n v="2150"/>
    <n v="0.1474034386231948"/>
    <n v="0.15893104591408985"/>
    <n v="7.253213004793474E-2"/>
    <n v="180000"/>
    <n v="1.1944444444444445E-2"/>
    <n v="7.253213004793474E-2"/>
  </r>
  <r>
    <s v="P023"/>
    <x v="3"/>
    <d v="2024-11-06T00:00:00"/>
    <s v="Video"/>
    <s v="Check out our latest video on facebook!"/>
    <n v="1606"/>
    <n v="547"/>
    <n v="316"/>
    <n v="32120"/>
    <n v="31736"/>
    <n v="225"/>
    <s v="#TeslaCoInnovation"/>
    <s v="#AnytimeIsTeslaTime"/>
    <m/>
    <x v="1"/>
    <n v="7.6867995018679955E-2"/>
    <s v="#TeslaCoInnovation, #AnytimeIsTeslaTime"/>
    <d v="2024-10-01T00:00:00"/>
    <d v="2024-10-31T00:00:00"/>
    <s v="Before Campaign"/>
    <n v="2694"/>
    <n v="0.15478525535423998"/>
    <n v="0.18960705084511481"/>
    <n v="0.18365242925127226"/>
    <n v="200000"/>
    <n v="1.3469999999999999E-2"/>
    <n v="0.18365242925127226"/>
  </r>
  <r>
    <s v="P024"/>
    <x v="3"/>
    <d v="2025-01-23T00:00:00"/>
    <s v="Video"/>
    <s v="Check out our latest video on facebook!"/>
    <n v="3961"/>
    <n v="761"/>
    <n v="131"/>
    <n v="67337"/>
    <n v="66615"/>
    <n v="161"/>
    <s v="#FutureOfDriving"/>
    <m/>
    <m/>
    <x v="2"/>
    <n v="7.2070332803659209E-2"/>
    <s v="#FutureOfDriving"/>
    <d v="2024-12-25T00:00:00"/>
    <d v="2025-01-10T00:00:00"/>
    <s v="Before Campaign"/>
    <n v="5014"/>
    <n v="0.15728692220813117"/>
    <n v="0.14645307129982504"/>
    <n v="-7.3974897297487213E-2"/>
    <n v="250000"/>
    <n v="2.0056000000000001E-2"/>
    <n v="-7.3974897297487213E-2"/>
  </r>
  <r>
    <s v="P025"/>
    <x v="0"/>
    <d v="2025-04-10T00:00:00"/>
    <s v="Carousel"/>
    <s v="Check out our latest carousel on twitter!"/>
    <n v="3128"/>
    <n v="211"/>
    <n v="197"/>
    <n v="59432"/>
    <n v="59182"/>
    <n v="238"/>
    <s v="#EVRevolution"/>
    <m/>
    <m/>
    <x v="4"/>
    <n v="5.9496567505720827E-2"/>
    <s v="#EVRevolution"/>
    <e v="#N/A"/>
    <e v="#N/A"/>
    <e v="#N/A"/>
    <n v="3774"/>
    <n v="0.14598197781445291"/>
    <n v="0.10815793782212275"/>
    <n v="-0.34971117935454549"/>
    <n v="0"/>
    <n v="0"/>
    <n v="-0.34971117935454549"/>
  </r>
  <r>
    <s v="P026"/>
    <x v="1"/>
    <d v="2025-04-05T00:00:00"/>
    <s v="Reel"/>
    <s v="Check out our latest reel on youtube!"/>
    <n v="3009"/>
    <n v="413"/>
    <n v="358"/>
    <n v="42126"/>
    <n v="41309"/>
    <n v="211"/>
    <s v="#FutureOfDriving"/>
    <m/>
    <m/>
    <x v="1"/>
    <n v="8.9730807577268201E-2"/>
    <s v="#FutureOfDriving"/>
    <d v="2024-10-01T00:00:00"/>
    <d v="2024-10-31T00:00:00"/>
    <s v="Before Campaign"/>
    <n v="3991"/>
    <n v="0.15417875491003452"/>
    <n v="0.19877261813404887"/>
    <n v="0.22434610784238404"/>
    <n v="200000"/>
    <n v="1.9955000000000001E-2"/>
    <n v="0.22434610784238404"/>
  </r>
  <r>
    <s v="P027"/>
    <x v="1"/>
    <d v="2024-09-17T00:00:00"/>
    <s v="Text"/>
    <s v="Check out our latest text on youtube!"/>
    <n v="2076"/>
    <n v="195"/>
    <n v="104"/>
    <n v="33216"/>
    <n v="32244"/>
    <n v="51"/>
    <s v="#FutureOfDriving"/>
    <m/>
    <m/>
    <x v="3"/>
    <n v="7.1501685934489398E-2"/>
    <s v="#FutureOfDriving"/>
    <d v="2025-03-01T00:00:00"/>
    <d v="2025-03-31T00:00:00"/>
    <s v="Before Campaign"/>
    <n v="2426"/>
    <n v="0.16356514567425631"/>
    <n v="0.19829823366204472"/>
    <n v="0.17515581125640906"/>
    <n v="180000"/>
    <n v="1.3477777777777778E-2"/>
    <n v="0.17515581125640906"/>
  </r>
  <r>
    <s v="P028"/>
    <x v="2"/>
    <d v="2025-03-04T00:00:00"/>
    <s v="Video"/>
    <s v="Check out our latest video on instagram!"/>
    <n v="432"/>
    <n v="624"/>
    <n v="123"/>
    <n v="6912"/>
    <n v="6259"/>
    <n v="79"/>
    <s v="#FutureOfDriving"/>
    <m/>
    <m/>
    <x v="3"/>
    <n v="0.17057291666666666"/>
    <s v="#FutureOfDriving"/>
    <d v="2025-03-01T00:00:00"/>
    <d v="2025-03-31T00:00:00"/>
    <s v="During Campaign"/>
    <n v="1258"/>
    <n v="0.14237468797283384"/>
    <n v="0.1068443253209018"/>
    <n v="-0.33254328243655717"/>
    <n v="180000"/>
    <n v="6.9888888888888891E-3"/>
    <n v="-0.33254328243655717"/>
  </r>
  <r>
    <s v="P029"/>
    <x v="2"/>
    <d v="2025-01-31T00:00:00"/>
    <s v="Carousel"/>
    <s v="Check out our latest carousel on instagram!"/>
    <n v="2566"/>
    <n v="118"/>
    <n v="37"/>
    <n v="12830"/>
    <n v="12264"/>
    <n v="221"/>
    <s v="#FutureOfDriving"/>
    <m/>
    <m/>
    <x v="2"/>
    <n v="0.21208106001558846"/>
    <s v="#FutureOfDriving"/>
    <d v="2024-12-25T00:00:00"/>
    <d v="2025-01-10T00:00:00"/>
    <s v="Before Campaign"/>
    <n v="2942"/>
    <n v="0.15621541503706643"/>
    <n v="0.1778944922949344"/>
    <n v="0.12186480299753095"/>
    <n v="250000"/>
    <n v="1.1768000000000001E-2"/>
    <n v="0.12186480299753095"/>
  </r>
  <r>
    <s v="P030"/>
    <x v="2"/>
    <d v="2025-02-25T00:00:00"/>
    <s v="Video"/>
    <s v="Check out our latest video on instagram!"/>
    <n v="3095"/>
    <n v="39"/>
    <n v="78"/>
    <n v="55710"/>
    <n v="54808"/>
    <n v="93"/>
    <s v="#EVRevolution"/>
    <m/>
    <m/>
    <x v="4"/>
    <n v="5.7655717106444085E-2"/>
    <s v="#EVRevolution"/>
    <e v="#N/A"/>
    <e v="#N/A"/>
    <e v="#N/A"/>
    <n v="3305"/>
    <n v="0.14622714906868797"/>
    <n v="0.14683332321007075"/>
    <n v="4.1283145278646549E-3"/>
    <n v="0"/>
    <n v="0"/>
    <n v="4.1283145278646549E-3"/>
  </r>
  <r>
    <s v="P031"/>
    <x v="2"/>
    <d v="2024-12-16T00:00:00"/>
    <s v="Text"/>
    <s v="Check out our latest text on instagram!"/>
    <n v="438"/>
    <n v="153"/>
    <n v="275"/>
    <n v="3066"/>
    <n v="2701"/>
    <n v="282"/>
    <s v="#TeslaCoInnovation"/>
    <m/>
    <m/>
    <x v="1"/>
    <n v="0.28245270711024134"/>
    <s v="#TeslaCoInnovation"/>
    <d v="2024-10-01T00:00:00"/>
    <d v="2024-10-31T00:00:00"/>
    <s v="Before Campaign"/>
    <n v="1148"/>
    <n v="0.1591315424753354"/>
    <n v="0.18532160020104915"/>
    <n v="0.14132220797414358"/>
    <n v="200000"/>
    <n v="5.7400000000000003E-3"/>
    <n v="0.14132220797414358"/>
  </r>
  <r>
    <s v="P032"/>
    <x v="0"/>
    <d v="2024-07-31T00:00:00"/>
    <s v="Carousel"/>
    <s v="Check out our latest carousel on twitter!"/>
    <n v="2278"/>
    <n v="10"/>
    <n v="321"/>
    <n v="13668"/>
    <n v="12676"/>
    <n v="275"/>
    <s v="#EVRevolution"/>
    <m/>
    <m/>
    <x v="0"/>
    <n v="0.19088381621305239"/>
    <s v="#EVRevolution"/>
    <d v="2024-06-15T00:00:00"/>
    <d v="2024-07-15T00:00:00"/>
    <s v="Before Campaign"/>
    <n v="2884"/>
    <n v="0.15445104469954554"/>
    <n v="0.16862723631736007"/>
    <n v="8.406822010137574E-2"/>
    <n v="150000"/>
    <n v="1.9226666666666666E-2"/>
    <n v="8.406822010137574E-2"/>
  </r>
  <r>
    <s v="P033"/>
    <x v="3"/>
    <d v="2024-08-21T00:00:00"/>
    <s v="Image"/>
    <s v="Check out our latest image on facebook!"/>
    <n v="1407"/>
    <n v="400"/>
    <n v="351"/>
    <n v="16884"/>
    <n v="15954"/>
    <n v="113"/>
    <s v="#TeslaCoInnovation"/>
    <m/>
    <m/>
    <x v="0"/>
    <n v="0.12781331438047855"/>
    <s v="#TeslaCoInnovation"/>
    <d v="2024-06-15T00:00:00"/>
    <d v="2024-07-15T00:00:00"/>
    <s v="Before Campaign"/>
    <n v="2271"/>
    <n v="0.15843600313873807"/>
    <n v="0.14623978650359651"/>
    <n v="-8.3398758482470955E-2"/>
    <n v="150000"/>
    <n v="1.5140000000000001E-2"/>
    <n v="-8.3398758482470955E-2"/>
  </r>
  <r>
    <s v="P034"/>
    <x v="3"/>
    <d v="2025-03-26T00:00:00"/>
    <s v="Text"/>
    <s v="Check out our latest text on facebook!"/>
    <n v="1652"/>
    <n v="89"/>
    <n v="357"/>
    <n v="29736"/>
    <n v="28771"/>
    <n v="215"/>
    <s v="#TeslaCoInnovation"/>
    <m/>
    <m/>
    <x v="2"/>
    <n v="7.055421038471886E-2"/>
    <s v="#TeslaCoInnovation"/>
    <d v="2024-12-25T00:00:00"/>
    <d v="2025-01-10T00:00:00"/>
    <s v="Before Campaign"/>
    <n v="2313"/>
    <n v="0.15511747788391347"/>
    <n v="0.14913571881078738"/>
    <n v="-4.0109499728333456E-2"/>
    <n v="250000"/>
    <n v="9.2519999999999998E-3"/>
    <n v="-4.0109499728333456E-2"/>
  </r>
  <r>
    <s v="P035"/>
    <x v="2"/>
    <d v="2024-11-30T00:00:00"/>
    <s v="Video"/>
    <s v="Check out our latest video on instagram!"/>
    <n v="3775"/>
    <n v="16"/>
    <n v="239"/>
    <n v="33975"/>
    <n v="33310"/>
    <n v="271"/>
    <s v="#FutureOfDriving"/>
    <m/>
    <m/>
    <x v="1"/>
    <n v="0.11861662987490802"/>
    <s v="#FutureOfDriving"/>
    <d v="2024-10-01T00:00:00"/>
    <d v="2024-10-31T00:00:00"/>
    <s v="Before Campaign"/>
    <n v="4301"/>
    <n v="0.14953215196217076"/>
    <n v="0.16157666641368709"/>
    <n v="7.4543649889883143E-2"/>
    <n v="200000"/>
    <n v="2.1505E-2"/>
    <n v="7.4543649889883143E-2"/>
  </r>
  <r>
    <s v="P036"/>
    <x v="2"/>
    <d v="2025-04-19T00:00:00"/>
    <s v="Story"/>
    <s v="Check out our latest story on instagram!"/>
    <n v="4518"/>
    <n v="285"/>
    <n v="383"/>
    <n v="67770"/>
    <n v="67621"/>
    <n v="31"/>
    <s v="#EVRevolution"/>
    <m/>
    <m/>
    <x v="1"/>
    <n v="7.6523535487678915E-2"/>
    <s v="#EVRevolution"/>
    <d v="2024-10-01T00:00:00"/>
    <d v="2024-10-31T00:00:00"/>
    <s v="Before Campaign"/>
    <n v="5217"/>
    <n v="0.1522371264495409"/>
    <n v="0.137053611051415"/>
    <n v="-0.11078522690241178"/>
    <n v="200000"/>
    <n v="2.6085000000000001E-2"/>
    <n v="-0.11078522690241178"/>
  </r>
  <r>
    <s v="P037"/>
    <x v="3"/>
    <d v="2025-01-06T00:00:00"/>
    <s v="Carousel"/>
    <s v="Check out our latest carousel on facebook!"/>
    <n v="3024"/>
    <n v="925"/>
    <n v="350"/>
    <n v="24192"/>
    <n v="23518"/>
    <n v="36"/>
    <s v="#EVRevolution"/>
    <m/>
    <m/>
    <x v="1"/>
    <n v="0.17770337301587302"/>
    <s v="#EVRevolution"/>
    <d v="2024-10-01T00:00:00"/>
    <d v="2024-10-31T00:00:00"/>
    <s v="Before Campaign"/>
    <n v="4335"/>
    <n v="0.15360061816901671"/>
    <n v="0.17518736141859625"/>
    <n v="0.12322089376070765"/>
    <n v="200000"/>
    <n v="2.1675E-2"/>
    <n v="0.12322089376070765"/>
  </r>
  <r>
    <s v="P038"/>
    <x v="1"/>
    <d v="2025-02-17T00:00:00"/>
    <s v="Reel"/>
    <s v="Check out our latest reel on youtube!"/>
    <n v="3138"/>
    <n v="123"/>
    <n v="291"/>
    <n v="28242"/>
    <n v="27550"/>
    <n v="87"/>
    <s v="#TeslaCoInnovation"/>
    <m/>
    <m/>
    <x v="3"/>
    <n v="0.12577012959422137"/>
    <s v="#TeslaCoInnovation"/>
    <d v="2025-03-01T00:00:00"/>
    <d v="2025-03-31T00:00:00"/>
    <s v="Before Campaign"/>
    <n v="3639"/>
    <n v="0.15737338022956393"/>
    <n v="0.14173192468718387"/>
    <n v="-0.11035943790999994"/>
    <n v="180000"/>
    <n v="2.0216666666666668E-2"/>
    <n v="-0.11035943790999994"/>
  </r>
  <r>
    <s v="P039"/>
    <x v="3"/>
    <d v="2024-11-25T00:00:00"/>
    <s v="Image"/>
    <s v="Check out our latest image on facebook!"/>
    <n v="3564"/>
    <n v="629"/>
    <n v="177"/>
    <n v="60588"/>
    <n v="59627"/>
    <n v="92"/>
    <s v="#TeslaCoInnovation"/>
    <m/>
    <m/>
    <x v="4"/>
    <n v="7.2126493695121141E-2"/>
    <s v="#TeslaCoInnovation"/>
    <e v="#N/A"/>
    <e v="#N/A"/>
    <e v="#N/A"/>
    <n v="4462"/>
    <n v="0.16230715657231867"/>
    <n v="0.14384064132791141"/>
    <n v="-0.12838176383202723"/>
    <n v="0"/>
    <n v="0"/>
    <n v="-0.12838176383202723"/>
  </r>
  <r>
    <s v="P040"/>
    <x v="0"/>
    <d v="2025-03-07T00:00:00"/>
    <s v="Image"/>
    <s v="Check out our latest image on twitter!"/>
    <n v="4750"/>
    <n v="151"/>
    <n v="415"/>
    <n v="38000"/>
    <n v="37792"/>
    <n v="299"/>
    <s v="#EVRevolution"/>
    <m/>
    <m/>
    <x v="3"/>
    <n v="0.13989473684210527"/>
    <s v="#EVRevolution"/>
    <d v="2025-03-01T00:00:00"/>
    <d v="2025-03-31T00:00:00"/>
    <s v="During Campaign"/>
    <n v="5615"/>
    <n v="0.15581347449452082"/>
    <n v="0.11887872500438079"/>
    <n v="-0.31069267851568017"/>
    <n v="180000"/>
    <n v="3.1194444444444445E-2"/>
    <n v="-0.31069267851568017"/>
  </r>
  <r>
    <s v="P041"/>
    <x v="2"/>
    <d v="2025-03-08T00:00:00"/>
    <s v="Reel"/>
    <s v="Check out our latest reel on instagram!"/>
    <n v="456"/>
    <n v="629"/>
    <n v="428"/>
    <n v="8208"/>
    <n v="7377"/>
    <n v="205"/>
    <s v="#FutureOfDriving"/>
    <m/>
    <m/>
    <x v="3"/>
    <n v="0.18433235867446393"/>
    <s v="#FutureOfDriving"/>
    <d v="2025-03-01T00:00:00"/>
    <d v="2025-03-31T00:00:00"/>
    <s v="During Campaign"/>
    <n v="1718"/>
    <n v="0.1477227610592019"/>
    <n v="0.12824730550974753"/>
    <n v="-0.15185859439342472"/>
    <n v="180000"/>
    <n v="9.5444444444444439E-3"/>
    <n v="-0.15185859439342472"/>
  </r>
  <r>
    <s v="P042"/>
    <x v="1"/>
    <d v="2025-03-05T00:00:00"/>
    <s v="Reel"/>
    <s v="Check out our latest reel on youtube!"/>
    <n v="1543"/>
    <n v="820"/>
    <n v="333"/>
    <n v="12344"/>
    <n v="11496"/>
    <n v="241"/>
    <s v="#EVRevolution"/>
    <m/>
    <m/>
    <x v="4"/>
    <n v="0.21840570317563188"/>
    <s v="#EVRevolution"/>
    <e v="#N/A"/>
    <e v="#N/A"/>
    <e v="#N/A"/>
    <n v="2937"/>
    <n v="0.15765330890354648"/>
    <n v="0.14283539572664411"/>
    <n v="-0.10374118474989655"/>
    <n v="0"/>
    <n v="0"/>
    <n v="-0.10374118474989655"/>
  </r>
  <r>
    <s v="P043"/>
    <x v="2"/>
    <d v="2024-12-14T00:00:00"/>
    <s v="Carousel"/>
    <s v="Check out our latest carousel on instagram!"/>
    <n v="2174"/>
    <n v="658"/>
    <n v="15"/>
    <n v="13044"/>
    <n v="12206"/>
    <n v="137"/>
    <s v="#TeslaCoInnovation"/>
    <m/>
    <m/>
    <x v="2"/>
    <n v="0.21826126954921804"/>
    <s v="#TeslaCoInnovation"/>
    <d v="2024-12-25T00:00:00"/>
    <d v="2025-01-10T00:00:00"/>
    <s v="Before Campaign"/>
    <n v="2984"/>
    <n v="0.1584277923267737"/>
    <n v="0.15415290324959813"/>
    <n v="-2.7731485992539811E-2"/>
    <n v="250000"/>
    <n v="1.1936E-2"/>
    <n v="-2.7731485992539811E-2"/>
  </r>
  <r>
    <s v="P044"/>
    <x v="0"/>
    <d v="2025-03-02T00:00:00"/>
    <s v="Image"/>
    <s v="Check out our latest image on twitter!"/>
    <n v="2358"/>
    <n v="784"/>
    <n v="344"/>
    <n v="35370"/>
    <n v="34475"/>
    <n v="216"/>
    <s v="#TeslaCoInnovation"/>
    <m/>
    <m/>
    <x v="4"/>
    <n v="9.8558100084817649E-2"/>
    <s v="#TeslaCoInnovation"/>
    <e v="#N/A"/>
    <e v="#N/A"/>
    <e v="#N/A"/>
    <n v="3702"/>
    <n v="0.14588871534342732"/>
    <n v="0.12411016277087748"/>
    <n v="-0.17547759253813647"/>
    <n v="0"/>
    <n v="0"/>
    <n v="-0.17547759253813647"/>
  </r>
  <r>
    <s v="P045"/>
    <x v="3"/>
    <d v="2024-11-01T00:00:00"/>
    <s v="Video"/>
    <s v="Check out our latest video on facebook!"/>
    <n v="3371"/>
    <n v="106"/>
    <n v="327"/>
    <n v="50565"/>
    <n v="49816"/>
    <n v="176"/>
    <s v="#FutureOfDriving"/>
    <m/>
    <m/>
    <x v="0"/>
    <n v="7.5229902106199939E-2"/>
    <s v="#FutureOfDriving"/>
    <d v="2024-06-15T00:00:00"/>
    <d v="2024-07-15T00:00:00"/>
    <s v="Before Campaign"/>
    <n v="3980"/>
    <n v="0.16268036903590435"/>
    <n v="0.20863953107681635"/>
    <n v="0.22028022112449472"/>
    <n v="150000"/>
    <n v="2.6533333333333332E-2"/>
    <n v="0.22028022112449472"/>
  </r>
  <r>
    <s v="P046"/>
    <x v="0"/>
    <d v="2025-05-02T00:00:00"/>
    <s v="Video"/>
    <s v="Check out our latest video on twitter!"/>
    <n v="1108"/>
    <n v="177"/>
    <n v="212"/>
    <n v="8864"/>
    <n v="8710"/>
    <n v="97"/>
    <s v="#TeslaCoInnovation"/>
    <m/>
    <m/>
    <x v="3"/>
    <n v="0.16888537906137185"/>
    <s v="#TeslaCoInnovation"/>
    <d v="2025-03-01T00:00:00"/>
    <d v="2025-03-31T00:00:00"/>
    <s v="Before Campaign"/>
    <n v="1594"/>
    <n v="0.15222290169604089"/>
    <n v="0.12627550539949803"/>
    <n v="-0.20548241889393384"/>
    <n v="180000"/>
    <n v="8.8555555555555557E-3"/>
    <n v="-0.20548241889393384"/>
  </r>
  <r>
    <s v="P047"/>
    <x v="0"/>
    <d v="2025-02-24T00:00:00"/>
    <s v="Carousel"/>
    <s v="Check out our latest carousel on twitter!"/>
    <n v="2704"/>
    <n v="752"/>
    <n v="153"/>
    <n v="21632"/>
    <n v="20792"/>
    <n v="127"/>
    <s v="#FutureOfDriving"/>
    <m/>
    <m/>
    <x v="4"/>
    <n v="0.16683616863905326"/>
    <s v="#FutureOfDriving"/>
    <e v="#N/A"/>
    <e v="#N/A"/>
    <e v="#N/A"/>
    <n v="3736"/>
    <n v="0.15109608499196628"/>
    <n v="0.11098926788239183"/>
    <n v="-0.36135761479274786"/>
    <n v="0"/>
    <n v="0"/>
    <n v="-0.36135761479274786"/>
  </r>
  <r>
    <s v="P048"/>
    <x v="0"/>
    <d v="2025-03-11T00:00:00"/>
    <s v="Story"/>
    <s v="Check out our latest story on twitter!"/>
    <n v="1950"/>
    <n v="295"/>
    <n v="478"/>
    <n v="37050"/>
    <n v="36272"/>
    <n v="119"/>
    <s v="#TeslaCoInnovation"/>
    <m/>
    <m/>
    <x v="4"/>
    <n v="7.349527665317139E-2"/>
    <s v="#TeslaCoInnovation"/>
    <e v="#N/A"/>
    <e v="#N/A"/>
    <e v="#N/A"/>
    <n v="2842"/>
    <n v="0.16166996151515853"/>
    <n v="0.1225237317428059"/>
    <n v="-0.31949916326843464"/>
    <n v="0"/>
    <n v="0"/>
    <n v="-0.31949916326843464"/>
  </r>
  <r>
    <s v="P049"/>
    <x v="0"/>
    <d v="2024-06-10T00:00:00"/>
    <s v="Story"/>
    <s v="Check out our latest story on twitter!"/>
    <n v="2164"/>
    <n v="549"/>
    <n v="274"/>
    <n v="28132"/>
    <n v="27361"/>
    <n v="177"/>
    <s v="#TeslaCoInnovation"/>
    <m/>
    <m/>
    <x v="3"/>
    <n v="0.10617801791554102"/>
    <s v="#TeslaCoInnovation"/>
    <d v="2025-03-01T00:00:00"/>
    <d v="2025-03-31T00:00:00"/>
    <s v="Before Campaign"/>
    <n v="3164"/>
    <n v="0.15956623872637313"/>
    <n v="0.14220971441622213"/>
    <n v="-0.12204879519940243"/>
    <n v="180000"/>
    <n v="1.7577777777777779E-2"/>
    <n v="-0.12204879519940243"/>
  </r>
  <r>
    <s v="P050"/>
    <x v="1"/>
    <d v="2024-07-03T00:00:00"/>
    <s v="Story"/>
    <s v="Check out our latest story on youtube!"/>
    <n v="2754"/>
    <n v="130"/>
    <n v="90"/>
    <n v="22032"/>
    <n v="21288"/>
    <n v="112"/>
    <s v="#TeslaCoInnovation"/>
    <m/>
    <m/>
    <x v="2"/>
    <n v="0.13498547567175018"/>
    <s v="#TeslaCoInnovation"/>
    <d v="2024-12-25T00:00:00"/>
    <d v="2025-01-10T00:00:00"/>
    <s v="Before Campaign"/>
    <n v="3086"/>
    <n v="0.16460660545055267"/>
    <n v="0.1298949964746125"/>
    <n v="-0.2672282221642342"/>
    <n v="250000"/>
    <n v="1.2344000000000001E-2"/>
    <n v="-0.2672282221642342"/>
  </r>
  <r>
    <s v="P051"/>
    <x v="3"/>
    <d v="2024-06-13T00:00:00"/>
    <s v="Carousel"/>
    <s v="Check out our latest carousel on facebook!"/>
    <n v="2200"/>
    <n v="504"/>
    <n v="239"/>
    <n v="37400"/>
    <n v="36938"/>
    <n v="225"/>
    <s v="#FutureOfDriving"/>
    <m/>
    <m/>
    <x v="1"/>
    <n v="7.8689839572192513E-2"/>
    <s v="#FutureOfDriving"/>
    <d v="2024-10-01T00:00:00"/>
    <d v="2024-10-31T00:00:00"/>
    <s v="Before Campaign"/>
    <n v="3168"/>
    <n v="0.16650184809869623"/>
    <n v="0.11491681534766203"/>
    <n v="-0.44889020457947881"/>
    <n v="200000"/>
    <n v="1.584E-2"/>
    <n v="-0.44889020457947881"/>
  </r>
  <r>
    <s v="P052"/>
    <x v="3"/>
    <d v="2025-01-03T00:00:00"/>
    <s v="Image"/>
    <s v="Check out our latest image on facebook!"/>
    <n v="947"/>
    <n v="338"/>
    <n v="350"/>
    <n v="10417"/>
    <n v="9730"/>
    <n v="34"/>
    <s v="#TeslaCoInnovation"/>
    <m/>
    <m/>
    <x v="3"/>
    <n v="0.1569549774407219"/>
    <s v="#TeslaCoInnovation"/>
    <d v="2025-03-01T00:00:00"/>
    <d v="2025-03-31T00:00:00"/>
    <s v="Before Campaign"/>
    <n v="1669"/>
    <n v="0.15046994034581876"/>
    <n v="0.12820401308018789"/>
    <n v="-0.17367574329911326"/>
    <n v="180000"/>
    <n v="9.2722222222222216E-3"/>
    <n v="-0.17367574329911326"/>
  </r>
  <r>
    <s v="P053"/>
    <x v="1"/>
    <d v="2025-02-24T00:00:00"/>
    <s v="Carousel"/>
    <s v="Check out our latest carousel on youtube!"/>
    <n v="804"/>
    <n v="639"/>
    <n v="43"/>
    <n v="4020"/>
    <n v="3144"/>
    <n v="11"/>
    <s v="#EVRevolution"/>
    <s v="#BetterWithTesla"/>
    <m/>
    <x v="4"/>
    <n v="0.36965174129353234"/>
    <s v="#EVRevolution, #BetterWithTesla"/>
    <e v="#N/A"/>
    <e v="#N/A"/>
    <e v="#N/A"/>
    <n v="1497"/>
    <n v="0.14851811907836254"/>
    <n v="0.17219158915056296"/>
    <n v="0.13748331256470675"/>
    <n v="0"/>
    <n v="0"/>
    <n v="0.13748331256470675"/>
  </r>
  <r>
    <s v="P054"/>
    <x v="1"/>
    <d v="2025-03-13T00:00:00"/>
    <s v="Carousel"/>
    <s v="Check out our latest carousel on youtube!"/>
    <n v="1686"/>
    <n v="904"/>
    <n v="472"/>
    <n v="18546"/>
    <n v="18171"/>
    <n v="52"/>
    <s v="#FutureOfDriving"/>
    <m/>
    <m/>
    <x v="1"/>
    <n v="0.16510298716704411"/>
    <s v="#FutureOfDriving"/>
    <d v="2024-10-01T00:00:00"/>
    <d v="2024-10-31T00:00:00"/>
    <s v="Before Campaign"/>
    <n v="3114"/>
    <n v="0.1518908201018743"/>
    <n v="0.18151689816542171"/>
    <n v="0.16321388456378477"/>
    <n v="200000"/>
    <n v="1.5570000000000001E-2"/>
    <n v="0.16321388456378477"/>
  </r>
  <r>
    <s v="P055"/>
    <x v="3"/>
    <d v="2024-06-17T00:00:00"/>
    <s v="Image"/>
    <s v="Check out our latest image on facebook!"/>
    <n v="1226"/>
    <n v="119"/>
    <n v="7"/>
    <n v="14712"/>
    <n v="14049"/>
    <n v="123"/>
    <s v="#EVRevolution"/>
    <m/>
    <m/>
    <x v="3"/>
    <n v="9.1897770527460579E-2"/>
    <s v="#EVRevolution"/>
    <d v="2025-03-01T00:00:00"/>
    <d v="2025-03-31T00:00:00"/>
    <s v="Before Campaign"/>
    <n v="1475"/>
    <n v="0.16246514100177162"/>
    <n v="0.14176501361849561"/>
    <n v="-0.14601717909739143"/>
    <n v="180000"/>
    <n v="8.1944444444444452E-3"/>
    <n v="-0.14601717909739143"/>
  </r>
  <r>
    <s v="P056"/>
    <x v="3"/>
    <d v="2024-12-18T00:00:00"/>
    <s v="Carousel"/>
    <s v="Check out our latest carousel on facebook!"/>
    <n v="2946"/>
    <n v="498"/>
    <n v="367"/>
    <n v="29460"/>
    <n v="28527"/>
    <n v="60"/>
    <s v="#FutureOfDriving"/>
    <m/>
    <m/>
    <x v="2"/>
    <n v="0.12936184657162253"/>
    <s v="#FutureOfDriving"/>
    <d v="2024-12-25T00:00:00"/>
    <d v="2025-01-10T00:00:00"/>
    <s v="Before Campaign"/>
    <n v="3871"/>
    <n v="0.15046161083030735"/>
    <n v="0.13794411593474576"/>
    <n v="-9.0743231856898976E-2"/>
    <n v="250000"/>
    <n v="1.5484E-2"/>
    <n v="-9.0743231856898976E-2"/>
  </r>
  <r>
    <s v="P057"/>
    <x v="0"/>
    <d v="2024-10-21T00:00:00"/>
    <s v="Video"/>
    <s v="Check out our latest video on twitter!"/>
    <n v="2825"/>
    <n v="535"/>
    <n v="295"/>
    <n v="45200"/>
    <n v="44739"/>
    <n v="169"/>
    <s v="#TeslaCoInnovation"/>
    <m/>
    <m/>
    <x v="0"/>
    <n v="8.0862831858407078E-2"/>
    <s v="#TeslaCoInnovation"/>
    <d v="2024-06-15T00:00:00"/>
    <d v="2024-07-15T00:00:00"/>
    <s v="Before Campaign"/>
    <n v="3824"/>
    <n v="0.15396292626968666"/>
    <n v="0.20245449049129813"/>
    <n v="0.23951834362348076"/>
    <n v="150000"/>
    <n v="2.5493333333333333E-2"/>
    <n v="0.23951834362348076"/>
  </r>
  <r>
    <s v="P058"/>
    <x v="2"/>
    <d v="2025-04-15T00:00:00"/>
    <s v="Reel"/>
    <s v="Check out our latest reel on instagram!"/>
    <n v="103"/>
    <n v="770"/>
    <n v="19"/>
    <n v="1030"/>
    <n v="410"/>
    <n v="262"/>
    <s v="#TeslaCoInnovation"/>
    <m/>
    <m/>
    <x v="3"/>
    <n v="0.86601941747572819"/>
    <s v="#TeslaCoInnovation"/>
    <d v="2025-03-01T00:00:00"/>
    <d v="2025-03-31T00:00:00"/>
    <s v="Before Campaign"/>
    <n v="1154"/>
    <n v="0.14329599382048425"/>
    <n v="0.18471899853443713"/>
    <n v="0.22424875103591685"/>
    <n v="180000"/>
    <n v="6.4111111111111114E-3"/>
    <n v="0.22424875103591685"/>
  </r>
  <r>
    <s v="P059"/>
    <x v="2"/>
    <d v="2024-06-22T00:00:00"/>
    <s v="Text"/>
    <s v="Check out our latest text on instagram!"/>
    <n v="2180"/>
    <n v="263"/>
    <n v="387"/>
    <n v="30520"/>
    <n v="30059"/>
    <n v="174"/>
    <s v="#EVRevolution"/>
    <m/>
    <m/>
    <x v="4"/>
    <n v="9.2726081258191345E-2"/>
    <s v="#EVRevolution"/>
    <e v="#N/A"/>
    <e v="#N/A"/>
    <e v="#N/A"/>
    <n v="3004"/>
    <n v="0.1540076663844252"/>
    <n v="0.14206849345591277"/>
    <n v="-8.4038146939436925E-2"/>
    <n v="0"/>
    <n v="0"/>
    <n v="-8.4038146939436925E-2"/>
  </r>
  <r>
    <s v="P060"/>
    <x v="2"/>
    <d v="2025-01-28T00:00:00"/>
    <s v="Video"/>
    <s v="Check out our latest video on instagram!"/>
    <n v="904"/>
    <n v="973"/>
    <n v="63"/>
    <n v="11752"/>
    <n v="11580"/>
    <n v="84"/>
    <s v="#EVRevolution"/>
    <s v="#TeslaCoInnovation"/>
    <s v="#AnytimeIsTeslaTime"/>
    <x v="2"/>
    <n v="0.1650782845473111"/>
    <s v="#EVRevolution, #TeslaCoInnovation, #AnytimeIsTeslaTime"/>
    <d v="2024-12-25T00:00:00"/>
    <d v="2025-01-10T00:00:00"/>
    <s v="Before Campaign"/>
    <n v="2024"/>
    <n v="0.14828397456829345"/>
    <n v="0.1387981308044815"/>
    <n v="-6.8342734220061083E-2"/>
    <n v="250000"/>
    <n v="8.0960000000000008E-3"/>
    <n v="-6.8342734220061083E-2"/>
  </r>
  <r>
    <s v="P061"/>
    <x v="0"/>
    <d v="2024-09-05T00:00:00"/>
    <s v="Video"/>
    <s v="Check out our latest video on twitter!"/>
    <n v="4886"/>
    <n v="983"/>
    <n v="409"/>
    <n v="43974"/>
    <n v="43239"/>
    <n v="65"/>
    <s v="#TeslaCoInnovation"/>
    <m/>
    <m/>
    <x v="0"/>
    <n v="0.14276618001546368"/>
    <s v="#TeslaCoInnovation"/>
    <d v="2024-06-15T00:00:00"/>
    <d v="2024-07-15T00:00:00"/>
    <s v="Before Campaign"/>
    <n v="6343"/>
    <n v="0.15769276659384276"/>
    <n v="0.13547714331099264"/>
    <n v="-0.16398060026888345"/>
    <n v="150000"/>
    <n v="4.2286666666666667E-2"/>
    <n v="-0.16398060026888345"/>
  </r>
  <r>
    <s v="P062"/>
    <x v="0"/>
    <d v="2024-11-22T00:00:00"/>
    <s v="Carousel"/>
    <s v="Check out our latest carousel on twitter!"/>
    <n v="53"/>
    <n v="81"/>
    <n v="379"/>
    <n v="954"/>
    <n v="7"/>
    <n v="148"/>
    <s v="#TeslaCoInnovation"/>
    <m/>
    <m/>
    <x v="2"/>
    <n v="0.53773584905660377"/>
    <s v="#TeslaCoInnovation"/>
    <d v="2024-12-25T00:00:00"/>
    <d v="2025-01-10T00:00:00"/>
    <s v="Before Campaign"/>
    <n v="661"/>
    <n v="0.15386860607335659"/>
    <n v="0.1727258691441716"/>
    <n v="0.10917451545764197"/>
    <n v="250000"/>
    <n v="2.6440000000000001E-3"/>
    <n v="0.10917451545764197"/>
  </r>
  <r>
    <s v="P063"/>
    <x v="0"/>
    <d v="2024-07-31T00:00:00"/>
    <s v="Carousel"/>
    <s v="Check out our latest carousel on twitter!"/>
    <n v="4507"/>
    <n v="217"/>
    <n v="13"/>
    <n v="90140"/>
    <n v="89591"/>
    <n v="125"/>
    <s v="#FutureOfDriving"/>
    <m/>
    <m/>
    <x v="2"/>
    <n v="5.2551586421122697E-2"/>
    <s v="#FutureOfDriving"/>
    <d v="2024-12-25T00:00:00"/>
    <d v="2025-01-10T00:00:00"/>
    <s v="Before Campaign"/>
    <n v="4862"/>
    <n v="0.15246490178352995"/>
    <n v="0.15456754867012806"/>
    <n v="1.3603417435864884E-2"/>
    <n v="250000"/>
    <n v="1.9448E-2"/>
    <n v="1.3603417435864884E-2"/>
  </r>
  <r>
    <s v="P064"/>
    <x v="3"/>
    <d v="2024-08-17T00:00:00"/>
    <s v="Image"/>
    <s v="Check out our latest image on facebook!"/>
    <n v="2878"/>
    <n v="248"/>
    <n v="416"/>
    <n v="43170"/>
    <n v="42667"/>
    <n v="75"/>
    <s v="#FutureOfDriving"/>
    <m/>
    <m/>
    <x v="2"/>
    <n v="8.2047718322909427E-2"/>
    <s v="#FutureOfDriving"/>
    <d v="2024-12-25T00:00:00"/>
    <d v="2025-01-10T00:00:00"/>
    <s v="Before Campaign"/>
    <n v="3617"/>
    <n v="0.14447585947753111"/>
    <n v="0.14962319091977277"/>
    <n v="3.4401962761251625E-2"/>
    <n v="250000"/>
    <n v="1.4468E-2"/>
    <n v="3.4401962761251625E-2"/>
  </r>
  <r>
    <s v="P065"/>
    <x v="2"/>
    <d v="2025-03-28T00:00:00"/>
    <s v="Story"/>
    <s v="Check out our latest story on instagram!"/>
    <n v="1881"/>
    <n v="501"/>
    <n v="99"/>
    <n v="20691"/>
    <n v="19987"/>
    <n v="289"/>
    <s v="#EVRevolution"/>
    <m/>
    <m/>
    <x v="4"/>
    <n v="0.11990720603160794"/>
    <s v="#EVRevolution"/>
    <e v="#N/A"/>
    <e v="#N/A"/>
    <e v="#N/A"/>
    <n v="2770"/>
    <n v="0.15266477689280536"/>
    <n v="0.23702734895721295"/>
    <n v="0.35591914787705076"/>
    <n v="0"/>
    <n v="0"/>
    <n v="0.35591914787705076"/>
  </r>
  <r>
    <s v="P066"/>
    <x v="0"/>
    <d v="2024-07-26T00:00:00"/>
    <s v="Carousel"/>
    <s v="Check out our latest carousel on twitter!"/>
    <n v="432"/>
    <n v="171"/>
    <n v="280"/>
    <n v="3024"/>
    <n v="2285"/>
    <n v="184"/>
    <s v="#EVRevolution"/>
    <m/>
    <m/>
    <x v="0"/>
    <n v="0.29199735449735448"/>
    <s v="#EVRevolution"/>
    <d v="2024-06-15T00:00:00"/>
    <d v="2024-07-15T00:00:00"/>
    <s v="Before Campaign"/>
    <n v="1067"/>
    <n v="0.15850944285263149"/>
    <n v="0.16301140224175917"/>
    <n v="2.7617450848321044E-2"/>
    <n v="150000"/>
    <n v="7.1133333333333335E-3"/>
    <n v="2.7617450848321044E-2"/>
  </r>
  <r>
    <s v="P067"/>
    <x v="3"/>
    <d v="2025-03-29T00:00:00"/>
    <s v="Carousel"/>
    <s v="Check out our latest carousel on facebook!"/>
    <n v="4712"/>
    <n v="568"/>
    <n v="127"/>
    <n v="84816"/>
    <n v="84691"/>
    <n v="100"/>
    <s v="#EVRevolution"/>
    <m/>
    <m/>
    <x v="2"/>
    <n v="6.3749764195434822E-2"/>
    <s v="#EVRevolution"/>
    <d v="2024-12-25T00:00:00"/>
    <d v="2025-01-10T00:00:00"/>
    <s v="Before Campaign"/>
    <n v="5507"/>
    <n v="0.14998345047341574"/>
    <n v="0.11820758606946029"/>
    <n v="-0.26881408766171361"/>
    <n v="250000"/>
    <n v="2.2027999999999999E-2"/>
    <n v="-0.26881408766171361"/>
  </r>
  <r>
    <s v="P068"/>
    <x v="2"/>
    <d v="2024-12-08T00:00:00"/>
    <s v="Story"/>
    <s v="Check out our latest story on instagram!"/>
    <n v="2610"/>
    <n v="126"/>
    <n v="288"/>
    <n v="15660"/>
    <n v="15145"/>
    <n v="73"/>
    <s v="#EVRevolution"/>
    <m/>
    <m/>
    <x v="4"/>
    <n v="0.19310344827586207"/>
    <s v="#EVRevolution"/>
    <e v="#N/A"/>
    <e v="#N/A"/>
    <e v="#N/A"/>
    <n v="3097"/>
    <n v="0.15264070605642985"/>
    <n v="0.20558691193796735"/>
    <n v="0.25753685087459849"/>
    <n v="0"/>
    <n v="0"/>
    <n v="0.25753685087459849"/>
  </r>
  <r>
    <s v="P069"/>
    <x v="0"/>
    <d v="2025-03-08T00:00:00"/>
    <s v="Text"/>
    <s v="Check out our latest text on twitter!"/>
    <n v="1292"/>
    <n v="626"/>
    <n v="496"/>
    <n v="25840"/>
    <n v="24916"/>
    <n v="149"/>
    <s v="#FutureOfDriving"/>
    <m/>
    <m/>
    <x v="2"/>
    <n v="9.3421052631578946E-2"/>
    <s v="#FutureOfDriving"/>
    <d v="2024-12-25T00:00:00"/>
    <d v="2025-01-10T00:00:00"/>
    <s v="Before Campaign"/>
    <n v="2563"/>
    <n v="0.157273136060433"/>
    <n v="0.15249123274599879"/>
    <n v="-3.1358545854234865E-2"/>
    <n v="250000"/>
    <n v="1.0252000000000001E-2"/>
    <n v="-3.1358545854234865E-2"/>
  </r>
  <r>
    <s v="P070"/>
    <x v="3"/>
    <d v="2025-04-02T00:00:00"/>
    <s v="Video"/>
    <s v="Check out our latest video on facebook!"/>
    <n v="199"/>
    <n v="772"/>
    <n v="400"/>
    <n v="3582"/>
    <n v="2988"/>
    <n v="43"/>
    <s v="#TeslaCoInnovation"/>
    <m/>
    <m/>
    <x v="4"/>
    <n v="0.38274706867671693"/>
    <s v="#TeslaCoInnovation"/>
    <e v="#N/A"/>
    <e v="#N/A"/>
    <e v="#N/A"/>
    <n v="1414"/>
    <n v="0.15438680235437016"/>
    <n v="0.13508739652926482"/>
    <n v="-0.14286607278662289"/>
    <n v="0"/>
    <n v="0"/>
    <n v="-0.14286607278662289"/>
  </r>
  <r>
    <s v="P071"/>
    <x v="1"/>
    <d v="2024-09-02T00:00:00"/>
    <s v="Carousel"/>
    <s v="Check out our latest carousel on youtube!"/>
    <n v="2551"/>
    <n v="915"/>
    <n v="205"/>
    <n v="30612"/>
    <n v="30360"/>
    <n v="227"/>
    <s v="#TeslaCoInnovation"/>
    <m/>
    <m/>
    <x v="1"/>
    <n v="0.1199202926956749"/>
    <s v="#TeslaCoInnovation"/>
    <d v="2024-10-01T00:00:00"/>
    <d v="2024-10-31T00:00:00"/>
    <s v="Before Campaign"/>
    <n v="3898"/>
    <n v="0.14480893864461211"/>
    <n v="0.13114639567320616"/>
    <n v="-0.10417779994084335"/>
    <n v="200000"/>
    <n v="1.949E-2"/>
    <n v="-0.10417779994084335"/>
  </r>
  <r>
    <s v="P072"/>
    <x v="1"/>
    <d v="2025-03-03T00:00:00"/>
    <s v="Reel"/>
    <s v="Check out our latest reel on youtube!"/>
    <n v="296"/>
    <n v="60"/>
    <n v="141"/>
    <n v="5624"/>
    <n v="5239"/>
    <n v="88"/>
    <s v="#EVRevolution"/>
    <m/>
    <m/>
    <x v="1"/>
    <n v="8.837126600284495E-2"/>
    <s v="#EVRevolution"/>
    <d v="2024-10-01T00:00:00"/>
    <d v="2024-10-31T00:00:00"/>
    <s v="Before Campaign"/>
    <n v="585"/>
    <n v="0.14938127742878529"/>
    <n v="0.22308303585649009"/>
    <n v="0.33037813989189807"/>
    <n v="200000"/>
    <n v="2.9250000000000001E-3"/>
    <n v="0.33037813989189807"/>
  </r>
  <r>
    <s v="P073"/>
    <x v="3"/>
    <d v="2024-10-18T00:00:00"/>
    <s v="Story"/>
    <s v="Check out our latest story on facebook!"/>
    <n v="4126"/>
    <n v="426"/>
    <n v="486"/>
    <n v="78394"/>
    <n v="77798"/>
    <n v="88"/>
    <s v="#FutureOfDriving"/>
    <m/>
    <m/>
    <x v="3"/>
    <n v="6.4265122330790625E-2"/>
    <s v="#FutureOfDriving"/>
    <d v="2025-03-01T00:00:00"/>
    <d v="2025-03-31T00:00:00"/>
    <s v="Before Campaign"/>
    <n v="5126"/>
    <n v="0.14173388630284131"/>
    <n v="0.14783480420758527"/>
    <n v="4.126848165048623E-2"/>
    <n v="180000"/>
    <n v="2.8477777777777779E-2"/>
    <n v="4.126848165048623E-2"/>
  </r>
  <r>
    <s v="P074"/>
    <x v="1"/>
    <d v="2024-10-28T00:00:00"/>
    <s v="Reel"/>
    <s v="Check out our latest reel on youtube!"/>
    <n v="1855"/>
    <n v="200"/>
    <n v="174"/>
    <n v="16695"/>
    <n v="16330"/>
    <n v="123"/>
    <s v="#TeslaCoInnovation"/>
    <m/>
    <m/>
    <x v="2"/>
    <n v="0.13351302785265048"/>
    <s v="#TeslaCoInnovation"/>
    <d v="2024-12-25T00:00:00"/>
    <d v="2025-01-10T00:00:00"/>
    <s v="Before Campaign"/>
    <n v="2352"/>
    <n v="0.14706871261657947"/>
    <n v="0.2075952412174619"/>
    <n v="0.29156028936847916"/>
    <n v="250000"/>
    <n v="9.4079999999999997E-3"/>
    <n v="0.29156028936847916"/>
  </r>
  <r>
    <s v="P075"/>
    <x v="2"/>
    <d v="2024-08-01T00:00:00"/>
    <s v="Reel"/>
    <s v="Check out our latest reel on instagram!"/>
    <n v="1674"/>
    <n v="929"/>
    <n v="37"/>
    <n v="21762"/>
    <n v="20998"/>
    <n v="255"/>
    <s v="#TeslaCoInnovation"/>
    <m/>
    <m/>
    <x v="3"/>
    <n v="0.12131237937689551"/>
    <s v="#TeslaCoInnovation"/>
    <d v="2025-03-01T00:00:00"/>
    <d v="2025-03-31T00:00:00"/>
    <s v="Before Campaign"/>
    <n v="2895"/>
    <n v="0.15598415350458716"/>
    <n v="0.11285203919132442"/>
    <n v="-0.38220057539357749"/>
    <n v="180000"/>
    <n v="1.6083333333333335E-2"/>
    <n v="-0.38220057539357749"/>
  </r>
  <r>
    <s v="P076"/>
    <x v="0"/>
    <d v="2024-11-07T00:00:00"/>
    <s v="Story"/>
    <s v="Check out our latest story on twitter!"/>
    <n v="1121"/>
    <n v="135"/>
    <n v="18"/>
    <n v="15694"/>
    <n v="14957"/>
    <n v="99"/>
    <s v="#TeslaCoInnovation"/>
    <m/>
    <m/>
    <x v="3"/>
    <n v="8.1177520071364848E-2"/>
    <s v="#TeslaCoInnovation"/>
    <d v="2025-03-01T00:00:00"/>
    <d v="2025-03-31T00:00:00"/>
    <s v="Before Campaign"/>
    <n v="1373"/>
    <n v="0.15686427850978299"/>
    <n v="0.11959170801074651"/>
    <n v="-0.31166517410795047"/>
    <n v="180000"/>
    <n v="7.6277777777777776E-3"/>
    <n v="-0.31166517410795047"/>
  </r>
  <r>
    <s v="P077"/>
    <x v="3"/>
    <d v="2025-03-04T00:00:00"/>
    <s v="Story"/>
    <s v="Check out our latest story on facebook!"/>
    <n v="1249"/>
    <n v="116"/>
    <n v="420"/>
    <n v="8743"/>
    <n v="8538"/>
    <n v="63"/>
    <s v="#TeslaCoInnovation"/>
    <m/>
    <m/>
    <x v="4"/>
    <n v="0.20416333066453163"/>
    <s v="#TeslaCoInnovation"/>
    <e v="#N/A"/>
    <e v="#N/A"/>
    <e v="#N/A"/>
    <n v="1848"/>
    <n v="0.15145748264154887"/>
    <n v="0.1507621434687044"/>
    <n v="-4.6121602999682635E-3"/>
    <n v="0"/>
    <n v="0"/>
    <n v="-4.6121602999682635E-3"/>
  </r>
  <r>
    <s v="P078"/>
    <x v="0"/>
    <d v="2024-06-17T00:00:00"/>
    <s v="Image"/>
    <s v="Check out our latest image on twitter!"/>
    <n v="954"/>
    <n v="324"/>
    <n v="288"/>
    <n v="19080"/>
    <n v="18859"/>
    <n v="21"/>
    <s v="#FutureOfDriving"/>
    <m/>
    <m/>
    <x v="3"/>
    <n v="8.2075471698113203E-2"/>
    <s v="#FutureOfDriving"/>
    <d v="2025-03-01T00:00:00"/>
    <d v="2025-03-31T00:00:00"/>
    <s v="Before Campaign"/>
    <n v="1587"/>
    <n v="0.1425775139120728"/>
    <n v="0.13024980964711405"/>
    <n v="-9.4646620201274817E-2"/>
    <n v="180000"/>
    <n v="8.8166666666666671E-3"/>
    <n v="-9.4646620201274817E-2"/>
  </r>
  <r>
    <s v="P079"/>
    <x v="2"/>
    <d v="2024-10-09T00:00:00"/>
    <s v="Carousel"/>
    <s v="Check out our latest carousel on instagram!"/>
    <n v="3068"/>
    <n v="137"/>
    <n v="329"/>
    <n v="39884"/>
    <n v="39404"/>
    <n v="266"/>
    <s v="#EVRevolution"/>
    <m/>
    <m/>
    <x v="1"/>
    <n v="8.860696018453515E-2"/>
    <s v="#EVRevolution"/>
    <d v="2024-10-01T00:00:00"/>
    <d v="2024-10-31T00:00:00"/>
    <s v="During Campaign"/>
    <n v="3800"/>
    <n v="0.13665711938826289"/>
    <n v="0.22007490111837899"/>
    <n v="0.37904268640450467"/>
    <n v="200000"/>
    <n v="1.9E-2"/>
    <n v="0.37904268640450467"/>
  </r>
  <r>
    <s v="P080"/>
    <x v="2"/>
    <d v="2024-06-13T00:00:00"/>
    <s v="Story"/>
    <s v="Check out our latest story on instagram!"/>
    <n v="2103"/>
    <n v="892"/>
    <n v="103"/>
    <n v="39957"/>
    <n v="39466"/>
    <n v="28"/>
    <s v="#FutureOfDriving"/>
    <m/>
    <m/>
    <x v="4"/>
    <n v="7.7533348349475686E-2"/>
    <s v="#FutureOfDriving"/>
    <e v="#N/A"/>
    <e v="#N/A"/>
    <e v="#N/A"/>
    <n v="3126"/>
    <n v="0.15766969650656065"/>
    <n v="0.17126951519950637"/>
    <n v="7.9405950773573E-2"/>
    <n v="0"/>
    <n v="0"/>
    <n v="7.9405950773573E-2"/>
  </r>
  <r>
    <s v="P081"/>
    <x v="2"/>
    <d v="2024-10-19T00:00:00"/>
    <s v="Story"/>
    <s v="Check out our latest story on instagram!"/>
    <n v="1816"/>
    <n v="29"/>
    <n v="41"/>
    <n v="19976"/>
    <n v="19262"/>
    <n v="283"/>
    <s v="#TeslaCoInnovation"/>
    <m/>
    <m/>
    <x v="2"/>
    <n v="9.4413295955146179E-2"/>
    <s v="#TeslaCoInnovation"/>
    <d v="2024-12-25T00:00:00"/>
    <d v="2025-01-10T00:00:00"/>
    <s v="Before Campaign"/>
    <n v="2169"/>
    <n v="0.16067114975089411"/>
    <n v="0.14523135980940718"/>
    <n v="-0.10631168062978387"/>
    <n v="250000"/>
    <n v="8.6759999999999997E-3"/>
    <n v="-0.10631168062978387"/>
  </r>
  <r>
    <s v="P082"/>
    <x v="2"/>
    <d v="2024-07-24T00:00:00"/>
    <s v="Image"/>
    <s v="Check out our latest image on instagram!"/>
    <n v="725"/>
    <n v="88"/>
    <n v="428"/>
    <n v="14500"/>
    <n v="13637"/>
    <n v="200"/>
    <s v="#FutureOfDriving"/>
    <s v="#TeslaCoInnovation"/>
    <s v="#AnytimeIsTeslaTime"/>
    <x v="2"/>
    <n v="8.558620689655172E-2"/>
    <s v="#FutureOfDriving, #TeslaCoInnovation, #AnytimeIsTeslaTime"/>
    <d v="2024-12-25T00:00:00"/>
    <d v="2025-01-10T00:00:00"/>
    <s v="Before Campaign"/>
    <n v="1441"/>
    <n v="0.15080632543658637"/>
    <n v="0.11665790849725946"/>
    <n v="-0.29272269132211576"/>
    <n v="250000"/>
    <n v="5.764E-3"/>
    <n v="-0.29272269132211576"/>
  </r>
  <r>
    <s v="P083"/>
    <x v="1"/>
    <d v="2024-10-15T00:00:00"/>
    <s v="Video"/>
    <s v="Check out our latest video on youtube!"/>
    <n v="1094"/>
    <n v="472"/>
    <n v="21"/>
    <n v="9846"/>
    <n v="9609"/>
    <n v="112"/>
    <s v="#EVRevolution"/>
    <m/>
    <m/>
    <x v="4"/>
    <n v="0.16118220597196831"/>
    <s v="#EVRevolution"/>
    <e v="#N/A"/>
    <e v="#N/A"/>
    <e v="#N/A"/>
    <n v="1699"/>
    <n v="0.14353365670544996"/>
    <n v="0.14950966019736542"/>
    <n v="3.9970684730515939E-2"/>
    <n v="0"/>
    <n v="0"/>
    <n v="3.9970684730515939E-2"/>
  </r>
  <r>
    <s v="P084"/>
    <x v="3"/>
    <d v="2024-12-09T00:00:00"/>
    <s v="Image"/>
    <s v="Check out our latest image on facebook!"/>
    <n v="1841"/>
    <n v="851"/>
    <n v="342"/>
    <n v="34979"/>
    <n v="34154"/>
    <n v="255"/>
    <s v="#FutureOfDriving"/>
    <m/>
    <m/>
    <x v="3"/>
    <n v="8.6737756939878216E-2"/>
    <s v="#FutureOfDriving"/>
    <d v="2025-03-01T00:00:00"/>
    <d v="2025-03-31T00:00:00"/>
    <s v="Before Campaign"/>
    <n v="3289"/>
    <n v="0.15015347376478544"/>
    <n v="0.18614231635953382"/>
    <n v="0.19334046818905995"/>
    <n v="180000"/>
    <n v="1.8272222222222221E-2"/>
    <n v="0.19334046818905995"/>
  </r>
  <r>
    <s v="P085"/>
    <x v="2"/>
    <d v="2025-04-19T00:00:00"/>
    <s v="Image"/>
    <s v="Check out our latest image on instagram!"/>
    <n v="4177"/>
    <n v="569"/>
    <n v="55"/>
    <n v="25062"/>
    <n v="24847"/>
    <n v="230"/>
    <s v="#FutureOfDriving"/>
    <m/>
    <m/>
    <x v="0"/>
    <n v="0.19156491900087783"/>
    <s v="#FutureOfDriving"/>
    <d v="2024-06-15T00:00:00"/>
    <d v="2024-07-15T00:00:00"/>
    <s v="Before Campaign"/>
    <n v="5031"/>
    <n v="0.15260448087531889"/>
    <n v="0.16032505683751205"/>
    <n v="4.815576625691078E-2"/>
    <n v="150000"/>
    <n v="3.354E-2"/>
    <n v="4.815576625691078E-2"/>
  </r>
  <r>
    <s v="P086"/>
    <x v="1"/>
    <d v="2025-01-27T00:00:00"/>
    <s v="Text"/>
    <s v="Check out our latest text on youtube!"/>
    <n v="3428"/>
    <n v="305"/>
    <n v="85"/>
    <n v="58276"/>
    <n v="58052"/>
    <n v="242"/>
    <s v="#EVRevolution"/>
    <s v="#BetterWithTesla"/>
    <m/>
    <x v="3"/>
    <n v="6.5515821264328367E-2"/>
    <s v="#EVRevolution, #BetterWithTesla"/>
    <d v="2025-03-01T00:00:00"/>
    <d v="2025-03-31T00:00:00"/>
    <s v="Before Campaign"/>
    <n v="4060"/>
    <n v="0.15284393850519654"/>
    <n v="0.14148089729003216"/>
    <n v="-8.0315020846032925E-2"/>
    <n v="180000"/>
    <n v="2.2555555555555554E-2"/>
    <n v="-8.0315020846032925E-2"/>
  </r>
  <r>
    <s v="P087"/>
    <x v="0"/>
    <d v="2024-06-06T00:00:00"/>
    <s v="Video"/>
    <s v="Check out our latest video on twitter!"/>
    <n v="1436"/>
    <n v="765"/>
    <n v="496"/>
    <n v="12924"/>
    <n v="12701"/>
    <n v="197"/>
    <s v="#FutureOfDriving"/>
    <m/>
    <m/>
    <x v="2"/>
    <n v="0.20868152274837512"/>
    <s v="#FutureOfDriving"/>
    <d v="2024-12-25T00:00:00"/>
    <d v="2025-01-10T00:00:00"/>
    <s v="Before Campaign"/>
    <n v="2894"/>
    <n v="0.15970533800162573"/>
    <n v="0.12310482650994412"/>
    <n v="-0.29731175071941723"/>
    <n v="250000"/>
    <n v="1.1575999999999999E-2"/>
    <n v="-0.29731175071941723"/>
  </r>
  <r>
    <s v="P088"/>
    <x v="3"/>
    <d v="2024-07-07T00:00:00"/>
    <s v="Story"/>
    <s v="Check out our latest story on facebook!"/>
    <n v="302"/>
    <n v="47"/>
    <n v="430"/>
    <n v="5738"/>
    <n v="4890"/>
    <n v="25"/>
    <s v="#TeslaCoInnovation"/>
    <m/>
    <m/>
    <x v="3"/>
    <n v="0.13576158940397351"/>
    <s v="#TeslaCoInnovation"/>
    <d v="2025-03-01T00:00:00"/>
    <d v="2025-03-31T00:00:00"/>
    <s v="Before Campaign"/>
    <n v="804"/>
    <n v="0.15232789402834321"/>
    <n v="0.15736503516670813"/>
    <n v="3.2009277874393879E-2"/>
    <n v="180000"/>
    <n v="4.4666666666666665E-3"/>
    <n v="3.2009277874393879E-2"/>
  </r>
  <r>
    <s v="P089"/>
    <x v="0"/>
    <d v="2025-01-10T00:00:00"/>
    <s v="Image"/>
    <s v="Check out our latest image on twitter!"/>
    <n v="2214"/>
    <n v="249"/>
    <n v="152"/>
    <n v="15498"/>
    <n v="14800"/>
    <n v="180"/>
    <s v="#EVRevolution"/>
    <m/>
    <m/>
    <x v="4"/>
    <n v="0.16873144921925409"/>
    <s v="#EVRevolution"/>
    <e v="#N/A"/>
    <e v="#N/A"/>
    <e v="#N/A"/>
    <n v="2795"/>
    <n v="0.15491529171857985"/>
    <n v="0.19622349414213588"/>
    <n v="0.21051608832138188"/>
    <n v="0"/>
    <n v="0"/>
    <n v="0.21051608832138188"/>
  </r>
  <r>
    <s v="P090"/>
    <x v="2"/>
    <d v="2024-06-03T00:00:00"/>
    <s v="Image"/>
    <s v="Check out our latest image on instagram!"/>
    <n v="3861"/>
    <n v="960"/>
    <n v="101"/>
    <n v="69498"/>
    <n v="68817"/>
    <n v="297"/>
    <s v="#TeslaCoInnovation"/>
    <m/>
    <m/>
    <x v="3"/>
    <n v="7.0822181933293038E-2"/>
    <s v="#TeslaCoInnovation"/>
    <d v="2025-03-01T00:00:00"/>
    <d v="2025-03-31T00:00:00"/>
    <s v="Before Campaign"/>
    <n v="5219"/>
    <n v="0.15343097982701265"/>
    <n v="0.12351932833915444"/>
    <n v="-0.24216170772664819"/>
    <n v="180000"/>
    <n v="2.8994444444444444E-2"/>
    <n v="-0.24216170772664819"/>
  </r>
  <r>
    <s v="P091"/>
    <x v="3"/>
    <d v="2025-03-24T00:00:00"/>
    <s v="Image"/>
    <s v="Check out our latest image on facebook!"/>
    <n v="1263"/>
    <n v="397"/>
    <n v="357"/>
    <n v="25260"/>
    <n v="24615"/>
    <n v="137"/>
    <s v="#EVRevolution"/>
    <m/>
    <m/>
    <x v="3"/>
    <n v="7.984956452889945E-2"/>
    <s v="#EVRevolution"/>
    <d v="2025-03-01T00:00:00"/>
    <d v="2025-03-31T00:00:00"/>
    <s v="During Campaign"/>
    <n v="2154"/>
    <n v="0.14648796331509895"/>
    <n v="0.16945407992573083"/>
    <n v="0.13553003044068099"/>
    <n v="180000"/>
    <n v="1.1966666666666667E-2"/>
    <n v="0.13553003044068099"/>
  </r>
  <r>
    <s v="P092"/>
    <x v="0"/>
    <d v="2024-10-21T00:00:00"/>
    <s v="Story"/>
    <s v="Check out our latest story on twitter!"/>
    <n v="3801"/>
    <n v="967"/>
    <n v="401"/>
    <n v="38010"/>
    <n v="37625"/>
    <n v="236"/>
    <s v="#FutureOfDriving"/>
    <m/>
    <m/>
    <x v="2"/>
    <n v="0.13599052880820836"/>
    <s v="#FutureOfDriving"/>
    <d v="2024-12-25T00:00:00"/>
    <d v="2025-01-10T00:00:00"/>
    <s v="Before Campaign"/>
    <n v="5405"/>
    <n v="0.14626739902762903"/>
    <n v="0.12503189865792633"/>
    <n v="-0.16984066144433047"/>
    <n v="250000"/>
    <n v="2.162E-2"/>
    <n v="-0.16984066144433047"/>
  </r>
  <r>
    <s v="P093"/>
    <x v="2"/>
    <d v="2024-12-11T00:00:00"/>
    <s v="Video"/>
    <s v="Check out our latest video on instagram!"/>
    <n v="1431"/>
    <n v="951"/>
    <n v="26"/>
    <n v="8586"/>
    <n v="8396"/>
    <n v="150"/>
    <s v="#EVRevolution"/>
    <m/>
    <m/>
    <x v="2"/>
    <n v="0.28045655718611695"/>
    <s v="#EVRevolution"/>
    <d v="2024-12-25T00:00:00"/>
    <d v="2025-01-10T00:00:00"/>
    <s v="Before Campaign"/>
    <n v="2558"/>
    <n v="0.15895781587526026"/>
    <n v="0.14640044436180266"/>
    <n v="-8.5774135237078122E-2"/>
    <n v="250000"/>
    <n v="1.0232E-2"/>
    <n v="-8.5774135237078122E-2"/>
  </r>
  <r>
    <s v="P094"/>
    <x v="2"/>
    <d v="2024-11-07T00:00:00"/>
    <s v="Image"/>
    <s v="Check out our latest image on instagram!"/>
    <n v="2647"/>
    <n v="304"/>
    <n v="170"/>
    <n v="18529"/>
    <n v="17841"/>
    <n v="46"/>
    <s v="#FutureOfDriving"/>
    <m/>
    <m/>
    <x v="2"/>
    <n v="0.16843866371633656"/>
    <s v="#FutureOfDriving"/>
    <d v="2024-12-25T00:00:00"/>
    <d v="2025-01-10T00:00:00"/>
    <s v="Before Campaign"/>
    <n v="3167"/>
    <n v="0.1520637240249284"/>
    <n v="0.13781752921335436"/>
    <n v="-0.1033699769027176"/>
    <n v="250000"/>
    <n v="1.2668E-2"/>
    <n v="-0.1033699769027176"/>
  </r>
  <r>
    <s v="P095"/>
    <x v="2"/>
    <d v="2024-11-08T00:00:00"/>
    <s v="Text"/>
    <s v="Check out our latest text on instagram!"/>
    <n v="3182"/>
    <n v="559"/>
    <n v="160"/>
    <n v="57276"/>
    <n v="56890"/>
    <n v="163"/>
    <s v="#FutureOfDriving"/>
    <m/>
    <m/>
    <x v="3"/>
    <n v="6.8108806480899509E-2"/>
    <s v="#FutureOfDriving"/>
    <d v="2025-03-01T00:00:00"/>
    <d v="2025-03-31T00:00:00"/>
    <s v="Before Campaign"/>
    <n v="4064"/>
    <n v="0.14140097877487073"/>
    <n v="8.722100676037238E-2"/>
    <n v="-0.62118030996076801"/>
    <n v="180000"/>
    <n v="2.2577777777777776E-2"/>
    <n v="-0.62118030996076801"/>
  </r>
  <r>
    <s v="P096"/>
    <x v="0"/>
    <d v="2024-09-10T00:00:00"/>
    <s v="Image"/>
    <s v="Check out our latest image on twitter!"/>
    <n v="1238"/>
    <n v="366"/>
    <n v="444"/>
    <n v="19808"/>
    <n v="19334"/>
    <n v="123"/>
    <s v="#FutureOfDriving"/>
    <m/>
    <m/>
    <x v="4"/>
    <n v="0.10339256865912763"/>
    <s v="#FutureOfDriving"/>
    <e v="#N/A"/>
    <e v="#N/A"/>
    <e v="#N/A"/>
    <n v="2171"/>
    <n v="0.15446022082204641"/>
    <n v="0.13696207348344053"/>
    <n v="-0.12775907149742083"/>
    <n v="0"/>
    <n v="0"/>
    <n v="-0.12775907149742083"/>
  </r>
  <r>
    <s v="P097"/>
    <x v="2"/>
    <d v="2024-08-13T00:00:00"/>
    <s v="Image"/>
    <s v="Check out our latest image on instagram!"/>
    <n v="4739"/>
    <n v="527"/>
    <n v="135"/>
    <n v="61607"/>
    <n v="61333"/>
    <n v="36"/>
    <s v="#TeslaCoInnovation"/>
    <s v="#AnytimeIsTeslaTime"/>
    <m/>
    <x v="1"/>
    <n v="8.7668609086629767E-2"/>
    <s v="#TeslaCoInnovation, #AnytimeIsTeslaTime"/>
    <d v="2024-10-01T00:00:00"/>
    <d v="2024-10-31T00:00:00"/>
    <s v="Before Campaign"/>
    <n v="5437"/>
    <n v="0.15811669353327903"/>
    <n v="0.19096338979340566"/>
    <n v="0.17200520107891845"/>
    <n v="200000"/>
    <n v="2.7185000000000001E-2"/>
    <n v="0.17200520107891845"/>
  </r>
  <r>
    <s v="P098"/>
    <x v="0"/>
    <d v="2024-06-10T00:00:00"/>
    <s v="Story"/>
    <s v="Check out our latest story on twitter!"/>
    <n v="1575"/>
    <n v="771"/>
    <n v="486"/>
    <n v="25200"/>
    <n v="24826"/>
    <n v="17"/>
    <s v="#FutureOfDriving"/>
    <m/>
    <m/>
    <x v="3"/>
    <n v="0.11238095238095239"/>
    <s v="#FutureOfDriving"/>
    <d v="2025-03-01T00:00:00"/>
    <d v="2025-03-31T00:00:00"/>
    <s v="Before Campaign"/>
    <n v="2849"/>
    <n v="0.13743096590810364"/>
    <n v="0.15786775616389048"/>
    <n v="0.12945512593825925"/>
    <n v="180000"/>
    <n v="1.5827777777777777E-2"/>
    <n v="0.12945512593825925"/>
  </r>
  <r>
    <s v="P099"/>
    <x v="1"/>
    <d v="2024-07-02T00:00:00"/>
    <s v="Carousel"/>
    <s v="Check out our latest carousel on youtube!"/>
    <n v="4171"/>
    <n v="548"/>
    <n v="86"/>
    <n v="66736"/>
    <n v="66634"/>
    <n v="173"/>
    <s v="#FutureOfDriving"/>
    <m/>
    <m/>
    <x v="2"/>
    <n v="7.2000119875329657E-2"/>
    <s v="#FutureOfDriving"/>
    <d v="2024-12-25T00:00:00"/>
    <d v="2025-01-10T00:00:00"/>
    <s v="Before Campaign"/>
    <n v="4978"/>
    <n v="0.14413748376781715"/>
    <n v="0.23028488457433802"/>
    <n v="0.37409055729279406"/>
    <n v="250000"/>
    <n v="1.9911999999999999E-2"/>
    <n v="0.37409055729279406"/>
  </r>
  <r>
    <s v="P100"/>
    <x v="1"/>
    <d v="2025-02-10T00:00:00"/>
    <s v="Video"/>
    <s v="Check out our latest video on youtube!"/>
    <n v="1766"/>
    <n v="92"/>
    <n v="424"/>
    <n v="24724"/>
    <n v="24333"/>
    <n v="52"/>
    <s v="#EVRevolution"/>
    <m/>
    <m/>
    <x v="4"/>
    <n v="9.2298980747451867E-2"/>
    <s v="#EVRevolution"/>
    <e v="#N/A"/>
    <e v="#N/A"/>
    <e v="#N/A"/>
    <n v="2334"/>
    <n v="0.16410291767036789"/>
    <n v="0.18764789501523824"/>
    <n v="0.12547424175985744"/>
    <n v="0"/>
    <n v="0"/>
    <n v="0.12547424175985744"/>
  </r>
  <r>
    <s v="P101"/>
    <x v="1"/>
    <d v="2024-10-18T00:00:00"/>
    <s v="Video"/>
    <s v="Check out our latest video on youtube!"/>
    <n v="4450"/>
    <n v="983"/>
    <n v="143"/>
    <n v="75650"/>
    <n v="75008"/>
    <n v="12"/>
    <s v="#FutureOfDriving"/>
    <m/>
    <m/>
    <x v="2"/>
    <n v="7.3707865168539333E-2"/>
    <s v="#FutureOfDriving"/>
    <d v="2024-12-25T00:00:00"/>
    <d v="2025-01-10T00:00:00"/>
    <s v="Before Campaign"/>
    <n v="5588"/>
    <n v="0.1476672507817865"/>
    <n v="0.1251333637563978"/>
    <n v="-0.18007896814199228"/>
    <n v="250000"/>
    <n v="2.2352E-2"/>
    <n v="-0.18007896814199228"/>
  </r>
  <r>
    <s v="P102"/>
    <x v="0"/>
    <d v="2024-09-18T00:00:00"/>
    <s v="Reel"/>
    <s v="Check out our latest reel on twitter!"/>
    <n v="1000"/>
    <n v="978"/>
    <n v="162"/>
    <n v="6000"/>
    <n v="5221"/>
    <n v="223"/>
    <s v="#EVRevolution"/>
    <m/>
    <m/>
    <x v="1"/>
    <n v="0.35666666666666669"/>
    <s v="#EVRevolution"/>
    <d v="2024-10-01T00:00:00"/>
    <d v="2024-10-31T00:00:00"/>
    <s v="Before Campaign"/>
    <n v="2363"/>
    <n v="0.15543138666182477"/>
    <n v="0.12947865280763818"/>
    <n v="-0.20044025243870617"/>
    <n v="200000"/>
    <n v="1.1815000000000001E-2"/>
    <n v="-0.20044025243870617"/>
  </r>
  <r>
    <s v="P103"/>
    <x v="3"/>
    <d v="2024-06-11T00:00:00"/>
    <s v="Image"/>
    <s v="Check out our latest image on facebook!"/>
    <n v="3689"/>
    <n v="48"/>
    <n v="306"/>
    <n v="40579"/>
    <n v="39588"/>
    <n v="212"/>
    <s v="#EVRevolution"/>
    <m/>
    <m/>
    <x v="1"/>
    <n v="9.9632815002833983E-2"/>
    <s v="#EVRevolution"/>
    <d v="2024-10-01T00:00:00"/>
    <d v="2024-10-31T00:00:00"/>
    <s v="Before Campaign"/>
    <n v="4255"/>
    <n v="0.15475221992210123"/>
    <n v="0.16973747962425265"/>
    <n v="8.8284919366802467E-2"/>
    <n v="200000"/>
    <n v="2.1274999999999999E-2"/>
    <n v="8.8284919366802467E-2"/>
  </r>
  <r>
    <s v="P104"/>
    <x v="1"/>
    <d v="2025-03-23T00:00:00"/>
    <s v="Story"/>
    <s v="Check out our latest story on youtube!"/>
    <n v="3655"/>
    <n v="568"/>
    <n v="286"/>
    <n v="32895"/>
    <n v="32015"/>
    <n v="199"/>
    <s v="#TeslaCoInnovation"/>
    <m/>
    <m/>
    <x v="2"/>
    <n v="0.13707250341997265"/>
    <s v="#TeslaCoInnovation"/>
    <d v="2024-12-25T00:00:00"/>
    <d v="2025-01-10T00:00:00"/>
    <s v="Before Campaign"/>
    <n v="4708"/>
    <n v="0.14167337133056893"/>
    <n v="0.13834296893480549"/>
    <n v="-2.4073521201738075E-2"/>
    <n v="250000"/>
    <n v="1.8832000000000002E-2"/>
    <n v="-2.4073521201738075E-2"/>
  </r>
  <r>
    <s v="P105"/>
    <x v="2"/>
    <d v="2024-06-14T00:00:00"/>
    <s v="Carousel"/>
    <s v="Check out our latest carousel on instagram!"/>
    <n v="498"/>
    <n v="38"/>
    <n v="42"/>
    <n v="4482"/>
    <n v="3647"/>
    <n v="32"/>
    <s v="#FutureOfDriving"/>
    <m/>
    <m/>
    <x v="0"/>
    <n v="0.12896028558679162"/>
    <s v="#FutureOfDriving"/>
    <d v="2024-06-15T00:00:00"/>
    <d v="2024-07-15T00:00:00"/>
    <s v="Before Campaign"/>
    <n v="610"/>
    <n v="0.15882803534965512"/>
    <n v="0.13690306483884285"/>
    <n v="-0.16014959589561797"/>
    <n v="150000"/>
    <n v="4.0666666666666663E-3"/>
    <n v="-0.16014959589561797"/>
  </r>
  <r>
    <s v="P106"/>
    <x v="2"/>
    <d v="2025-02-04T00:00:00"/>
    <s v="Image"/>
    <s v="Check out our latest image on instagram!"/>
    <n v="4619"/>
    <n v="821"/>
    <n v="499"/>
    <n v="69285"/>
    <n v="69141"/>
    <n v="298"/>
    <s v="#TeslaCoInnovation"/>
    <m/>
    <m/>
    <x v="3"/>
    <n v="8.5718409468138843E-2"/>
    <s v="#TeslaCoInnovation"/>
    <d v="2025-03-01T00:00:00"/>
    <d v="2025-03-31T00:00:00"/>
    <s v="Before Campaign"/>
    <n v="6237"/>
    <n v="0.16056714716614107"/>
    <n v="0.11954016529213604"/>
    <n v="-0.34320666843434577"/>
    <n v="180000"/>
    <n v="3.465E-2"/>
    <n v="-0.34320666843434577"/>
  </r>
  <r>
    <s v="P107"/>
    <x v="1"/>
    <d v="2024-06-21T00:00:00"/>
    <s v="Image"/>
    <s v="Check out our latest image on youtube!"/>
    <n v="4832"/>
    <n v="893"/>
    <n v="10"/>
    <n v="91808"/>
    <n v="91296"/>
    <n v="182"/>
    <s v="#TeslaCoInnovation"/>
    <m/>
    <m/>
    <x v="4"/>
    <n v="6.2467323109097243E-2"/>
    <s v="#TeslaCoInnovation"/>
    <e v="#N/A"/>
    <e v="#N/A"/>
    <e v="#N/A"/>
    <n v="5917"/>
    <n v="0.15612974168062257"/>
    <n v="0.13706579938343783"/>
    <n v="-0.13908606219013026"/>
    <n v="0"/>
    <n v="0"/>
    <n v="-0.13908606219013026"/>
  </r>
  <r>
    <s v="P108"/>
    <x v="0"/>
    <d v="2025-03-25T00:00:00"/>
    <s v="Video"/>
    <s v="Check out our latest video on twitter!"/>
    <n v="4050"/>
    <n v="871"/>
    <n v="347"/>
    <n v="52650"/>
    <n v="51755"/>
    <n v="209"/>
    <s v="#TeslaCoInnovation"/>
    <m/>
    <m/>
    <x v="1"/>
    <n v="0.10005698005698006"/>
    <s v="#TeslaCoInnovation"/>
    <d v="2024-10-01T00:00:00"/>
    <d v="2024-10-31T00:00:00"/>
    <s v="Before Campaign"/>
    <n v="5477"/>
    <n v="0.16217594125680782"/>
    <n v="0.12965364861614559"/>
    <n v="-0.25083977958035086"/>
    <n v="200000"/>
    <n v="2.7385E-2"/>
    <n v="-0.25083977958035086"/>
  </r>
  <r>
    <s v="P109"/>
    <x v="0"/>
    <d v="2024-08-08T00:00:00"/>
    <s v="Story"/>
    <s v="Check out our latest story on twitter!"/>
    <n v="3649"/>
    <n v="215"/>
    <n v="413"/>
    <n v="25543"/>
    <n v="24963"/>
    <n v="167"/>
    <s v="#FutureOfDriving"/>
    <m/>
    <m/>
    <x v="2"/>
    <n v="0.16744313510550835"/>
    <s v="#FutureOfDriving"/>
    <d v="2024-12-25T00:00:00"/>
    <d v="2025-01-10T00:00:00"/>
    <s v="Before Campaign"/>
    <n v="4444"/>
    <n v="0.16934085685788136"/>
    <n v="0.14098771870395824"/>
    <n v="-0.20110360260143076"/>
    <n v="250000"/>
    <n v="1.7776E-2"/>
    <n v="-0.20110360260143076"/>
  </r>
  <r>
    <s v="P110"/>
    <x v="2"/>
    <d v="2024-07-29T00:00:00"/>
    <s v="Reel"/>
    <s v="Check out our latest reel on instagram!"/>
    <n v="3523"/>
    <n v="753"/>
    <n v="482"/>
    <n v="38753"/>
    <n v="38579"/>
    <n v="270"/>
    <s v="#EVRevolution"/>
    <m/>
    <m/>
    <x v="1"/>
    <n v="0.12277759141227776"/>
    <s v="#EVRevolution"/>
    <d v="2024-10-01T00:00:00"/>
    <d v="2024-10-31T00:00:00"/>
    <s v="Before Campaign"/>
    <n v="5028"/>
    <n v="0.14883493294995964"/>
    <n v="0.12087521245835975"/>
    <n v="-0.2313106212841754"/>
    <n v="200000"/>
    <n v="2.5139999999999999E-2"/>
    <n v="-0.2313106212841754"/>
  </r>
  <r>
    <s v="P111"/>
    <x v="1"/>
    <d v="2024-11-23T00:00:00"/>
    <s v="Image"/>
    <s v="Check out our latest image on youtube!"/>
    <n v="2719"/>
    <n v="17"/>
    <n v="285"/>
    <n v="40785"/>
    <n v="40281"/>
    <n v="40"/>
    <s v="#TeslaCoInnovation"/>
    <m/>
    <m/>
    <x v="1"/>
    <n v="7.4071349760941527E-2"/>
    <s v="#TeslaCoInnovation"/>
    <d v="2024-10-01T00:00:00"/>
    <d v="2024-10-31T00:00:00"/>
    <s v="Before Campaign"/>
    <n v="3061"/>
    <n v="0.15928900428971426"/>
    <n v="0.17883494363326941"/>
    <n v="0.10929597396601258"/>
    <n v="200000"/>
    <n v="1.5304999999999999E-2"/>
    <n v="0.10929597396601258"/>
  </r>
  <r>
    <s v="P112"/>
    <x v="0"/>
    <d v="2024-10-05T00:00:00"/>
    <s v="Story"/>
    <s v="Check out our latest story on twitter!"/>
    <n v="1957"/>
    <n v="877"/>
    <n v="238"/>
    <n v="17613"/>
    <n v="16865"/>
    <n v="297"/>
    <s v="#FutureOfDriving"/>
    <m/>
    <m/>
    <x v="2"/>
    <n v="0.17441662408448305"/>
    <s v="#FutureOfDriving"/>
    <d v="2024-12-25T00:00:00"/>
    <d v="2025-01-10T00:00:00"/>
    <s v="Before Campaign"/>
    <n v="3369"/>
    <n v="0.16607423451428743"/>
    <n v="0.15512767586251153"/>
    <n v="-7.0564833714634886E-2"/>
    <n v="250000"/>
    <n v="1.3476E-2"/>
    <n v="-7.0564833714634886E-2"/>
  </r>
  <r>
    <s v="P113"/>
    <x v="0"/>
    <d v="2024-10-02T00:00:00"/>
    <s v="Carousel"/>
    <s v="Check out our latest carousel on twitter!"/>
    <n v="4419"/>
    <n v="236"/>
    <n v="369"/>
    <n v="44190"/>
    <n v="43582"/>
    <n v="10"/>
    <s v="#EVRevolution"/>
    <m/>
    <m/>
    <x v="0"/>
    <n v="0.11369088028965829"/>
    <s v="#EVRevolution"/>
    <d v="2024-06-15T00:00:00"/>
    <d v="2024-07-15T00:00:00"/>
    <s v="Before Campaign"/>
    <n v="5034"/>
    <n v="0.13642014295846538"/>
    <n v="0.13132340144667992"/>
    <n v="-3.8810611480047962E-2"/>
    <n v="150000"/>
    <n v="3.356E-2"/>
    <n v="-3.8810611480047962E-2"/>
  </r>
  <r>
    <s v="P114"/>
    <x v="0"/>
    <d v="2024-11-14T00:00:00"/>
    <s v="Story"/>
    <s v="Check out our latest story on twitter!"/>
    <n v="4000"/>
    <n v="689"/>
    <n v="488"/>
    <n v="40000"/>
    <n v="39569"/>
    <n v="44"/>
    <s v="#FutureOfDriving"/>
    <m/>
    <m/>
    <x v="0"/>
    <n v="0.12942500000000001"/>
    <s v="#FutureOfDriving"/>
    <d v="2024-06-15T00:00:00"/>
    <d v="2024-07-15T00:00:00"/>
    <s v="Before Campaign"/>
    <n v="5221"/>
    <n v="0.16544254295998168"/>
    <n v="0.17519611747708971"/>
    <n v="5.5672321153940565E-2"/>
    <n v="150000"/>
    <n v="3.4806666666666666E-2"/>
    <n v="5.5672321153940565E-2"/>
  </r>
  <r>
    <s v="P115"/>
    <x v="0"/>
    <d v="2025-05-11T00:00:00"/>
    <s v="Image"/>
    <s v="Check out our latest image on twitter!"/>
    <n v="2493"/>
    <n v="97"/>
    <n v="44"/>
    <n v="42381"/>
    <n v="41991"/>
    <n v="242"/>
    <s v="#TeslaCoInnovation"/>
    <s v="#AnytimeIsTeslaTime"/>
    <m/>
    <x v="3"/>
    <n v="6.2150491965739366E-2"/>
    <s v="#TeslaCoInnovation, #AnytimeIsTeslaTime"/>
    <d v="2025-03-01T00:00:00"/>
    <d v="2025-03-31T00:00:00"/>
    <s v="Before Campaign"/>
    <n v="2876"/>
    <n v="0.15594270268800689"/>
    <n v="0.14376966478508429"/>
    <n v="-8.4670420016069448E-2"/>
    <n v="180000"/>
    <n v="1.5977777777777778E-2"/>
    <n v="-8.4670420016069448E-2"/>
  </r>
  <r>
    <s v="P116"/>
    <x v="1"/>
    <d v="2025-03-18T00:00:00"/>
    <s v="Reel"/>
    <s v="Check out our latest reel on youtube!"/>
    <n v="3704"/>
    <n v="186"/>
    <n v="458"/>
    <n v="25928"/>
    <n v="25081"/>
    <n v="131"/>
    <s v="#TeslaCoInnovation"/>
    <m/>
    <m/>
    <x v="4"/>
    <n v="0.16769515581610614"/>
    <s v="#TeslaCoInnovation"/>
    <e v="#N/A"/>
    <e v="#N/A"/>
    <e v="#N/A"/>
    <n v="4479"/>
    <n v="0.15609664628696457"/>
    <n v="0.19093961563248044"/>
    <n v="0.18248161456751558"/>
    <n v="0"/>
    <n v="0"/>
    <n v="0.18248161456751558"/>
  </r>
  <r>
    <s v="P117"/>
    <x v="0"/>
    <d v="2024-11-04T00:00:00"/>
    <s v="Image"/>
    <s v="Check out our latest image on twitter!"/>
    <n v="1606"/>
    <n v="451"/>
    <n v="405"/>
    <n v="20878"/>
    <n v="20190"/>
    <n v="219"/>
    <s v="#EVRevolution"/>
    <m/>
    <m/>
    <x v="3"/>
    <n v="0.11792317271769326"/>
    <s v="#EVRevolution"/>
    <d v="2025-03-01T00:00:00"/>
    <d v="2025-03-31T00:00:00"/>
    <s v="Before Campaign"/>
    <n v="2681"/>
    <n v="0.1654117448948462"/>
    <n v="0.16075961565073715"/>
    <n v="-2.8938419797022646E-2"/>
    <n v="180000"/>
    <n v="1.4894444444444445E-2"/>
    <n v="-2.8938419797022646E-2"/>
  </r>
  <r>
    <s v="P118"/>
    <x v="3"/>
    <d v="2024-11-04T00:00:00"/>
    <s v="Image"/>
    <s v="Check out our latest image on facebook!"/>
    <n v="4551"/>
    <n v="714"/>
    <n v="207"/>
    <n v="68265"/>
    <n v="67754"/>
    <n v="57"/>
    <s v="#FutureOfDriving"/>
    <m/>
    <m/>
    <x v="2"/>
    <n v="8.0158206987475278E-2"/>
    <s v="#FutureOfDriving"/>
    <d v="2024-12-25T00:00:00"/>
    <d v="2025-01-10T00:00:00"/>
    <s v="Before Campaign"/>
    <n v="5529"/>
    <n v="0.15358951266794874"/>
    <n v="0.15990287684285823"/>
    <n v="3.9482492745354675E-2"/>
    <n v="250000"/>
    <n v="2.2116E-2"/>
    <n v="3.9482492745354675E-2"/>
  </r>
  <r>
    <s v="P119"/>
    <x v="2"/>
    <d v="2025-02-07T00:00:00"/>
    <s v="Reel"/>
    <s v="Check out our latest reel on instagram!"/>
    <n v="1970"/>
    <n v="675"/>
    <n v="478"/>
    <n v="9850"/>
    <n v="8924"/>
    <n v="117"/>
    <s v="#FutureOfDriving"/>
    <m/>
    <m/>
    <x v="4"/>
    <n v="0.31705583756345179"/>
    <s v="#FutureOfDriving"/>
    <e v="#N/A"/>
    <e v="#N/A"/>
    <e v="#N/A"/>
    <n v="3240"/>
    <n v="0.15920551890466345"/>
    <n v="0.15898295551168876"/>
    <n v="-1.3999198357985375E-3"/>
    <n v="0"/>
    <n v="0"/>
    <n v="-1.3999198357985375E-3"/>
  </r>
  <r>
    <s v="P120"/>
    <x v="3"/>
    <d v="2024-10-21T00:00:00"/>
    <s v="Story"/>
    <s v="Check out our latest story on facebook!"/>
    <n v="780"/>
    <n v="928"/>
    <n v="301"/>
    <n v="8580"/>
    <n v="8081"/>
    <n v="91"/>
    <s v="#EVRevolution"/>
    <m/>
    <m/>
    <x v="2"/>
    <n v="0.23414918414918415"/>
    <s v="#EVRevolution"/>
    <d v="2024-12-25T00:00:00"/>
    <d v="2025-01-10T00:00:00"/>
    <s v="Before Campaign"/>
    <n v="2100"/>
    <n v="0.15513242045944003"/>
    <n v="0.18173444095586805"/>
    <n v="0.14637853098460288"/>
    <n v="250000"/>
    <n v="8.3999999999999995E-3"/>
    <n v="0.14637853098460288"/>
  </r>
  <r>
    <s v="P121"/>
    <x v="2"/>
    <d v="2024-07-29T00:00:00"/>
    <s v="Story"/>
    <s v="Check out our latest story on instagram!"/>
    <n v="498"/>
    <n v="701"/>
    <n v="412"/>
    <n v="4980"/>
    <n v="4185"/>
    <n v="185"/>
    <s v="#FutureOfDriving"/>
    <m/>
    <m/>
    <x v="4"/>
    <n v="0.32349397590361445"/>
    <s v="#FutureOfDriving"/>
    <e v="#N/A"/>
    <e v="#N/A"/>
    <e v="#N/A"/>
    <n v="1796"/>
    <n v="0.1654197807627539"/>
    <n v="0.13585604461428771"/>
    <n v="-0.21761075285535753"/>
    <n v="0"/>
    <n v="0"/>
    <n v="-0.21761075285535753"/>
  </r>
  <r>
    <s v="P122"/>
    <x v="2"/>
    <d v="2024-10-02T00:00:00"/>
    <s v="Text"/>
    <s v="Check out our latest text on instagram!"/>
    <n v="3432"/>
    <n v="869"/>
    <n v="123"/>
    <n v="54912"/>
    <n v="53916"/>
    <n v="264"/>
    <s v="#EVRevolution"/>
    <m/>
    <m/>
    <x v="1"/>
    <n v="8.0565268065268064E-2"/>
    <s v="#EVRevolution"/>
    <d v="2024-10-01T00:00:00"/>
    <d v="2024-10-31T00:00:00"/>
    <s v="During Campaign"/>
    <n v="4688"/>
    <n v="0.15715971934301162"/>
    <n v="0.12291695391589129"/>
    <n v="-0.27858455921834607"/>
    <n v="200000"/>
    <n v="2.3439999999999999E-2"/>
    <n v="-0.27858455921834607"/>
  </r>
  <r>
    <s v="P123"/>
    <x v="2"/>
    <d v="2024-06-14T00:00:00"/>
    <s v="Story"/>
    <s v="Check out our latest story on instagram!"/>
    <n v="4363"/>
    <n v="649"/>
    <n v="140"/>
    <n v="21815"/>
    <n v="21481"/>
    <n v="157"/>
    <s v="#EVRevolution"/>
    <m/>
    <m/>
    <x v="0"/>
    <n v="0.23616777446710979"/>
    <s v="#EVRevolution"/>
    <d v="2024-06-15T00:00:00"/>
    <d v="2024-07-15T00:00:00"/>
    <s v="Before Campaign"/>
    <n v="5309"/>
    <n v="0.15806178267293577"/>
    <n v="0.16478787442761936"/>
    <n v="4.0816666748365149E-2"/>
    <n v="150000"/>
    <n v="3.5393333333333332E-2"/>
    <n v="4.0816666748365149E-2"/>
  </r>
  <r>
    <s v="P124"/>
    <x v="1"/>
    <d v="2025-04-06T00:00:00"/>
    <s v="Carousel"/>
    <s v="Check out our latest carousel on youtube!"/>
    <n v="736"/>
    <n v="771"/>
    <n v="225"/>
    <n v="5152"/>
    <n v="4706"/>
    <n v="19"/>
    <s v="#EVRevolution"/>
    <m/>
    <m/>
    <x v="0"/>
    <n v="0.33618012422360249"/>
    <s v="#EVRevolution"/>
    <d v="2024-06-15T00:00:00"/>
    <d v="2024-07-15T00:00:00"/>
    <s v="Before Campaign"/>
    <n v="1751"/>
    <n v="0.14770086413162034"/>
    <n v="0.15990390760036297"/>
    <n v="7.6314854664095308E-2"/>
    <n v="150000"/>
    <n v="1.1673333333333334E-2"/>
    <n v="7.6314854664095308E-2"/>
  </r>
  <r>
    <s v="P125"/>
    <x v="0"/>
    <d v="2024-09-08T00:00:00"/>
    <s v="Carousel"/>
    <s v="Check out our latest carousel on twitter!"/>
    <n v="3811"/>
    <n v="866"/>
    <n v="216"/>
    <n v="34299"/>
    <n v="34088"/>
    <n v="233"/>
    <s v="#TeslaCoInnovation"/>
    <m/>
    <m/>
    <x v="3"/>
    <n v="0.14265722032712325"/>
    <s v="#TeslaCoInnovation"/>
    <d v="2025-03-01T00:00:00"/>
    <d v="2025-03-31T00:00:00"/>
    <s v="Before Campaign"/>
    <n v="5126"/>
    <n v="0.15334975487346261"/>
    <n v="0.13935824277861514"/>
    <n v="-0.10039960188845397"/>
    <n v="180000"/>
    <n v="2.8477777777777779E-2"/>
    <n v="-0.10039960188845397"/>
  </r>
  <r>
    <s v="P126"/>
    <x v="2"/>
    <d v="2025-03-28T00:00:00"/>
    <s v="Carousel"/>
    <s v="Check out our latest carousel on instagram!"/>
    <n v="4158"/>
    <n v="167"/>
    <n v="241"/>
    <n v="45738"/>
    <n v="45183"/>
    <n v="142"/>
    <s v="#FutureOfDriving"/>
    <m/>
    <m/>
    <x v="4"/>
    <n v="9.9829463465827106E-2"/>
    <s v="#FutureOfDriving"/>
    <e v="#N/A"/>
    <e v="#N/A"/>
    <e v="#N/A"/>
    <n v="4708"/>
    <n v="0.16522731020873488"/>
    <n v="0.11638779998353681"/>
    <n v="-0.41962740280430144"/>
    <n v="0"/>
    <n v="0"/>
    <n v="-0.41962740280430144"/>
  </r>
  <r>
    <s v="P127"/>
    <x v="3"/>
    <d v="2025-01-27T00:00:00"/>
    <s v="Reel"/>
    <s v="Check out our latest reel on facebook!"/>
    <n v="3452"/>
    <n v="652"/>
    <n v="442"/>
    <n v="65588"/>
    <n v="65049"/>
    <n v="158"/>
    <s v="#FutureOfDriving"/>
    <m/>
    <m/>
    <x v="2"/>
    <n v="6.9311459413307311E-2"/>
    <s v="#FutureOfDriving"/>
    <d v="2024-12-25T00:00:00"/>
    <d v="2025-01-10T00:00:00"/>
    <s v="Before Campaign"/>
    <n v="4704"/>
    <n v="0.15542998108349956"/>
    <n v="0.13644847679960664"/>
    <n v="-0.13911114824513482"/>
    <n v="250000"/>
    <n v="1.8815999999999999E-2"/>
    <n v="-0.13911114824513482"/>
  </r>
  <r>
    <s v="P128"/>
    <x v="0"/>
    <d v="2025-01-10T00:00:00"/>
    <s v="Image"/>
    <s v="Check out our latest image on twitter!"/>
    <n v="3092"/>
    <n v="106"/>
    <n v="291"/>
    <n v="27828"/>
    <n v="27217"/>
    <n v="102"/>
    <s v="#FutureOfDriving"/>
    <m/>
    <m/>
    <x v="4"/>
    <n v="0.12537731780940059"/>
    <s v="#FutureOfDriving"/>
    <e v="#N/A"/>
    <e v="#N/A"/>
    <e v="#N/A"/>
    <n v="3591"/>
    <n v="0.16138647221870131"/>
    <n v="0.11702238201407125"/>
    <n v="-0.37910773512793078"/>
    <n v="0"/>
    <n v="0"/>
    <n v="-0.37910773512793078"/>
  </r>
  <r>
    <s v="P129"/>
    <x v="0"/>
    <d v="2024-07-21T00:00:00"/>
    <s v="Text"/>
    <s v="Check out our latest text on twitter!"/>
    <n v="2147"/>
    <n v="430"/>
    <n v="393"/>
    <n v="17176"/>
    <n v="16483"/>
    <n v="170"/>
    <s v="#TeslaCoInnovation"/>
    <m/>
    <m/>
    <x v="4"/>
    <n v="0.17291569632044715"/>
    <s v="#TeslaCoInnovation"/>
    <e v="#N/A"/>
    <e v="#N/A"/>
    <e v="#N/A"/>
    <n v="3140"/>
    <n v="0.15227190741721758"/>
    <n v="0.12191391277697418"/>
    <n v="-0.24901173253112993"/>
    <n v="0"/>
    <n v="0"/>
    <n v="-0.24901173253112993"/>
  </r>
  <r>
    <s v="P130"/>
    <x v="1"/>
    <d v="2024-09-29T00:00:00"/>
    <s v="Reel"/>
    <s v="Check out our latest reel on youtube!"/>
    <n v="2936"/>
    <n v="439"/>
    <n v="44"/>
    <n v="38168"/>
    <n v="37571"/>
    <n v="22"/>
    <s v="#EVRevolution"/>
    <m/>
    <m/>
    <x v="3"/>
    <n v="8.9577656675749323E-2"/>
    <s v="#EVRevolution"/>
    <d v="2025-03-01T00:00:00"/>
    <d v="2025-03-31T00:00:00"/>
    <s v="Before Campaign"/>
    <n v="3441"/>
    <n v="0.15513505466981756"/>
    <n v="0.24728744240589476"/>
    <n v="0.37265292098746905"/>
    <n v="180000"/>
    <n v="1.9116666666666667E-2"/>
    <n v="0.37265292098746905"/>
  </r>
  <r>
    <s v="P131"/>
    <x v="2"/>
    <d v="2024-10-21T00:00:00"/>
    <s v="Reel"/>
    <s v="Check out our latest reel on instagram!"/>
    <n v="4840"/>
    <n v="658"/>
    <n v="211"/>
    <n v="43560"/>
    <n v="43225"/>
    <n v="57"/>
    <s v="#FutureOfDriving"/>
    <m/>
    <m/>
    <x v="2"/>
    <n v="0.13106060606060607"/>
    <s v="#FutureOfDriving"/>
    <d v="2024-12-25T00:00:00"/>
    <d v="2025-01-10T00:00:00"/>
    <s v="Before Campaign"/>
    <n v="5766"/>
    <n v="0.14101678241739193"/>
    <n v="0.12700764842862727"/>
    <n v="-0.11030149886317421"/>
    <n v="250000"/>
    <n v="2.3064000000000001E-2"/>
    <n v="-0.11030149886317421"/>
  </r>
  <r>
    <s v="P132"/>
    <x v="2"/>
    <d v="2025-03-04T00:00:00"/>
    <s v="Story"/>
    <s v="Check out our latest story on instagram!"/>
    <n v="1947"/>
    <n v="842"/>
    <n v="101"/>
    <n v="21417"/>
    <n v="20967"/>
    <n v="186"/>
    <s v="#FutureOfDriving"/>
    <m/>
    <m/>
    <x v="1"/>
    <n v="0.13493953401503478"/>
    <s v="#FutureOfDriving"/>
    <d v="2024-10-01T00:00:00"/>
    <d v="2024-10-31T00:00:00"/>
    <s v="Before Campaign"/>
    <n v="3076"/>
    <n v="0.16455861492162258"/>
    <n v="0.16862277403402318"/>
    <n v="2.4102077170077698E-2"/>
    <n v="200000"/>
    <n v="1.538E-2"/>
    <n v="2.4102077170077698E-2"/>
  </r>
  <r>
    <s v="P133"/>
    <x v="3"/>
    <d v="2025-02-06T00:00:00"/>
    <s v="Image"/>
    <s v="Check out our latest image on facebook!"/>
    <n v="2072"/>
    <n v="532"/>
    <n v="71"/>
    <n v="37296"/>
    <n v="36467"/>
    <n v="25"/>
    <s v="#TeslaCoInnovation"/>
    <m/>
    <m/>
    <x v="3"/>
    <n v="7.172350922350923E-2"/>
    <s v="#TeslaCoInnovation"/>
    <d v="2025-03-01T00:00:00"/>
    <d v="2025-03-31T00:00:00"/>
    <s v="Before Campaign"/>
    <n v="2700"/>
    <n v="0.16041960235391348"/>
    <n v="0.11258219363423329"/>
    <n v="-0.42491096660541611"/>
    <n v="180000"/>
    <n v="1.4999999999999999E-2"/>
    <n v="-0.42491096660541611"/>
  </r>
  <r>
    <s v="P134"/>
    <x v="0"/>
    <d v="2025-04-24T00:00:00"/>
    <s v="Reel"/>
    <s v="Check out our latest reel on twitter!"/>
    <n v="3731"/>
    <n v="115"/>
    <n v="135"/>
    <n v="55965"/>
    <n v="55436"/>
    <n v="103"/>
    <s v="#TeslaCoInnovation"/>
    <m/>
    <m/>
    <x v="0"/>
    <n v="7.1133744304476013E-2"/>
    <s v="#TeslaCoInnovation"/>
    <d v="2024-06-15T00:00:00"/>
    <d v="2024-07-15T00:00:00"/>
    <s v="Before Campaign"/>
    <n v="4084"/>
    <n v="0.15737659578603636"/>
    <n v="0.14165406023916455"/>
    <n v="-0.11099248069788004"/>
    <n v="150000"/>
    <n v="2.7226666666666666E-2"/>
    <n v="-0.11099248069788004"/>
  </r>
  <r>
    <s v="P135"/>
    <x v="3"/>
    <d v="2024-11-28T00:00:00"/>
    <s v="Text"/>
    <s v="Check out our latest text on facebook!"/>
    <n v="4213"/>
    <n v="253"/>
    <n v="434"/>
    <n v="75834"/>
    <n v="75437"/>
    <n v="272"/>
    <s v="#FutureOfDriving"/>
    <m/>
    <m/>
    <x v="3"/>
    <n v="6.461481657304112E-2"/>
    <s v="#FutureOfDriving"/>
    <d v="2025-03-01T00:00:00"/>
    <d v="2025-03-31T00:00:00"/>
    <s v="Before Campaign"/>
    <n v="5172"/>
    <n v="0.15544897118269055"/>
    <n v="0.15618483335755581"/>
    <n v="4.7114829208841731E-3"/>
    <n v="180000"/>
    <n v="2.8733333333333333E-2"/>
    <n v="4.7114829208841731E-3"/>
  </r>
  <r>
    <s v="P136"/>
    <x v="2"/>
    <d v="2024-07-11T00:00:00"/>
    <s v="Text"/>
    <s v="Check out our latest text on instagram!"/>
    <n v="3134"/>
    <n v="888"/>
    <n v="444"/>
    <n v="21938"/>
    <n v="21337"/>
    <n v="130"/>
    <s v="#EVRevolution"/>
    <m/>
    <m/>
    <x v="3"/>
    <n v="0.20357370772176134"/>
    <s v="#EVRevolution"/>
    <d v="2025-03-01T00:00:00"/>
    <d v="2025-03-31T00:00:00"/>
    <s v="Before Campaign"/>
    <n v="4596"/>
    <n v="0.15108979061750347"/>
    <n v="0.20365804763644255"/>
    <n v="0.25812020506442546"/>
    <n v="180000"/>
    <n v="2.5533333333333335E-2"/>
    <n v="0.25812020506442546"/>
  </r>
  <r>
    <s v="P137"/>
    <x v="3"/>
    <d v="2024-07-31T00:00:00"/>
    <s v="Video"/>
    <s v="Check out our latest video on facebook!"/>
    <n v="3008"/>
    <n v="94"/>
    <n v="37"/>
    <n v="15040"/>
    <n v="14639"/>
    <n v="277"/>
    <s v="#FutureOfDriving"/>
    <m/>
    <m/>
    <x v="4"/>
    <n v="0.20871010638297871"/>
    <s v="#FutureOfDriving"/>
    <e v="#N/A"/>
    <e v="#N/A"/>
    <e v="#N/A"/>
    <n v="3416"/>
    <n v="0.14426847844483881"/>
    <n v="0.11445796894134642"/>
    <n v="-0.26044940146341994"/>
    <n v="0"/>
    <n v="0"/>
    <n v="-0.26044940146341994"/>
  </r>
  <r>
    <s v="P138"/>
    <x v="0"/>
    <d v="2025-03-29T00:00:00"/>
    <s v="Image"/>
    <s v="Check out our latest image on twitter!"/>
    <n v="305"/>
    <n v="187"/>
    <n v="243"/>
    <n v="4575"/>
    <n v="3704"/>
    <n v="234"/>
    <s v="#FutureOfDriving"/>
    <m/>
    <m/>
    <x v="2"/>
    <n v="0.16065573770491803"/>
    <s v="#FutureOfDriving"/>
    <d v="2024-12-25T00:00:00"/>
    <d v="2025-01-10T00:00:00"/>
    <s v="Before Campaign"/>
    <n v="969"/>
    <n v="0.16114277800440843"/>
    <n v="0.19201064223078854"/>
    <n v="0.16076121546053818"/>
    <n v="250000"/>
    <n v="3.8760000000000001E-3"/>
    <n v="0.16076121546053818"/>
  </r>
  <r>
    <s v="P139"/>
    <x v="1"/>
    <d v="2024-10-29T00:00:00"/>
    <s v="Text"/>
    <s v="Check out our latest text on youtube!"/>
    <n v="2746"/>
    <n v="156"/>
    <n v="203"/>
    <n v="32952"/>
    <n v="32147"/>
    <n v="147"/>
    <s v="#EVRevolution"/>
    <m/>
    <m/>
    <x v="0"/>
    <n v="9.422796795338674E-2"/>
    <s v="#EVRevolution"/>
    <d v="2024-06-15T00:00:00"/>
    <d v="2024-07-15T00:00:00"/>
    <s v="Before Campaign"/>
    <n v="3252"/>
    <n v="0.16021511499318447"/>
    <n v="0.19600948452953182"/>
    <n v="0.18261549752177619"/>
    <n v="150000"/>
    <n v="2.1680000000000001E-2"/>
    <n v="0.18261549752177619"/>
  </r>
  <r>
    <s v="P140"/>
    <x v="3"/>
    <d v="2024-07-15T00:00:00"/>
    <s v="Image"/>
    <s v="Check out our latest image on facebook!"/>
    <n v="2291"/>
    <n v="78"/>
    <n v="485"/>
    <n v="18328"/>
    <n v="18101"/>
    <n v="10"/>
    <s v="#EVRevolution"/>
    <s v="#SmoothLikeNitroTesla"/>
    <m/>
    <x v="1"/>
    <n v="0.15571802706241816"/>
    <s v="#EVRevolution, #SmoothLikeNitroTesla"/>
    <d v="2024-10-01T00:00:00"/>
    <d v="2024-10-31T00:00:00"/>
    <s v="Before Campaign"/>
    <n v="2864"/>
    <n v="0.15076853505201565"/>
    <n v="0.1037933143658442"/>
    <n v="-0.45258426299593946"/>
    <n v="200000"/>
    <n v="1.4319999999999999E-2"/>
    <n v="-0.45258426299593946"/>
  </r>
  <r>
    <s v="P141"/>
    <x v="0"/>
    <d v="2024-08-31T00:00:00"/>
    <s v="Image"/>
    <s v="Check out our latest image on twitter!"/>
    <n v="3170"/>
    <n v="857"/>
    <n v="379"/>
    <n v="19020"/>
    <n v="18559"/>
    <n v="240"/>
    <s v="#FutureOfDriving"/>
    <m/>
    <m/>
    <x v="4"/>
    <n v="0.2316508937960042"/>
    <s v="#FutureOfDriving"/>
    <e v="#N/A"/>
    <e v="#N/A"/>
    <e v="#N/A"/>
    <n v="4646"/>
    <n v="0.1440632320970604"/>
    <n v="0.14116415875327359"/>
    <n v="-2.0536893850327833E-2"/>
    <n v="0"/>
    <n v="0"/>
    <n v="-2.0536893850327833E-2"/>
  </r>
  <r>
    <s v="P142"/>
    <x v="1"/>
    <d v="2025-03-25T00:00:00"/>
    <s v="Story"/>
    <s v="Check out our latest story on youtube!"/>
    <n v="2070"/>
    <n v="275"/>
    <n v="386"/>
    <n v="39330"/>
    <n v="38627"/>
    <n v="114"/>
    <s v="#FutureOfDriving"/>
    <m/>
    <m/>
    <x v="3"/>
    <n v="6.9438087973557078E-2"/>
    <s v="#FutureOfDriving"/>
    <d v="2025-03-01T00:00:00"/>
    <d v="2025-03-31T00:00:00"/>
    <s v="During Campaign"/>
    <n v="2845"/>
    <n v="0.16367893564929736"/>
    <n v="0.32822059788046032"/>
    <n v="0.50131424808107228"/>
    <n v="180000"/>
    <n v="1.5805555555555555E-2"/>
    <n v="0.50131424808107228"/>
  </r>
  <r>
    <s v="P143"/>
    <x v="1"/>
    <d v="2024-10-02T00:00:00"/>
    <s v="Carousel"/>
    <s v="Check out our latest carousel on youtube!"/>
    <n v="80"/>
    <n v="362"/>
    <n v="80"/>
    <n v="1040"/>
    <n v="349"/>
    <n v="117"/>
    <s v="#TeslaCoInnovation"/>
    <m/>
    <m/>
    <x v="2"/>
    <n v="0.50192307692307692"/>
    <s v="#TeslaCoInnovation"/>
    <d v="2024-12-25T00:00:00"/>
    <d v="2025-01-10T00:00:00"/>
    <s v="Before Campaign"/>
    <n v="639"/>
    <n v="0.14095732657683169"/>
    <n v="0.15836808386029733"/>
    <n v="0.10993854859558917"/>
    <n v="250000"/>
    <n v="2.5560000000000001E-3"/>
    <n v="0.10993854859558917"/>
  </r>
  <r>
    <s v="P144"/>
    <x v="1"/>
    <d v="2024-10-28T00:00:00"/>
    <s v="Story"/>
    <s v="Check out our latest story on youtube!"/>
    <n v="4929"/>
    <n v="749"/>
    <n v="452"/>
    <n v="93651"/>
    <n v="92810"/>
    <n v="66"/>
    <s v="#EVRevolution"/>
    <m/>
    <m/>
    <x v="3"/>
    <n v="6.5455787978772245E-2"/>
    <s v="#EVRevolution"/>
    <d v="2025-03-01T00:00:00"/>
    <d v="2025-03-31T00:00:00"/>
    <s v="Before Campaign"/>
    <n v="6196"/>
    <n v="0.16415125831565175"/>
    <n v="0.13674969911818893"/>
    <n v="-0.20037747339963372"/>
    <n v="180000"/>
    <n v="3.4422222222222222E-2"/>
    <n v="-0.20037747339963372"/>
  </r>
  <r>
    <s v="P145"/>
    <x v="2"/>
    <d v="2024-08-12T00:00:00"/>
    <s v="Carousel"/>
    <s v="Check out our latest carousel on instagram!"/>
    <n v="1878"/>
    <n v="62"/>
    <n v="179"/>
    <n v="37560"/>
    <n v="36874"/>
    <n v="142"/>
    <s v="#TeslaCoInnovation"/>
    <m/>
    <m/>
    <x v="3"/>
    <n v="5.6416400425985093E-2"/>
    <s v="#TeslaCoInnovation"/>
    <d v="2025-03-01T00:00:00"/>
    <d v="2025-03-31T00:00:00"/>
    <s v="Before Campaign"/>
    <n v="2261"/>
    <n v="0.15651477158666391"/>
    <n v="0.11189727306552245"/>
    <n v="-0.39873624529719576"/>
    <n v="180000"/>
    <n v="1.2561111111111111E-2"/>
    <n v="-0.39873624529719576"/>
  </r>
  <r>
    <s v="P146"/>
    <x v="1"/>
    <d v="2024-06-05T00:00:00"/>
    <s v="Reel"/>
    <s v="Check out our latest reel on youtube!"/>
    <n v="3065"/>
    <n v="772"/>
    <n v="142"/>
    <n v="18390"/>
    <n v="17875"/>
    <n v="200"/>
    <s v="#EVRevolution"/>
    <s v="#AnytimeIsTeslaTime"/>
    <m/>
    <x v="4"/>
    <n v="0.21636759108210984"/>
    <s v="#EVRevolution, #AnytimeIsTeslaTime"/>
    <e v="#N/A"/>
    <e v="#N/A"/>
    <e v="#N/A"/>
    <n v="4179"/>
    <n v="0.16619840976201669"/>
    <n v="0.12901494735800967"/>
    <n v="-0.28821049936814591"/>
    <n v="0"/>
    <n v="0"/>
    <n v="-0.28821049936814591"/>
  </r>
  <r>
    <s v="P147"/>
    <x v="2"/>
    <d v="2024-10-21T00:00:00"/>
    <s v="Reel"/>
    <s v="Check out our latest reel on instagram!"/>
    <n v="3256"/>
    <n v="459"/>
    <n v="266"/>
    <n v="26048"/>
    <n v="25529"/>
    <n v="143"/>
    <s v="#TeslaCoInnovation"/>
    <m/>
    <m/>
    <x v="1"/>
    <n v="0.15283323095823095"/>
    <s v="#TeslaCoInnovation"/>
    <d v="2024-10-01T00:00:00"/>
    <d v="2024-10-31T00:00:00"/>
    <s v="During Campaign"/>
    <n v="4124"/>
    <n v="0.16348776555401012"/>
    <n v="0.10963554098536717"/>
    <n v="-0.4911931302991473"/>
    <n v="200000"/>
    <n v="2.0619999999999999E-2"/>
    <n v="-0.4911931302991473"/>
  </r>
  <r>
    <s v="P148"/>
    <x v="2"/>
    <d v="2025-04-15T00:00:00"/>
    <s v="Video"/>
    <s v="Check out our latest video on instagram!"/>
    <n v="4133"/>
    <n v="466"/>
    <n v="327"/>
    <n v="24798"/>
    <n v="24620"/>
    <n v="176"/>
    <s v="#EVRevolution"/>
    <m/>
    <m/>
    <x v="3"/>
    <n v="0.19864505202032423"/>
    <s v="#EVRevolution"/>
    <d v="2025-03-01T00:00:00"/>
    <d v="2025-03-31T00:00:00"/>
    <s v="Before Campaign"/>
    <n v="5102"/>
    <n v="0.15600082053753658"/>
    <n v="0.17838154664626449"/>
    <n v="0.12546547851785084"/>
    <n v="180000"/>
    <n v="2.8344444444444443E-2"/>
    <n v="0.12546547851785084"/>
  </r>
  <r>
    <s v="P149"/>
    <x v="0"/>
    <d v="2024-06-16T00:00:00"/>
    <s v="Video"/>
    <s v="Check out our latest video on twitter!"/>
    <n v="1702"/>
    <n v="750"/>
    <n v="179"/>
    <n v="34040"/>
    <n v="33174"/>
    <n v="76"/>
    <s v="#EVRevolution"/>
    <m/>
    <m/>
    <x v="0"/>
    <n v="7.7291421856639245E-2"/>
    <s v="#EVRevolution"/>
    <d v="2024-06-15T00:00:00"/>
    <d v="2024-07-15T00:00:00"/>
    <s v="During Campaign"/>
    <n v="2707"/>
    <n v="0.15994442733172631"/>
    <n v="0.13600531829588439"/>
    <n v="-0.1760159774323056"/>
    <n v="150000"/>
    <n v="1.8046666666666666E-2"/>
    <n v="-0.1760159774323056"/>
  </r>
  <r>
    <s v="P150"/>
    <x v="1"/>
    <d v="2024-08-22T00:00:00"/>
    <s v="Carousel"/>
    <s v="Check out our latest carousel on youtube!"/>
    <n v="4295"/>
    <n v="853"/>
    <n v="325"/>
    <n v="85900"/>
    <n v="85788"/>
    <n v="290"/>
    <s v="#TeslaCoInnovation"/>
    <m/>
    <m/>
    <x v="3"/>
    <n v="6.3713620488940623E-2"/>
    <s v="#TeslaCoInnovation"/>
    <d v="2025-03-01T00:00:00"/>
    <d v="2025-03-31T00:00:00"/>
    <s v="Before Campaign"/>
    <n v="5763"/>
    <n v="0.14166329790624635"/>
    <n v="0.11082661629997728"/>
    <n v="-0.27824256154137755"/>
    <n v="180000"/>
    <n v="3.2016666666666665E-2"/>
    <n v="-0.27824256154137755"/>
  </r>
  <r>
    <s v="P151"/>
    <x v="2"/>
    <d v="2024-07-26T00:00:00"/>
    <s v="Image"/>
    <s v="Check out our latest image on instagram!"/>
    <n v="3559"/>
    <n v="59"/>
    <n v="289"/>
    <n v="35590"/>
    <n v="35105"/>
    <n v="122"/>
    <s v="#EVRevolution"/>
    <m/>
    <m/>
    <x v="0"/>
    <n v="0.10977802753582468"/>
    <s v="#EVRevolution"/>
    <d v="2024-06-15T00:00:00"/>
    <d v="2024-07-15T00:00:00"/>
    <s v="Before Campaign"/>
    <n v="4029"/>
    <n v="0.16599427663570979"/>
    <n v="0.18570738065579445"/>
    <n v="0.10615143001032672"/>
    <n v="150000"/>
    <n v="2.6859999999999998E-2"/>
    <n v="0.10615143001032672"/>
  </r>
  <r>
    <s v="P152"/>
    <x v="3"/>
    <d v="2025-04-22T00:00:00"/>
    <s v="Image"/>
    <s v="Check out our latest image on facebook!"/>
    <n v="4804"/>
    <n v="550"/>
    <n v="270"/>
    <n v="28824"/>
    <n v="28370"/>
    <n v="47"/>
    <s v="#EVRevolution"/>
    <m/>
    <m/>
    <x v="3"/>
    <n v="0.19511518179295032"/>
    <s v="#EVRevolution"/>
    <d v="2025-03-01T00:00:00"/>
    <d v="2025-03-31T00:00:00"/>
    <s v="Before Campaign"/>
    <n v="5671"/>
    <n v="0.15070717073482057"/>
    <n v="0.10575495900744118"/>
    <n v="-0.42506008369987108"/>
    <n v="180000"/>
    <n v="3.1505555555555557E-2"/>
    <n v="-0.42506008369987108"/>
  </r>
  <r>
    <s v="P153"/>
    <x v="0"/>
    <d v="2025-01-01T00:00:00"/>
    <s v="Video"/>
    <s v="Check out our latest video on twitter!"/>
    <n v="754"/>
    <n v="197"/>
    <n v="257"/>
    <n v="6786"/>
    <n v="6221"/>
    <n v="212"/>
    <s v="#TeslaCoInnovation"/>
    <m/>
    <m/>
    <x v="2"/>
    <n v="0.17801355732390214"/>
    <s v="#TeslaCoInnovation"/>
    <d v="2024-12-25T00:00:00"/>
    <d v="2025-01-10T00:00:00"/>
    <s v="During Campaign"/>
    <n v="1420"/>
    <n v="0.15611751203217106"/>
    <n v="0.10337278155077921"/>
    <n v="-0.51023808869341836"/>
    <n v="250000"/>
    <n v="5.6800000000000002E-3"/>
    <n v="-0.51023808869341836"/>
  </r>
  <r>
    <s v="P154"/>
    <x v="2"/>
    <d v="2024-10-09T00:00:00"/>
    <s v="Carousel"/>
    <s v="Check out our latest carousel on instagram!"/>
    <n v="985"/>
    <n v="932"/>
    <n v="287"/>
    <n v="6895"/>
    <n v="6757"/>
    <n v="64"/>
    <s v="#FutureOfDriving"/>
    <m/>
    <m/>
    <x v="3"/>
    <n v="0.31965192168237855"/>
    <s v="#FutureOfDriving"/>
    <d v="2025-03-01T00:00:00"/>
    <d v="2025-03-31T00:00:00"/>
    <s v="Before Campaign"/>
    <n v="2268"/>
    <n v="0.17105316755040137"/>
    <n v="0.21427796163252757"/>
    <n v="0.2017230038628697"/>
    <n v="180000"/>
    <n v="1.26E-2"/>
    <n v="0.2017230038628697"/>
  </r>
  <r>
    <s v="P155"/>
    <x v="1"/>
    <d v="2024-12-21T00:00:00"/>
    <s v="Image"/>
    <s v="Check out our latest image on youtube!"/>
    <n v="2283"/>
    <n v="210"/>
    <n v="130"/>
    <n v="22830"/>
    <n v="22617"/>
    <n v="143"/>
    <s v="#FutureOfDriving"/>
    <m/>
    <m/>
    <x v="1"/>
    <n v="0.11489268506351293"/>
    <s v="#FutureOfDriving"/>
    <d v="2024-10-01T00:00:00"/>
    <d v="2024-10-31T00:00:00"/>
    <s v="Before Campaign"/>
    <n v="2766"/>
    <n v="0.14486764878889891"/>
    <n v="0.10870611589846894"/>
    <n v="-0.3326540792259074"/>
    <n v="200000"/>
    <n v="1.383E-2"/>
    <n v="-0.3326540792259074"/>
  </r>
  <r>
    <s v="P156"/>
    <x v="3"/>
    <d v="2024-10-22T00:00:00"/>
    <s v="Carousel"/>
    <s v="Check out our latest carousel on facebook!"/>
    <n v="3352"/>
    <n v="941"/>
    <n v="482"/>
    <n v="43576"/>
    <n v="43338"/>
    <n v="240"/>
    <s v="#FutureOfDriving"/>
    <m/>
    <m/>
    <x v="1"/>
    <n v="0.1095786671562328"/>
    <s v="#FutureOfDriving"/>
    <d v="2024-10-01T00:00:00"/>
    <d v="2024-10-31T00:00:00"/>
    <s v="During Campaign"/>
    <n v="5015"/>
    <n v="0.16045736482203565"/>
    <n v="0.17325345788466678"/>
    <n v="7.3857648896966721E-2"/>
    <n v="200000"/>
    <n v="2.5075E-2"/>
    <n v="7.3857648896966721E-2"/>
  </r>
  <r>
    <s v="P157"/>
    <x v="1"/>
    <d v="2024-07-23T00:00:00"/>
    <s v="Story"/>
    <s v="Check out our latest story on youtube!"/>
    <n v="4775"/>
    <n v="173"/>
    <n v="206"/>
    <n v="47750"/>
    <n v="47544"/>
    <n v="187"/>
    <s v="#FutureOfDriving"/>
    <m/>
    <m/>
    <x v="1"/>
    <n v="0.10793717277486911"/>
    <s v="#FutureOfDriving"/>
    <d v="2024-10-01T00:00:00"/>
    <d v="2024-10-31T00:00:00"/>
    <s v="Before Campaign"/>
    <n v="5341"/>
    <n v="0.16128958047627134"/>
    <n v="0.10504131180821237"/>
    <n v="-0.53548711168762608"/>
    <n v="200000"/>
    <n v="2.6705E-2"/>
    <n v="-0.53548711168762608"/>
  </r>
  <r>
    <s v="P158"/>
    <x v="2"/>
    <d v="2024-08-11T00:00:00"/>
    <s v="Story"/>
    <s v="Check out our latest story on instagram!"/>
    <n v="1762"/>
    <n v="405"/>
    <n v="423"/>
    <n v="22906"/>
    <n v="21925"/>
    <n v="25"/>
    <s v="#TeslaCoInnovation"/>
    <m/>
    <m/>
    <x v="0"/>
    <n v="0.11307081114118571"/>
    <s v="#TeslaCoInnovation"/>
    <d v="2024-06-15T00:00:00"/>
    <d v="2024-07-15T00:00:00"/>
    <s v="Before Campaign"/>
    <n v="2615"/>
    <n v="0.16464793095890923"/>
    <n v="0.14078250129329817"/>
    <n v="-0.16951985826627128"/>
    <n v="150000"/>
    <n v="1.7433333333333332E-2"/>
    <n v="-0.16951985826627128"/>
  </r>
  <r>
    <s v="P159"/>
    <x v="3"/>
    <d v="2024-11-25T00:00:00"/>
    <s v="Story"/>
    <s v="Check out our latest story on facebook!"/>
    <n v="2120"/>
    <n v="158"/>
    <n v="488"/>
    <n v="12720"/>
    <n v="12085"/>
    <n v="17"/>
    <s v="#FutureOfDriving"/>
    <m/>
    <m/>
    <x v="1"/>
    <n v="0.21745283018867925"/>
    <s v="#FutureOfDriving"/>
    <d v="2024-10-01T00:00:00"/>
    <d v="2024-10-31T00:00:00"/>
    <s v="Before Campaign"/>
    <n v="2783"/>
    <n v="0.16494614970279722"/>
    <n v="0.11946739555497131"/>
    <n v="-0.38067921324106779"/>
    <n v="200000"/>
    <n v="1.3915E-2"/>
    <n v="-0.38067921324106779"/>
  </r>
  <r>
    <s v="P160"/>
    <x v="0"/>
    <d v="2024-08-24T00:00:00"/>
    <s v="Video"/>
    <s v="Check out our latest video on twitter!"/>
    <n v="1082"/>
    <n v="209"/>
    <n v="484"/>
    <n v="19476"/>
    <n v="18654"/>
    <n v="20"/>
    <s v="#TeslaCoInnovation"/>
    <m/>
    <m/>
    <x v="4"/>
    <n v="9.1137810638734856E-2"/>
    <s v="#TeslaCoInnovation"/>
    <e v="#N/A"/>
    <e v="#N/A"/>
    <e v="#N/A"/>
    <n v="1795"/>
    <n v="0.17257345242623157"/>
    <n v="8.3133107228974865E-2"/>
    <n v="-1.0758691474253417"/>
    <n v="0"/>
    <n v="0"/>
    <n v="-1.0758691474253417"/>
  </r>
  <r>
    <s v="P161"/>
    <x v="0"/>
    <d v="2025-02-19T00:00:00"/>
    <s v="Text"/>
    <s v="Check out our latest text on twitter!"/>
    <n v="4671"/>
    <n v="876"/>
    <n v="366"/>
    <n v="51381"/>
    <n v="50565"/>
    <n v="245"/>
    <s v="#TeslaCoInnovation"/>
    <m/>
    <m/>
    <x v="3"/>
    <n v="0.11508145034156594"/>
    <s v="#TeslaCoInnovation"/>
    <d v="2025-03-01T00:00:00"/>
    <d v="2025-03-31T00:00:00"/>
    <s v="Before Campaign"/>
    <n v="6158"/>
    <n v="0.14796487526397842"/>
    <n v="0.1261588113761099"/>
    <n v="-0.17284614249304686"/>
    <n v="180000"/>
    <n v="3.4211111111111109E-2"/>
    <n v="-0.17284614249304686"/>
  </r>
  <r>
    <s v="P162"/>
    <x v="3"/>
    <d v="2025-04-01T00:00:00"/>
    <s v="Story"/>
    <s v="Check out our latest story on facebook!"/>
    <n v="3430"/>
    <n v="566"/>
    <n v="164"/>
    <n v="48020"/>
    <n v="47305"/>
    <n v="120"/>
    <s v="#FutureOfDriving"/>
    <m/>
    <m/>
    <x v="4"/>
    <n v="8.6630570595585168E-2"/>
    <s v="#FutureOfDriving"/>
    <e v="#N/A"/>
    <e v="#N/A"/>
    <e v="#N/A"/>
    <n v="4280"/>
    <n v="0.16193373540287861"/>
    <n v="9.8646635711463315E-2"/>
    <n v="-0.6415535536004191"/>
    <n v="0"/>
    <n v="0"/>
    <n v="-0.6415535536004191"/>
  </r>
  <r>
    <s v="P163"/>
    <x v="2"/>
    <d v="2025-04-08T00:00:00"/>
    <s v="Image"/>
    <s v="Check out our latest image on instagram!"/>
    <n v="4501"/>
    <n v="375"/>
    <n v="323"/>
    <n v="22505"/>
    <n v="21836"/>
    <n v="132"/>
    <s v="#TeslaCoInnovation"/>
    <m/>
    <m/>
    <x v="1"/>
    <n v="0.23101532992668297"/>
    <s v="#TeslaCoInnovation"/>
    <d v="2024-10-01T00:00:00"/>
    <d v="2024-10-31T00:00:00"/>
    <s v="Before Campaign"/>
    <n v="5331"/>
    <n v="0.16591237012932866"/>
    <n v="9.3383217608628818E-2"/>
    <n v="-0.77668294558740913"/>
    <n v="200000"/>
    <n v="2.6655000000000002E-2"/>
    <n v="-0.77668294558740913"/>
  </r>
  <r>
    <s v="P164"/>
    <x v="1"/>
    <d v="2025-02-27T00:00:00"/>
    <s v="Text"/>
    <s v="Check out our latest text on youtube!"/>
    <n v="4934"/>
    <n v="971"/>
    <n v="156"/>
    <n v="39472"/>
    <n v="39025"/>
    <n v="169"/>
    <s v="#TeslaCoInnovation"/>
    <s v="#AnytimeIsTeslaTime"/>
    <m/>
    <x v="3"/>
    <n v="0.15355188488042157"/>
    <s v="#TeslaCoInnovation, #AnytimeIsTeslaTime"/>
    <d v="2025-03-01T00:00:00"/>
    <d v="2025-03-31T00:00:00"/>
    <s v="Before Campaign"/>
    <n v="6230"/>
    <n v="0.1552069494229591"/>
    <n v="0.13834530726748565"/>
    <n v="-0.12188083924575825"/>
    <n v="180000"/>
    <n v="3.4611111111111113E-2"/>
    <n v="-0.12188083924575825"/>
  </r>
  <r>
    <s v="P165"/>
    <x v="0"/>
    <d v="2024-12-11T00:00:00"/>
    <s v="Text"/>
    <s v="Check out our latest text on twitter!"/>
    <n v="3239"/>
    <n v="43"/>
    <n v="211"/>
    <n v="22673"/>
    <n v="22171"/>
    <n v="230"/>
    <s v="#TeslaCoInnovation"/>
    <m/>
    <m/>
    <x v="1"/>
    <n v="0.15405989502933004"/>
    <s v="#TeslaCoInnovation"/>
    <d v="2024-10-01T00:00:00"/>
    <d v="2024-10-31T00:00:00"/>
    <s v="Before Campaign"/>
    <n v="3723"/>
    <n v="0.16242012302764594"/>
    <n v="0.14387833460875038"/>
    <n v="-0.12887130275254025"/>
    <n v="200000"/>
    <n v="1.8615E-2"/>
    <n v="-0.12887130275254025"/>
  </r>
  <r>
    <s v="P166"/>
    <x v="0"/>
    <d v="2025-02-16T00:00:00"/>
    <s v="Reel"/>
    <s v="Check out our latest reel on twitter!"/>
    <n v="1076"/>
    <n v="313"/>
    <n v="306"/>
    <n v="11836"/>
    <n v="11596"/>
    <n v="104"/>
    <s v="#FutureOfDriving"/>
    <m/>
    <m/>
    <x v="0"/>
    <n v="0.14320716458262928"/>
    <s v="#FutureOfDriving"/>
    <d v="2024-06-15T00:00:00"/>
    <d v="2024-07-15T00:00:00"/>
    <s v="Before Campaign"/>
    <n v="1799"/>
    <n v="0.1633085803228867"/>
    <n v="0.13699329479790875"/>
    <n v="-0.1920917776581548"/>
    <n v="150000"/>
    <n v="1.1993333333333333E-2"/>
    <n v="-0.1920917776581548"/>
  </r>
  <r>
    <s v="P167"/>
    <x v="2"/>
    <d v="2024-11-28T00:00:00"/>
    <s v="Text"/>
    <s v="Check out our latest text on instagram!"/>
    <n v="4771"/>
    <n v="818"/>
    <n v="56"/>
    <n v="57252"/>
    <n v="56378"/>
    <n v="150"/>
    <s v="#FutureOfDriving"/>
    <m/>
    <m/>
    <x v="4"/>
    <n v="9.859917557465242E-2"/>
    <s v="#FutureOfDriving"/>
    <e v="#N/A"/>
    <e v="#N/A"/>
    <e v="#N/A"/>
    <n v="5795"/>
    <n v="0.14198380674216421"/>
    <n v="9.7013233745483776E-2"/>
    <n v="-0.46355091218443106"/>
    <n v="0"/>
    <n v="0"/>
    <n v="-0.46355091218443106"/>
  </r>
  <r>
    <s v="P168"/>
    <x v="3"/>
    <d v="2024-11-12T00:00:00"/>
    <s v="Text"/>
    <s v="Check out our latest text on facebook!"/>
    <n v="2418"/>
    <n v="754"/>
    <n v="54"/>
    <n v="43524"/>
    <n v="42743"/>
    <n v="182"/>
    <s v="#EVRevolution"/>
    <m/>
    <m/>
    <x v="0"/>
    <n v="7.412002573292896E-2"/>
    <s v="#EVRevolution"/>
    <d v="2024-06-15T00:00:00"/>
    <d v="2024-07-15T00:00:00"/>
    <s v="Before Campaign"/>
    <n v="3408"/>
    <n v="0.16017600686240441"/>
    <n v="0.13681088856633328"/>
    <n v="-0.17078405484328438"/>
    <n v="150000"/>
    <n v="2.2720000000000001E-2"/>
    <n v="-0.17078405484328438"/>
  </r>
  <r>
    <s v="P169"/>
    <x v="1"/>
    <d v="2024-12-03T00:00:00"/>
    <s v="Video"/>
    <s v="Check out our latest video on youtube!"/>
    <n v="3809"/>
    <n v="273"/>
    <n v="200"/>
    <n v="34281"/>
    <n v="33534"/>
    <n v="83"/>
    <s v="#EVRevolution"/>
    <m/>
    <m/>
    <x v="0"/>
    <n v="0.12490884163239112"/>
    <s v="#EVRevolution"/>
    <d v="2024-06-15T00:00:00"/>
    <d v="2024-07-15T00:00:00"/>
    <s v="Before Campaign"/>
    <n v="4365"/>
    <n v="0.15775765978112544"/>
    <n v="0.12963237504804523"/>
    <n v="-0.21696188720337975"/>
    <n v="150000"/>
    <n v="2.9100000000000001E-2"/>
    <n v="-0.21696188720337975"/>
  </r>
  <r>
    <s v="P170"/>
    <x v="0"/>
    <d v="2025-04-28T00:00:00"/>
    <s v="Text"/>
    <s v="Check out our latest text on twitter!"/>
    <n v="3577"/>
    <n v="596"/>
    <n v="493"/>
    <n v="67963"/>
    <n v="67839"/>
    <n v="53"/>
    <s v="#TeslaCoInnovation"/>
    <m/>
    <m/>
    <x v="2"/>
    <n v="6.8655003457763777E-2"/>
    <s v="#TeslaCoInnovation"/>
    <d v="2024-12-25T00:00:00"/>
    <d v="2025-01-10T00:00:00"/>
    <s v="Before Campaign"/>
    <n v="4719"/>
    <n v="0.16286907141668969"/>
    <n v="0.23055326998484987"/>
    <n v="0.29357292816800151"/>
    <n v="250000"/>
    <n v="1.8876E-2"/>
    <n v="0.29357292816800151"/>
  </r>
  <r>
    <s v="P171"/>
    <x v="1"/>
    <d v="2024-12-31T00:00:00"/>
    <s v="Video"/>
    <s v="Check out our latest video on youtube!"/>
    <n v="1018"/>
    <n v="447"/>
    <n v="332"/>
    <n v="18324"/>
    <n v="18164"/>
    <n v="38"/>
    <s v="#FutureOfDriving"/>
    <m/>
    <m/>
    <x v="1"/>
    <n v="9.8068107400130972E-2"/>
    <s v="#FutureOfDriving"/>
    <d v="2024-10-01T00:00:00"/>
    <d v="2024-10-31T00:00:00"/>
    <s v="Before Campaign"/>
    <n v="1835"/>
    <n v="0.16221506566640184"/>
    <n v="0.23362357084602298"/>
    <n v="0.30565625258200158"/>
    <n v="200000"/>
    <n v="9.1750000000000009E-3"/>
    <n v="0.30565625258200158"/>
  </r>
  <r>
    <s v="P172"/>
    <x v="3"/>
    <d v="2024-08-14T00:00:00"/>
    <s v="Carousel"/>
    <s v="Check out our latest carousel on facebook!"/>
    <n v="3073"/>
    <n v="553"/>
    <n v="174"/>
    <n v="52241"/>
    <n v="51605"/>
    <n v="246"/>
    <s v="#EVRevolution"/>
    <m/>
    <m/>
    <x v="2"/>
    <n v="7.2739802071170159E-2"/>
    <s v="#EVRevolution"/>
    <d v="2024-12-25T00:00:00"/>
    <d v="2025-01-10T00:00:00"/>
    <s v="Before Campaign"/>
    <n v="4046"/>
    <n v="0.15285503190515112"/>
    <n v="0.11143148839443785"/>
    <n v="-0.37174001808254536"/>
    <n v="250000"/>
    <n v="1.6184E-2"/>
    <n v="-0.37174001808254536"/>
  </r>
  <r>
    <s v="P173"/>
    <x v="0"/>
    <d v="2024-12-05T00:00:00"/>
    <s v="Video"/>
    <s v="Check out our latest video on twitter!"/>
    <n v="1330"/>
    <n v="925"/>
    <n v="35"/>
    <n v="15960"/>
    <n v="15379"/>
    <n v="229"/>
    <s v="#FutureOfDriving"/>
    <m/>
    <m/>
    <x v="2"/>
    <n v="0.14348370927318296"/>
    <s v="#FutureOfDriving"/>
    <d v="2024-12-25T00:00:00"/>
    <d v="2025-01-10T00:00:00"/>
    <s v="Before Campaign"/>
    <n v="2519"/>
    <n v="0.13880761316988802"/>
    <n v="0.20383228074327289"/>
    <n v="0.31901064608742496"/>
    <n v="250000"/>
    <n v="1.0076E-2"/>
    <n v="0.31901064608742496"/>
  </r>
  <r>
    <s v="P174"/>
    <x v="3"/>
    <d v="2024-06-22T00:00:00"/>
    <s v="Text"/>
    <s v="Check out our latest text on facebook!"/>
    <n v="3828"/>
    <n v="148"/>
    <n v="253"/>
    <n v="30624"/>
    <n v="30229"/>
    <n v="235"/>
    <s v="#EVRevolution"/>
    <m/>
    <m/>
    <x v="4"/>
    <n v="0.13809430512016718"/>
    <s v="#EVRevolution"/>
    <e v="#N/A"/>
    <e v="#N/A"/>
    <e v="#N/A"/>
    <n v="4464"/>
    <n v="0.16955779088998776"/>
    <n v="0.27355377080420867"/>
    <n v="0.38016650111781575"/>
    <n v="0"/>
    <n v="0"/>
    <n v="0.38016650111781575"/>
  </r>
  <r>
    <s v="P175"/>
    <x v="2"/>
    <d v="2025-01-17T00:00:00"/>
    <s v="Reel"/>
    <s v="Check out our latest reel on instagram!"/>
    <n v="142"/>
    <n v="784"/>
    <n v="183"/>
    <n v="1704"/>
    <n v="995"/>
    <n v="154"/>
    <s v="#FutureOfDriving"/>
    <m/>
    <m/>
    <x v="3"/>
    <n v="0.6508215962441315"/>
    <s v="#FutureOfDriving"/>
    <d v="2025-03-01T00:00:00"/>
    <d v="2025-03-31T00:00:00"/>
    <s v="Before Campaign"/>
    <n v="1263"/>
    <n v="0.16372656415793377"/>
    <n v="0.13729717323585791"/>
    <n v="-0.19249770624682672"/>
    <n v="180000"/>
    <n v="7.0166666666666667E-3"/>
    <n v="-0.19249770624682672"/>
  </r>
  <r>
    <s v="P176"/>
    <x v="3"/>
    <d v="2024-06-20T00:00:00"/>
    <s v="Video"/>
    <s v="Check out our latest video on facebook!"/>
    <n v="3798"/>
    <n v="31"/>
    <n v="279"/>
    <n v="75960"/>
    <n v="75813"/>
    <n v="266"/>
    <s v="#TeslaCoInnovation"/>
    <m/>
    <m/>
    <x v="0"/>
    <n v="5.4081095313322801E-2"/>
    <s v="#TeslaCoInnovation"/>
    <d v="2024-06-15T00:00:00"/>
    <d v="2024-07-15T00:00:00"/>
    <s v="During Campaign"/>
    <n v="4374"/>
    <n v="0.14339976782372693"/>
    <n v="0.12405035066351851"/>
    <n v="-0.15598035037154329"/>
    <n v="150000"/>
    <n v="2.9159999999999998E-2"/>
    <n v="-0.15598035037154329"/>
  </r>
  <r>
    <s v="P177"/>
    <x v="2"/>
    <d v="2024-07-10T00:00:00"/>
    <s v="Carousel"/>
    <s v="Check out our latest carousel on instagram!"/>
    <n v="3099"/>
    <n v="694"/>
    <n v="171"/>
    <n v="43386"/>
    <n v="42921"/>
    <n v="52"/>
    <s v="#TeslaCoInnovation"/>
    <m/>
    <m/>
    <x v="2"/>
    <n v="9.1365878393951966E-2"/>
    <s v="#TeslaCoInnovation"/>
    <d v="2024-12-25T00:00:00"/>
    <d v="2025-01-10T00:00:00"/>
    <s v="Before Campaign"/>
    <n v="4016"/>
    <n v="0.16863621219174146"/>
    <n v="0.12482314433052391"/>
    <n v="-0.35100115524412107"/>
    <n v="250000"/>
    <n v="1.6063999999999998E-2"/>
    <n v="-0.35100115524412107"/>
  </r>
  <r>
    <s v="P178"/>
    <x v="2"/>
    <d v="2024-11-07T00:00:00"/>
    <s v="Video"/>
    <s v="Check out our latest video on instagram!"/>
    <n v="129"/>
    <n v="643"/>
    <n v="136"/>
    <n v="1290"/>
    <n v="839"/>
    <n v="238"/>
    <s v="#TeslaCoInnovation"/>
    <m/>
    <m/>
    <x v="3"/>
    <n v="0.70387596899224802"/>
    <s v="#TeslaCoInnovation"/>
    <d v="2025-03-01T00:00:00"/>
    <d v="2025-03-31T00:00:00"/>
    <s v="Before Campaign"/>
    <n v="1146"/>
    <n v="0.13980372665697172"/>
    <n v="0.12796828860483403"/>
    <n v="-9.2487273067201128E-2"/>
    <n v="180000"/>
    <n v="6.3666666666666663E-3"/>
    <n v="-9.2487273067201128E-2"/>
  </r>
  <r>
    <s v="P179"/>
    <x v="3"/>
    <d v="2024-07-15T00:00:00"/>
    <s v="Carousel"/>
    <s v="Check out our latest carousel on facebook!"/>
    <n v="3796"/>
    <n v="667"/>
    <n v="395"/>
    <n v="64532"/>
    <n v="63550"/>
    <n v="292"/>
    <s v="#TeslaCoInnovation"/>
    <m/>
    <m/>
    <x v="4"/>
    <n v="7.5280481001673588E-2"/>
    <s v="#TeslaCoInnovation"/>
    <e v="#N/A"/>
    <e v="#N/A"/>
    <e v="#N/A"/>
    <n v="5150"/>
    <n v="0.13554041300232808"/>
    <n v="0.17011350602086411"/>
    <n v="0.20323543866232294"/>
    <n v="0"/>
    <n v="0"/>
    <n v="0.20323543866232294"/>
  </r>
  <r>
    <s v="P180"/>
    <x v="1"/>
    <d v="2024-12-03T00:00:00"/>
    <s v="Text"/>
    <s v="Check out our latest text on youtube!"/>
    <n v="3711"/>
    <n v="352"/>
    <n v="290"/>
    <n v="48243"/>
    <n v="47579"/>
    <n v="11"/>
    <s v="#TeslaCoInnovation"/>
    <m/>
    <m/>
    <x v="0"/>
    <n v="9.023070704558174E-2"/>
    <s v="#TeslaCoInnovation"/>
    <d v="2024-06-15T00:00:00"/>
    <d v="2024-07-15T00:00:00"/>
    <s v="Before Campaign"/>
    <n v="4364"/>
    <n v="0.13480532706924558"/>
    <n v="0.33924306287947764"/>
    <n v="0.60262908274372684"/>
    <n v="150000"/>
    <n v="2.9093333333333332E-2"/>
    <n v="0.60262908274372684"/>
  </r>
  <r>
    <s v="P181"/>
    <x v="1"/>
    <d v="2025-03-21T00:00:00"/>
    <s v="Image"/>
    <s v="Check out our latest image on youtube!"/>
    <n v="606"/>
    <n v="789"/>
    <n v="470"/>
    <n v="7878"/>
    <n v="7389"/>
    <n v="239"/>
    <s v="#EVRevolution"/>
    <m/>
    <m/>
    <x v="2"/>
    <n v="0.23673521198273673"/>
    <s v="#EVRevolution"/>
    <d v="2024-12-25T00:00:00"/>
    <d v="2025-01-10T00:00:00"/>
    <s v="Before Campaign"/>
    <n v="2104"/>
    <n v="0.14275080131259565"/>
    <n v="0.38628272881401587"/>
    <n v="0.63044995112549773"/>
    <n v="250000"/>
    <n v="8.4159999999999999E-3"/>
    <n v="0.63044995112549773"/>
  </r>
  <r>
    <s v="P182"/>
    <x v="3"/>
    <d v="2024-07-31T00:00:00"/>
    <s v="Image"/>
    <s v="Check out our latest image on facebook!"/>
    <n v="4689"/>
    <n v="134"/>
    <n v="403"/>
    <n v="51579"/>
    <n v="50924"/>
    <n v="173"/>
    <s v="#TeslaCoInnovation"/>
    <m/>
    <m/>
    <x v="3"/>
    <n v="0.10132030477519921"/>
    <s v="#TeslaCoInnovation"/>
    <d v="2025-03-01T00:00:00"/>
    <d v="2025-03-31T00:00:00"/>
    <s v="Before Campaign"/>
    <n v="5399"/>
    <n v="0.15767523496664979"/>
    <n v="0.10751787857998464"/>
    <n v="-0.46650247427782082"/>
    <n v="180000"/>
    <n v="2.9994444444444445E-2"/>
    <n v="-0.46650247427782082"/>
  </r>
  <r>
    <s v="P183"/>
    <x v="2"/>
    <d v="2024-12-17T00:00:00"/>
    <s v="Story"/>
    <s v="Check out our latest story on instagram!"/>
    <n v="360"/>
    <n v="590"/>
    <n v="393"/>
    <n v="4680"/>
    <n v="4322"/>
    <n v="208"/>
    <s v="#FutureOfDriving"/>
    <m/>
    <m/>
    <x v="1"/>
    <n v="0.28696581196581195"/>
    <s v="#FutureOfDriving"/>
    <d v="2024-10-01T00:00:00"/>
    <d v="2024-10-31T00:00:00"/>
    <s v="Before Campaign"/>
    <n v="1551"/>
    <n v="0.16411521801655171"/>
    <n v="0.14399394040998822"/>
    <n v="-0.1397369746898583"/>
    <n v="200000"/>
    <n v="7.7549999999999997E-3"/>
    <n v="-0.1397369746898583"/>
  </r>
  <r>
    <s v="P184"/>
    <x v="0"/>
    <d v="2024-07-28T00:00:00"/>
    <s v="Image"/>
    <s v="Check out our latest image on twitter!"/>
    <n v="3215"/>
    <n v="960"/>
    <n v="202"/>
    <n v="32150"/>
    <n v="31404"/>
    <n v="251"/>
    <s v="#EVRevolution"/>
    <m/>
    <m/>
    <x v="0"/>
    <n v="0.13614307931570763"/>
    <s v="#EVRevolution"/>
    <d v="2024-06-15T00:00:00"/>
    <d v="2024-07-15T00:00:00"/>
    <s v="Before Campaign"/>
    <n v="4628"/>
    <n v="0.15043092141247857"/>
    <n v="0.13699779452873681"/>
    <n v="-9.8053599548451248E-2"/>
    <n v="150000"/>
    <n v="3.0853333333333333E-2"/>
    <n v="-9.8053599548451248E-2"/>
  </r>
  <r>
    <s v="P185"/>
    <x v="2"/>
    <d v="2025-01-11T00:00:00"/>
    <s v="Carousel"/>
    <s v="Check out our latest carousel on instagram!"/>
    <n v="4523"/>
    <n v="61"/>
    <n v="157"/>
    <n v="49753"/>
    <n v="49329"/>
    <n v="71"/>
    <s v="#EVRevolution"/>
    <m/>
    <m/>
    <x v="4"/>
    <n v="9.5290736237010829E-2"/>
    <s v="#EVRevolution"/>
    <e v="#N/A"/>
    <e v="#N/A"/>
    <e v="#N/A"/>
    <n v="4812"/>
    <n v="0.14896427459432912"/>
    <n v="0.15221781055458469"/>
    <n v="2.137421336177258E-2"/>
    <n v="0"/>
    <n v="0"/>
    <n v="2.137421336177258E-2"/>
  </r>
  <r>
    <s v="P186"/>
    <x v="3"/>
    <d v="2024-08-24T00:00:00"/>
    <s v="Carousel"/>
    <s v="Check out our latest carousel on facebook!"/>
    <n v="4292"/>
    <n v="51"/>
    <n v="392"/>
    <n v="55796"/>
    <n v="54826"/>
    <n v="264"/>
    <s v="#EVRevolution"/>
    <m/>
    <m/>
    <x v="2"/>
    <n v="8.4862714173059003E-2"/>
    <s v="#EVRevolution"/>
    <d v="2024-12-25T00:00:00"/>
    <d v="2025-01-10T00:00:00"/>
    <s v="Before Campaign"/>
    <n v="4999"/>
    <n v="0.1566166140218678"/>
    <n v="0.18359804012558109"/>
    <n v="0.14695922726221908"/>
    <n v="250000"/>
    <n v="1.9996E-2"/>
    <n v="0.14695922726221908"/>
  </r>
  <r>
    <s v="P187"/>
    <x v="0"/>
    <d v="2024-12-22T00:00:00"/>
    <s v="Reel"/>
    <s v="Check out our latest reel on twitter!"/>
    <n v="1644"/>
    <n v="546"/>
    <n v="150"/>
    <n v="27948"/>
    <n v="27184"/>
    <n v="300"/>
    <s v="#EVRevolution"/>
    <m/>
    <m/>
    <x v="2"/>
    <n v="8.3726921425504502E-2"/>
    <s v="#EVRevolution"/>
    <d v="2024-12-25T00:00:00"/>
    <d v="2025-01-10T00:00:00"/>
    <s v="Before Campaign"/>
    <n v="2640"/>
    <n v="0.16047183334703141"/>
    <n v="0.2130570851994836"/>
    <n v="0.24681296941247952"/>
    <n v="250000"/>
    <n v="1.056E-2"/>
    <n v="0.24681296941247952"/>
  </r>
  <r>
    <s v="P188"/>
    <x v="1"/>
    <d v="2024-06-06T00:00:00"/>
    <s v="Reel"/>
    <s v="Check out our latest reel on youtube!"/>
    <n v="2728"/>
    <n v="533"/>
    <n v="215"/>
    <n v="40920"/>
    <n v="40816"/>
    <n v="137"/>
    <s v="#FutureOfDriving"/>
    <m/>
    <m/>
    <x v="1"/>
    <n v="8.4946236559139784E-2"/>
    <s v="#FutureOfDriving"/>
    <d v="2024-10-01T00:00:00"/>
    <d v="2024-10-31T00:00:00"/>
    <s v="Before Campaign"/>
    <n v="3613"/>
    <n v="0.16001785281910824"/>
    <n v="0.10309217470737801"/>
    <n v="-0.55218233850736897"/>
    <n v="200000"/>
    <n v="1.8065000000000001E-2"/>
    <n v="-0.55218233850736897"/>
  </r>
  <r>
    <s v="P189"/>
    <x v="3"/>
    <d v="2025-03-24T00:00:00"/>
    <s v="Reel"/>
    <s v="Check out our latest reel on facebook!"/>
    <n v="3360"/>
    <n v="525"/>
    <n v="500"/>
    <n v="60480"/>
    <n v="59610"/>
    <n v="192"/>
    <s v="#TeslaCoInnovation"/>
    <m/>
    <m/>
    <x v="0"/>
    <n v="7.2503306878306875E-2"/>
    <s v="#TeslaCoInnovation"/>
    <d v="2024-06-15T00:00:00"/>
    <d v="2024-07-15T00:00:00"/>
    <s v="Before Campaign"/>
    <n v="4577"/>
    <n v="0.16487258069153254"/>
    <n v="8.3047249772942949E-2"/>
    <n v="-0.98528646213216975"/>
    <n v="150000"/>
    <n v="3.0513333333333333E-2"/>
    <n v="-0.98528646213216975"/>
  </r>
  <r>
    <s v="P190"/>
    <x v="1"/>
    <d v="2024-10-04T00:00:00"/>
    <s v="Text"/>
    <s v="Check out our latest text on youtube!"/>
    <n v="1963"/>
    <n v="213"/>
    <n v="19"/>
    <n v="39260"/>
    <n v="38771"/>
    <n v="145"/>
    <s v="#FutureOfDriving"/>
    <m/>
    <m/>
    <x v="4"/>
    <n v="5.5909322465613857E-2"/>
    <s v="#FutureOfDriving"/>
    <e v="#N/A"/>
    <e v="#N/A"/>
    <e v="#N/A"/>
    <n v="2340"/>
    <n v="0.14239526861350815"/>
    <n v="9.4600667673636382E-2"/>
    <n v="-0.50522477393879239"/>
    <n v="0"/>
    <n v="0"/>
    <n v="-0.50522477393879239"/>
  </r>
  <r>
    <s v="P191"/>
    <x v="1"/>
    <d v="2024-12-03T00:00:00"/>
    <s v="Story"/>
    <s v="Check out our latest story on youtube!"/>
    <n v="4285"/>
    <n v="886"/>
    <n v="376"/>
    <n v="55705"/>
    <n v="55556"/>
    <n v="51"/>
    <s v="#FutureOfDriving"/>
    <m/>
    <m/>
    <x v="2"/>
    <n v="9.9578134817341346E-2"/>
    <s v="#FutureOfDriving"/>
    <d v="2024-12-25T00:00:00"/>
    <d v="2025-01-10T00:00:00"/>
    <s v="Before Campaign"/>
    <n v="5598"/>
    <n v="0.1620506547780009"/>
    <n v="0.12834911929210971"/>
    <n v="-0.26257706848139628"/>
    <n v="250000"/>
    <n v="2.2391999999999999E-2"/>
    <n v="-0.26257706848139628"/>
  </r>
  <r>
    <s v="P192"/>
    <x v="2"/>
    <d v="2024-11-29T00:00:00"/>
    <s v="Video"/>
    <s v="Check out our latest video on instagram!"/>
    <n v="1176"/>
    <n v="464"/>
    <n v="394"/>
    <n v="14112"/>
    <n v="13588"/>
    <n v="272"/>
    <s v="#EVRevolution"/>
    <m/>
    <m/>
    <x v="4"/>
    <n v="0.1441326530612245"/>
    <s v="#EVRevolution"/>
    <e v="#N/A"/>
    <e v="#N/A"/>
    <e v="#N/A"/>
    <n v="2306"/>
    <n v="0.1432371751058007"/>
    <n v="0.20350401986742478"/>
    <n v="0.29614572135177314"/>
    <n v="0"/>
    <n v="0"/>
    <n v="0.29614572135177314"/>
  </r>
  <r>
    <s v="P193"/>
    <x v="0"/>
    <d v="2024-09-11T00:00:00"/>
    <s v="Image"/>
    <s v="Check out our latest image on twitter!"/>
    <n v="4858"/>
    <n v="317"/>
    <n v="129"/>
    <n v="53438"/>
    <n v="52687"/>
    <n v="223"/>
    <s v="#EVRevolution"/>
    <m/>
    <m/>
    <x v="2"/>
    <n v="9.9255211647142488E-2"/>
    <s v="#EVRevolution"/>
    <d v="2024-12-25T00:00:00"/>
    <d v="2025-01-10T00:00:00"/>
    <s v="Before Campaign"/>
    <n v="5527"/>
    <n v="0.16110298410161294"/>
    <n v="0.44730325925491521"/>
    <n v="0.63983498718527909"/>
    <n v="250000"/>
    <n v="2.2107999999999999E-2"/>
    <n v="0.63983498718527909"/>
  </r>
  <r>
    <s v="P194"/>
    <x v="1"/>
    <d v="2024-10-02T00:00:00"/>
    <s v="Story"/>
    <s v="Check out our latest story on youtube!"/>
    <n v="4350"/>
    <n v="771"/>
    <n v="7"/>
    <n v="60900"/>
    <n v="60592"/>
    <n v="195"/>
    <s v="#EVRevolution"/>
    <m/>
    <m/>
    <x v="0"/>
    <n v="8.4203612479474554E-2"/>
    <s v="#EVRevolution"/>
    <d v="2024-06-15T00:00:00"/>
    <d v="2024-07-15T00:00:00"/>
    <s v="Before Campaign"/>
    <n v="5323"/>
    <n v="0.16349516134621003"/>
    <n v="0.12138372461179624"/>
    <n v="-0.34692819707990202"/>
    <n v="150000"/>
    <n v="3.5486666666666666E-2"/>
    <n v="-0.34692819707990202"/>
  </r>
  <r>
    <s v="P195"/>
    <x v="2"/>
    <d v="2024-08-15T00:00:00"/>
    <s v="Carousel"/>
    <s v="Check out our latest carousel on instagram!"/>
    <n v="914"/>
    <n v="464"/>
    <n v="246"/>
    <n v="11882"/>
    <n v="11500"/>
    <n v="282"/>
    <s v="#FutureOfDriving"/>
    <s v="#TeslaCoInnovation"/>
    <s v="#AnytimeIsTeslaTime"/>
    <x v="3"/>
    <n v="0.13667732704931829"/>
    <s v="#FutureOfDriving, #TeslaCoInnovation, #AnytimeIsTeslaTime"/>
    <d v="2025-03-01T00:00:00"/>
    <d v="2025-03-31T00:00:00"/>
    <s v="Before Campaign"/>
    <n v="1906"/>
    <n v="0.1474575997291479"/>
    <n v="9.9520575775038228E-2"/>
    <n v="-0.48167952788445634"/>
    <n v="180000"/>
    <n v="1.0588888888888889E-2"/>
    <n v="-0.48167952788445634"/>
  </r>
  <r>
    <s v="P196"/>
    <x v="2"/>
    <d v="2024-12-19T00:00:00"/>
    <s v="Text"/>
    <s v="Check out our latest text on instagram!"/>
    <n v="1813"/>
    <n v="623"/>
    <n v="72"/>
    <n v="19943"/>
    <n v="18959"/>
    <n v="85"/>
    <s v="#EVRevolution"/>
    <m/>
    <m/>
    <x v="2"/>
    <n v="0.12575841147269717"/>
    <s v="#EVRevolution"/>
    <d v="2024-12-25T00:00:00"/>
    <d v="2025-01-10T00:00:00"/>
    <s v="Before Campaign"/>
    <n v="2593"/>
    <n v="0.15847334108860578"/>
    <n v="0.10667256339062162"/>
    <n v="-0.48560544578174408"/>
    <n v="250000"/>
    <n v="1.0371999999999999E-2"/>
    <n v="-0.48560544578174408"/>
  </r>
  <r>
    <s v="P197"/>
    <x v="0"/>
    <d v="2024-10-22T00:00:00"/>
    <s v="Reel"/>
    <s v="Check out our latest reel on twitter!"/>
    <n v="4782"/>
    <n v="721"/>
    <n v="82"/>
    <n v="86076"/>
    <n v="85339"/>
    <n v="19"/>
    <s v="#EVRevolution"/>
    <m/>
    <m/>
    <x v="0"/>
    <n v="6.4884520656164318E-2"/>
    <s v="#EVRevolution"/>
    <d v="2024-06-15T00:00:00"/>
    <d v="2024-07-15T00:00:00"/>
    <s v="Before Campaign"/>
    <n v="5604"/>
    <n v="0.16963864119278285"/>
    <n v="0.16557537097728328"/>
    <n v="-2.4540305671771956E-2"/>
    <n v="150000"/>
    <n v="3.7359999999999997E-2"/>
    <n v="-2.4540305671771956E-2"/>
  </r>
  <r>
    <s v="P198"/>
    <x v="0"/>
    <d v="2024-09-14T00:00:00"/>
    <s v="Image"/>
    <s v="Check out our latest image on twitter!"/>
    <n v="1048"/>
    <n v="374"/>
    <n v="450"/>
    <n v="9432"/>
    <n v="8882"/>
    <n v="158"/>
    <s v="#TeslaCoInnovation"/>
    <m/>
    <m/>
    <x v="2"/>
    <n v="0.19847328244274809"/>
    <s v="#TeslaCoInnovation"/>
    <d v="2024-12-25T00:00:00"/>
    <d v="2025-01-10T00:00:00"/>
    <s v="Before Campaign"/>
    <n v="2030"/>
    <n v="0.16634537780900743"/>
    <n v="8.6499521014671621E-2"/>
    <n v="-0.9230786004097381"/>
    <n v="250000"/>
    <n v="8.1200000000000005E-3"/>
    <n v="-0.9230786004097381"/>
  </r>
  <r>
    <s v="P199"/>
    <x v="1"/>
    <d v="2024-11-30T00:00:00"/>
    <s v="Carousel"/>
    <s v="Check out our latest carousel on youtube!"/>
    <n v="2509"/>
    <n v="324"/>
    <n v="171"/>
    <n v="35126"/>
    <n v="34685"/>
    <n v="277"/>
    <s v="#TeslaCoInnovation"/>
    <m/>
    <m/>
    <x v="1"/>
    <n v="8.5520696919660646E-2"/>
    <s v="#TeslaCoInnovation"/>
    <d v="2024-10-01T00:00:00"/>
    <d v="2024-10-31T00:00:00"/>
    <s v="Before Campaign"/>
    <n v="3281"/>
    <n v="0.16145558301511084"/>
    <n v="0.17909951457954845"/>
    <n v="9.851468110261638E-2"/>
    <n v="200000"/>
    <n v="1.6404999999999999E-2"/>
    <n v="9.851468110261638E-2"/>
  </r>
  <r>
    <s v="P200"/>
    <x v="3"/>
    <d v="2025-04-07T00:00:00"/>
    <s v="Reel"/>
    <s v="Check out our latest reel on facebook!"/>
    <n v="3718"/>
    <n v="385"/>
    <n v="310"/>
    <n v="70642"/>
    <n v="69749"/>
    <n v="233"/>
    <s v="#TeslaCoInnovation"/>
    <m/>
    <m/>
    <x v="1"/>
    <n v="6.246991874522239E-2"/>
    <s v="#TeslaCoInnovation"/>
    <d v="2024-10-01T00:00:00"/>
    <d v="2024-10-31T00:00:00"/>
    <s v="Before Campaign"/>
    <n v="4646"/>
    <n v="0.17039852742169248"/>
    <n v="0.14940284974050516"/>
    <n v="-0.14053063725125922"/>
    <n v="200000"/>
    <n v="2.3230000000000001E-2"/>
    <n v="-0.14053063725125922"/>
  </r>
  <r>
    <s v="P201"/>
    <x v="0"/>
    <d v="2025-01-15T00:00:00"/>
    <s v="Reel"/>
    <s v="Check out our latest reel on twitter!"/>
    <n v="802"/>
    <n v="262"/>
    <n v="244"/>
    <n v="14436"/>
    <n v="14280"/>
    <n v="49"/>
    <s v="#EVRevolution"/>
    <m/>
    <m/>
    <x v="0"/>
    <n v="9.0606816292601824E-2"/>
    <s v="#EVRevolution"/>
    <d v="2024-06-15T00:00:00"/>
    <d v="2024-07-15T00:00:00"/>
    <s v="Before Campaign"/>
    <n v="1357"/>
    <n v="0.17475883449934707"/>
    <n v="9.8499649181551949E-2"/>
    <n v="-0.77420768450896915"/>
    <n v="150000"/>
    <n v="9.0466666666666664E-3"/>
    <n v="-0.77420768450896915"/>
  </r>
  <r>
    <s v="P202"/>
    <x v="3"/>
    <d v="2024-06-02T00:00:00"/>
    <s v="Image"/>
    <s v="Check out our latest image on facebook!"/>
    <n v="1871"/>
    <n v="252"/>
    <n v="335"/>
    <n v="29936"/>
    <n v="29576"/>
    <n v="288"/>
    <s v="#EVRevolution"/>
    <m/>
    <m/>
    <x v="2"/>
    <n v="8.2108498129342594E-2"/>
    <s v="#EVRevolution"/>
    <d v="2024-12-25T00:00:00"/>
    <d v="2025-01-10T00:00:00"/>
    <s v="Before Campaign"/>
    <n v="2746"/>
    <n v="0.17342696990379949"/>
    <n v="0.13630988893003365"/>
    <n v="-0.27229925330522153"/>
    <n v="250000"/>
    <n v="1.0984000000000001E-2"/>
    <n v="-0.27229925330522153"/>
  </r>
  <r>
    <s v="P203"/>
    <x v="2"/>
    <d v="2024-11-21T00:00:00"/>
    <s v="Carousel"/>
    <s v="Check out our latest carousel on instagram!"/>
    <n v="3773"/>
    <n v="299"/>
    <n v="38"/>
    <n v="71687"/>
    <n v="71447"/>
    <n v="286"/>
    <s v="#FutureOfDriving"/>
    <m/>
    <m/>
    <x v="0"/>
    <n v="5.7332570758993957E-2"/>
    <s v="#FutureOfDriving"/>
    <d v="2024-06-15T00:00:00"/>
    <d v="2024-07-15T00:00:00"/>
    <s v="Before Campaign"/>
    <n v="4396"/>
    <n v="0.18152636113425957"/>
    <n v="0.11097329059155449"/>
    <n v="-0.63576622957303253"/>
    <n v="150000"/>
    <n v="2.9306666666666668E-2"/>
    <n v="-0.63576622957303253"/>
  </r>
  <r>
    <s v="P204"/>
    <x v="2"/>
    <d v="2025-01-01T00:00:00"/>
    <s v="Carousel"/>
    <s v="Check out our latest carousel on instagram!"/>
    <n v="2234"/>
    <n v="653"/>
    <n v="432"/>
    <n v="11170"/>
    <n v="10569"/>
    <n v="198"/>
    <s v="#FutureOfDriving"/>
    <m/>
    <m/>
    <x v="2"/>
    <n v="0.29713518352730528"/>
    <s v="#FutureOfDriving"/>
    <d v="2024-12-25T00:00:00"/>
    <d v="2025-01-10T00:00:00"/>
    <s v="During Campaign"/>
    <n v="3517"/>
    <n v="0.15624987819229372"/>
    <n v="0.12862509969572913"/>
    <n v="-0.21476973438242425"/>
    <n v="250000"/>
    <n v="1.4068000000000001E-2"/>
    <n v="-0.21476973438242425"/>
  </r>
  <r>
    <s v="P205"/>
    <x v="0"/>
    <d v="2025-04-24T00:00:00"/>
    <s v="Video"/>
    <s v="Check out our latest video on twitter!"/>
    <n v="3820"/>
    <n v="697"/>
    <n v="268"/>
    <n v="45840"/>
    <n v="45631"/>
    <n v="171"/>
    <s v="#TeslaCoInnovation"/>
    <s v="#SmoothLikeNitroTesla"/>
    <m/>
    <x v="3"/>
    <n v="0.1043848167539267"/>
    <s v="#TeslaCoInnovation, #SmoothLikeNitroTesla"/>
    <d v="2025-03-01T00:00:00"/>
    <d v="2025-03-31T00:00:00"/>
    <s v="Before Campaign"/>
    <n v="4956"/>
    <n v="0.16577576192954613"/>
    <n v="0.26992602869920262"/>
    <n v="0.3858474385429439"/>
    <n v="180000"/>
    <n v="2.7533333333333333E-2"/>
    <n v="0.3858474385429439"/>
  </r>
  <r>
    <s v="P206"/>
    <x v="0"/>
    <d v="2024-06-24T00:00:00"/>
    <s v="Text"/>
    <s v="Check out our latest text on twitter!"/>
    <n v="941"/>
    <n v="121"/>
    <n v="458"/>
    <n v="14115"/>
    <n v="13838"/>
    <n v="87"/>
    <s v="#EVRevolution"/>
    <m/>
    <m/>
    <x v="0"/>
    <n v="0.10768685795253277"/>
    <s v="#EVRevolution"/>
    <d v="2024-06-15T00:00:00"/>
    <d v="2024-07-15T00:00:00"/>
    <s v="During Campaign"/>
    <n v="1607"/>
    <n v="0.14589014640551859"/>
    <n v="0.18248726684213382"/>
    <n v="0.20054615902749359"/>
    <n v="150000"/>
    <n v="1.0713333333333333E-2"/>
    <n v="0.20054615902749359"/>
  </r>
  <r>
    <s v="P207"/>
    <x v="0"/>
    <d v="2024-12-29T00:00:00"/>
    <s v="Carousel"/>
    <s v="Check out our latest carousel on twitter!"/>
    <n v="4274"/>
    <n v="340"/>
    <n v="281"/>
    <n v="34192"/>
    <n v="33446"/>
    <n v="129"/>
    <s v="#TeslaCoInnovation"/>
    <s v="#SmoothLikeNitroTesla"/>
    <m/>
    <x v="2"/>
    <n v="0.14316214319138981"/>
    <s v="#TeslaCoInnovation, #SmoothLikeNitroTesla"/>
    <d v="2024-12-25T00:00:00"/>
    <d v="2025-01-10T00:00:00"/>
    <s v="During Campaign"/>
    <n v="5024"/>
    <n v="0.16598010694674453"/>
    <n v="0.1599470461706862"/>
    <n v="-3.7719113422202265E-2"/>
    <n v="250000"/>
    <n v="2.0095999999999999E-2"/>
    <n v="-3.7719113422202265E-2"/>
  </r>
  <r>
    <s v="P208"/>
    <x v="1"/>
    <d v="2024-06-24T00:00:00"/>
    <s v="Video"/>
    <s v="Check out our latest video on youtube!"/>
    <n v="2949"/>
    <n v="476"/>
    <n v="403"/>
    <n v="44235"/>
    <n v="43705"/>
    <n v="135"/>
    <s v="#TeslaCoInnovation"/>
    <m/>
    <m/>
    <x v="1"/>
    <n v="8.6537809426924378E-2"/>
    <s v="#TeslaCoInnovation"/>
    <d v="2024-10-01T00:00:00"/>
    <d v="2024-10-31T00:00:00"/>
    <s v="Before Campaign"/>
    <n v="3963"/>
    <n v="0.17684440171665539"/>
    <n v="0.13843715187046665"/>
    <n v="-0.27743455660028143"/>
    <n v="200000"/>
    <n v="1.9814999999999999E-2"/>
    <n v="-0.27743455660028143"/>
  </r>
  <r>
    <s v="P209"/>
    <x v="0"/>
    <d v="2025-03-19T00:00:00"/>
    <s v="Video"/>
    <s v="Check out our latest video on twitter!"/>
    <n v="3160"/>
    <n v="204"/>
    <n v="297"/>
    <n v="44240"/>
    <n v="43666"/>
    <n v="49"/>
    <s v="#FutureOfDriving"/>
    <s v="#AnytimeIsTeslaTime"/>
    <m/>
    <x v="3"/>
    <n v="8.2753164556962022E-2"/>
    <s v="#FutureOfDriving, #AnytimeIsTeslaTime"/>
    <d v="2025-03-01T00:00:00"/>
    <d v="2025-03-31T00:00:00"/>
    <s v="During Campaign"/>
    <n v="3710"/>
    <n v="0.18328719029536797"/>
    <n v="0.19736613063830261"/>
    <n v="7.1334125553365615E-2"/>
    <n v="180000"/>
    <n v="2.0611111111111111E-2"/>
    <n v="7.1334125553365615E-2"/>
  </r>
  <r>
    <s v="P210"/>
    <x v="1"/>
    <d v="2025-02-19T00:00:00"/>
    <s v="Image"/>
    <s v="Check out our latest image on youtube!"/>
    <n v="257"/>
    <n v="966"/>
    <n v="398"/>
    <n v="3341"/>
    <n v="2753"/>
    <n v="287"/>
    <s v="#FutureOfDriving"/>
    <m/>
    <m/>
    <x v="0"/>
    <n v="0.48518407662376534"/>
    <s v="#FutureOfDriving"/>
    <d v="2024-06-15T00:00:00"/>
    <d v="2024-07-15T00:00:00"/>
    <s v="Before Campaign"/>
    <n v="1908"/>
    <n v="0.17483947488133067"/>
    <n v="0.11876530041014544"/>
    <n v="-0.47214274099874326"/>
    <n v="150000"/>
    <n v="1.272E-2"/>
    <n v="-0.47214274099874326"/>
  </r>
  <r>
    <s v="P211"/>
    <x v="0"/>
    <d v="2024-07-18T00:00:00"/>
    <s v="Carousel"/>
    <s v="Check out our latest carousel on twitter!"/>
    <n v="2120"/>
    <n v="38"/>
    <n v="212"/>
    <n v="12720"/>
    <n v="12564"/>
    <n v="21"/>
    <s v="#FutureOfDriving"/>
    <m/>
    <m/>
    <x v="3"/>
    <n v="0.18632075471698112"/>
    <s v="#FutureOfDriving"/>
    <d v="2025-03-01T00:00:00"/>
    <d v="2025-03-31T00:00:00"/>
    <s v="Before Campaign"/>
    <n v="2391"/>
    <n v="0.17202103783578743"/>
    <n v="6.6485309831204487E-2"/>
    <n v="-1.5873540827668726"/>
    <n v="180000"/>
    <n v="1.3283333333333333E-2"/>
    <n v="-1.5873540827668726"/>
  </r>
  <r>
    <s v="P212"/>
    <x v="1"/>
    <d v="2025-03-03T00:00:00"/>
    <s v="Video"/>
    <s v="Check out our latest video on youtube!"/>
    <n v="3874"/>
    <n v="884"/>
    <n v="19"/>
    <n v="38740"/>
    <n v="38552"/>
    <n v="219"/>
    <s v="#TeslaCoInnovation"/>
    <m/>
    <m/>
    <x v="1"/>
    <n v="0.123309241094476"/>
    <s v="#TeslaCoInnovation"/>
    <d v="2024-10-01T00:00:00"/>
    <d v="2024-10-31T00:00:00"/>
    <s v="Before Campaign"/>
    <n v="4996"/>
    <n v="0.17413367685954148"/>
    <n v="0.12154476299349526"/>
    <n v="-0.43267116221914587"/>
    <n v="200000"/>
    <n v="2.4979999999999999E-2"/>
    <n v="-0.43267116221914587"/>
  </r>
  <r>
    <s v="P213"/>
    <x v="3"/>
    <d v="2025-05-01T00:00:00"/>
    <s v="Carousel"/>
    <s v="Check out our latest carousel on facebook!"/>
    <n v="2696"/>
    <n v="628"/>
    <n v="443"/>
    <n v="45832"/>
    <n v="45632"/>
    <n v="248"/>
    <s v="#EVRevolution"/>
    <m/>
    <m/>
    <x v="3"/>
    <n v="8.21914819340199E-2"/>
    <s v="#EVRevolution"/>
    <d v="2025-03-01T00:00:00"/>
    <d v="2025-03-31T00:00:00"/>
    <s v="Before Campaign"/>
    <n v="4015"/>
    <n v="0.18128714366871443"/>
    <n v="0.10890508192920684"/>
    <n v="-0.66463438121794138"/>
    <n v="180000"/>
    <n v="2.2305555555555554E-2"/>
    <n v="-0.66463438121794138"/>
  </r>
  <r>
    <s v="P214"/>
    <x v="2"/>
    <d v="2024-12-23T00:00:00"/>
    <s v="Image"/>
    <s v="Check out our latest image on instagram!"/>
    <n v="521"/>
    <n v="746"/>
    <n v="315"/>
    <n v="4168"/>
    <n v="3399"/>
    <n v="282"/>
    <s v="#FutureOfDriving"/>
    <m/>
    <m/>
    <x v="1"/>
    <n v="0.37955854126679461"/>
    <s v="#FutureOfDriving"/>
    <d v="2024-10-01T00:00:00"/>
    <d v="2024-10-31T00:00:00"/>
    <s v="Before Campaign"/>
    <n v="1864"/>
    <n v="0.14394278901427343"/>
    <n v="0.16104505425851093"/>
    <n v="0.10619553219426901"/>
    <n v="200000"/>
    <n v="9.3200000000000002E-3"/>
    <n v="0.10619553219426901"/>
  </r>
  <r>
    <s v="P215"/>
    <x v="3"/>
    <d v="2025-05-06T00:00:00"/>
    <s v="Image"/>
    <s v="Check out our latest image on facebook!"/>
    <n v="4872"/>
    <n v="925"/>
    <n v="176"/>
    <n v="82824"/>
    <n v="82543"/>
    <n v="89"/>
    <s v="#EVRevolution"/>
    <m/>
    <m/>
    <x v="1"/>
    <n v="7.2116777745580993E-2"/>
    <s v="#EVRevolution"/>
    <d v="2024-10-01T00:00:00"/>
    <d v="2024-10-31T00:00:00"/>
    <s v="Before Campaign"/>
    <n v="6062"/>
    <n v="0.14968403327414928"/>
    <n v="0.43878248997001484"/>
    <n v="0.65886507165685149"/>
    <n v="200000"/>
    <n v="3.031E-2"/>
    <n v="0.65886507165685149"/>
  </r>
  <r>
    <s v="P216"/>
    <x v="1"/>
    <d v="2024-07-29T00:00:00"/>
    <s v="Story"/>
    <s v="Check out our latest story on youtube!"/>
    <n v="1509"/>
    <n v="88"/>
    <n v="163"/>
    <n v="30180"/>
    <n v="29689"/>
    <n v="119"/>
    <s v="#EVRevolution"/>
    <m/>
    <m/>
    <x v="1"/>
    <n v="5.8316766070245198E-2"/>
    <s v="#EVRevolution"/>
    <d v="2024-10-01T00:00:00"/>
    <d v="2024-10-31T00:00:00"/>
    <s v="Before Campaign"/>
    <n v="1879"/>
    <n v="0.16433446186530148"/>
    <n v="0.40503371618131978"/>
    <n v="0.59426967360975314"/>
    <n v="200000"/>
    <n v="9.3950000000000006E-3"/>
    <n v="0.59426967360975314"/>
  </r>
  <r>
    <s v="P217"/>
    <x v="3"/>
    <d v="2024-12-03T00:00:00"/>
    <s v="Image"/>
    <s v="Check out our latest image on facebook!"/>
    <n v="4606"/>
    <n v="931"/>
    <n v="230"/>
    <n v="92120"/>
    <n v="91440"/>
    <n v="56"/>
    <s v="#TeslaCoInnovation"/>
    <m/>
    <m/>
    <x v="4"/>
    <n v="6.2603126356925748E-2"/>
    <s v="#TeslaCoInnovation"/>
    <e v="#N/A"/>
    <e v="#N/A"/>
    <e v="#N/A"/>
    <n v="5823"/>
    <n v="0.16737999571053158"/>
    <n v="0.13888095675500142"/>
    <n v="-0.20520480000584274"/>
    <n v="0"/>
    <n v="0"/>
    <n v="-0.20520480000584274"/>
  </r>
  <r>
    <s v="P218"/>
    <x v="3"/>
    <d v="2024-06-11T00:00:00"/>
    <s v="Carousel"/>
    <s v="Check out our latest carousel on facebook!"/>
    <n v="1869"/>
    <n v="453"/>
    <n v="490"/>
    <n v="14952"/>
    <n v="14309"/>
    <n v="275"/>
    <s v="#TeslaCoInnovation"/>
    <m/>
    <m/>
    <x v="3"/>
    <n v="0.18806848582129482"/>
    <s v="#TeslaCoInnovation"/>
    <d v="2025-03-01T00:00:00"/>
    <d v="2025-03-31T00:00:00"/>
    <s v="Before Campaign"/>
    <n v="3087"/>
    <n v="0.15819064110023684"/>
    <n v="0.10624989825139947"/>
    <n v="-0.4888545184856517"/>
    <n v="180000"/>
    <n v="1.7149999999999999E-2"/>
    <n v="-0.4888545184856517"/>
  </r>
  <r>
    <s v="P219"/>
    <x v="0"/>
    <d v="2025-01-28T00:00:00"/>
    <s v="Reel"/>
    <s v="Check out our latest reel on twitter!"/>
    <n v="1188"/>
    <n v="470"/>
    <n v="174"/>
    <n v="7128"/>
    <n v="6145"/>
    <n v="270"/>
    <s v="#TeslaCoInnovation"/>
    <m/>
    <m/>
    <x v="3"/>
    <n v="0.25701459034792368"/>
    <s v="#TeslaCoInnovation"/>
    <d v="2025-03-01T00:00:00"/>
    <d v="2025-03-31T00:00:00"/>
    <s v="Before Campaign"/>
    <n v="2102"/>
    <n v="0.17193733282237"/>
    <n v="0.22050554558651961"/>
    <n v="0.22025846395365567"/>
    <n v="180000"/>
    <n v="1.1677777777777778E-2"/>
    <n v="0.22025846395365567"/>
  </r>
  <r>
    <s v="P220"/>
    <x v="2"/>
    <d v="2024-06-02T00:00:00"/>
    <s v="Story"/>
    <s v="Check out our latest story on instagram!"/>
    <n v="84"/>
    <n v="897"/>
    <n v="85"/>
    <n v="588"/>
    <n v="8"/>
    <n v="12"/>
    <s v="#EVRevolution"/>
    <m/>
    <m/>
    <x v="4"/>
    <n v="1.8129251700680271"/>
    <s v="#EVRevolution"/>
    <e v="#N/A"/>
    <e v="#N/A"/>
    <e v="#N/A"/>
    <n v="1078"/>
    <n v="0.14389203661252489"/>
    <n v="0.15005238952461708"/>
    <n v="4.1054680512645492E-2"/>
    <n v="0"/>
    <n v="0"/>
    <n v="4.1054680512645492E-2"/>
  </r>
  <r>
    <s v="P221"/>
    <x v="3"/>
    <d v="2025-03-23T00:00:00"/>
    <s v="Video"/>
    <s v="Check out our latest video on facebook!"/>
    <n v="4453"/>
    <n v="111"/>
    <n v="420"/>
    <n v="31171"/>
    <n v="30565"/>
    <n v="23"/>
    <s v="#TeslaCoInnovation"/>
    <m/>
    <m/>
    <x v="4"/>
    <n v="0.15989220750056141"/>
    <s v="#TeslaCoInnovation"/>
    <e v="#N/A"/>
    <e v="#N/A"/>
    <e v="#N/A"/>
    <n v="5007"/>
    <n v="0.14850985722089158"/>
    <n v="0.14733261244574328"/>
    <n v="-7.9903882487784763E-3"/>
    <n v="0"/>
    <n v="0"/>
    <n v="-7.9903882487784763E-3"/>
  </r>
  <r>
    <s v="P222"/>
    <x v="3"/>
    <d v="2024-10-08T00:00:00"/>
    <s v="Reel"/>
    <s v="Check out our latest reel on facebook!"/>
    <n v="1814"/>
    <n v="653"/>
    <n v="363"/>
    <n v="25396"/>
    <n v="25286"/>
    <n v="39"/>
    <s v="#FutureOfDriving"/>
    <s v="#SmoothLikeNitroTesla"/>
    <m/>
    <x v="0"/>
    <n v="0.11143487163332809"/>
    <s v="#FutureOfDriving, #SmoothLikeNitroTesla"/>
    <d v="2024-06-15T00:00:00"/>
    <d v="2024-07-15T00:00:00"/>
    <s v="Before Campaign"/>
    <n v="2869"/>
    <n v="0.14242463266550368"/>
    <n v="0.12920039919101373"/>
    <n v="-0.10235443200867242"/>
    <n v="150000"/>
    <n v="1.9126666666666667E-2"/>
    <n v="-0.10235443200867242"/>
  </r>
  <r>
    <s v="P223"/>
    <x v="0"/>
    <d v="2024-11-12T00:00:00"/>
    <s v="Image"/>
    <s v="Check out our latest image on twitter!"/>
    <n v="3338"/>
    <n v="277"/>
    <n v="118"/>
    <n v="60084"/>
    <n v="59842"/>
    <n v="252"/>
    <s v="#TeslaCoInnovation"/>
    <m/>
    <m/>
    <x v="4"/>
    <n v="6.2129685107516146E-2"/>
    <s v="#TeslaCoInnovation"/>
    <e v="#N/A"/>
    <e v="#N/A"/>
    <e v="#N/A"/>
    <n v="3985"/>
    <n v="0.14183250504664499"/>
    <n v="0.11491146613886451"/>
    <n v="-0.23427635041439479"/>
    <n v="0"/>
    <n v="0"/>
    <n v="-0.23427635041439479"/>
  </r>
  <r>
    <s v="P224"/>
    <x v="3"/>
    <d v="2025-05-13T00:00:00"/>
    <s v="Image"/>
    <s v="Check out our latest image on facebook!"/>
    <n v="602"/>
    <n v="594"/>
    <n v="156"/>
    <n v="4214"/>
    <n v="3363"/>
    <n v="164"/>
    <s v="#TeslaCoInnovation"/>
    <m/>
    <m/>
    <x v="2"/>
    <n v="0.32083531086853345"/>
    <s v="#TeslaCoInnovation"/>
    <d v="2024-12-25T00:00:00"/>
    <d v="2025-01-10T00:00:00"/>
    <s v="Before Campaign"/>
    <n v="1516"/>
    <n v="0.13900990586684933"/>
    <n v="0.22690766370091059"/>
    <n v="0.38737236283883397"/>
    <n v="250000"/>
    <n v="6.0639999999999999E-3"/>
    <n v="0.38737236283883397"/>
  </r>
  <r>
    <s v="P225"/>
    <x v="0"/>
    <d v="2024-06-20T00:00:00"/>
    <s v="Carousel"/>
    <s v="Check out our latest carousel on twitter!"/>
    <n v="4672"/>
    <n v="325"/>
    <n v="32"/>
    <n v="88768"/>
    <n v="87833"/>
    <n v="118"/>
    <s v="#EVRevolution"/>
    <m/>
    <m/>
    <x v="4"/>
    <n v="5.6653298485940883E-2"/>
    <s v="#EVRevolution"/>
    <e v="#N/A"/>
    <e v="#N/A"/>
    <e v="#N/A"/>
    <n v="5147"/>
    <n v="0.14200896803641996"/>
    <n v="0.23113793573217234"/>
    <n v="0.38560943020201255"/>
    <n v="0"/>
    <n v="0"/>
    <n v="0.38560943020201255"/>
  </r>
  <r>
    <s v="P226"/>
    <x v="2"/>
    <d v="2024-08-07T00:00:00"/>
    <s v="Carousel"/>
    <s v="Check out our latest carousel on instagram!"/>
    <n v="1741"/>
    <n v="164"/>
    <n v="318"/>
    <n v="8705"/>
    <n v="8272"/>
    <n v="121"/>
    <s v="#TeslaCoInnovation"/>
    <m/>
    <m/>
    <x v="4"/>
    <n v="0.25537047673750718"/>
    <s v="#TeslaCoInnovation"/>
    <e v="#N/A"/>
    <e v="#N/A"/>
    <e v="#N/A"/>
    <n v="2344"/>
    <n v="0.14450607045164326"/>
    <n v="0.12076204037060141"/>
    <n v="-0.1966183248326612"/>
    <n v="0"/>
    <n v="0"/>
    <n v="-0.1966183248326612"/>
  </r>
  <r>
    <s v="P227"/>
    <x v="2"/>
    <d v="2024-06-12T00:00:00"/>
    <s v="Text"/>
    <s v="Check out our latest text on instagram!"/>
    <n v="246"/>
    <n v="149"/>
    <n v="130"/>
    <n v="4674"/>
    <n v="4390"/>
    <n v="217"/>
    <s v="#FutureOfDriving"/>
    <m/>
    <m/>
    <x v="2"/>
    <n v="0.11232349165596919"/>
    <s v="#FutureOfDriving"/>
    <d v="2024-12-25T00:00:00"/>
    <d v="2025-01-10T00:00:00"/>
    <s v="Before Campaign"/>
    <n v="742"/>
    <n v="0.13421775955648396"/>
    <n v="0.22014602733826666"/>
    <n v="0.39032395369891965"/>
    <n v="250000"/>
    <n v="2.9680000000000002E-3"/>
    <n v="0.39032395369891965"/>
  </r>
  <r>
    <s v="P228"/>
    <x v="2"/>
    <d v="2024-07-01T00:00:00"/>
    <s v="Story"/>
    <s v="Check out our latest story on instagram!"/>
    <n v="4808"/>
    <n v="772"/>
    <n v="320"/>
    <n v="72120"/>
    <n v="71696"/>
    <n v="195"/>
    <s v="#EVRevolution"/>
    <m/>
    <m/>
    <x v="0"/>
    <n v="8.1808097615085965E-2"/>
    <s v="#EVRevolution"/>
    <d v="2024-06-15T00:00:00"/>
    <d v="2024-07-15T00:00:00"/>
    <s v="During Campaign"/>
    <n v="6095"/>
    <n v="0.15013468698603485"/>
    <n v="0.21156201538498931"/>
    <n v="0.29035140493992867"/>
    <n v="150000"/>
    <n v="4.0633333333333334E-2"/>
    <n v="0.29035140493992867"/>
  </r>
  <r>
    <s v="P229"/>
    <x v="2"/>
    <d v="2024-07-03T00:00:00"/>
    <s v="Carousel"/>
    <s v="Check out our latest carousel on instagram!"/>
    <n v="4799"/>
    <n v="694"/>
    <n v="289"/>
    <n v="43191"/>
    <n v="42228"/>
    <n v="118"/>
    <s v="#TeslaCoInnovation"/>
    <m/>
    <m/>
    <x v="4"/>
    <n v="0.13387048227640017"/>
    <s v="#TeslaCoInnovation"/>
    <e v="#N/A"/>
    <e v="#N/A"/>
    <e v="#N/A"/>
    <n v="5900"/>
    <n v="0.1429851527152016"/>
    <n v="0.10250215297692136"/>
    <n v="-0.39494779926617823"/>
    <n v="0"/>
    <n v="0"/>
    <n v="-0.39494779926617823"/>
  </r>
  <r>
    <s v="P230"/>
    <x v="3"/>
    <d v="2024-07-15T00:00:00"/>
    <s v="Reel"/>
    <s v="Check out our latest reel on facebook!"/>
    <n v="3663"/>
    <n v="17"/>
    <n v="295"/>
    <n v="51282"/>
    <n v="50567"/>
    <n v="84"/>
    <s v="#EVRevolution"/>
    <m/>
    <m/>
    <x v="2"/>
    <n v="7.7512577512577507E-2"/>
    <s v="#EVRevolution"/>
    <d v="2024-12-25T00:00:00"/>
    <d v="2025-01-10T00:00:00"/>
    <s v="Before Campaign"/>
    <n v="4059"/>
    <n v="0.14795032502725772"/>
    <n v="0.11458640927554604"/>
    <n v="-0.29116817572563458"/>
    <n v="250000"/>
    <n v="1.6236E-2"/>
    <n v="-0.29116817572563458"/>
  </r>
  <r>
    <s v="P231"/>
    <x v="2"/>
    <d v="2025-05-01T00:00:00"/>
    <s v="Text"/>
    <s v="Check out our latest text on instagram!"/>
    <n v="1430"/>
    <n v="376"/>
    <n v="33"/>
    <n v="21450"/>
    <n v="20509"/>
    <n v="251"/>
    <s v="#FutureOfDriving"/>
    <m/>
    <m/>
    <x v="0"/>
    <n v="8.5734265734265735E-2"/>
    <s v="#FutureOfDriving"/>
    <d v="2024-06-15T00:00:00"/>
    <d v="2024-07-15T00:00:00"/>
    <s v="Before Campaign"/>
    <n v="2090"/>
    <n v="0.15826857100261998"/>
    <n v="0.14679490887168109"/>
    <n v="-7.8161172067407664E-2"/>
    <n v="150000"/>
    <n v="1.3933333333333334E-2"/>
    <n v="-7.8161172067407664E-2"/>
  </r>
  <r>
    <s v="P232"/>
    <x v="0"/>
    <d v="2025-04-29T00:00:00"/>
    <s v="Story"/>
    <s v="Check out our latest story on twitter!"/>
    <n v="249"/>
    <n v="592"/>
    <n v="230"/>
    <n v="1494"/>
    <n v="1044"/>
    <n v="201"/>
    <s v="#EVRevolution"/>
    <m/>
    <m/>
    <x v="3"/>
    <n v="0.7168674698795181"/>
    <s v="#EVRevolution"/>
    <d v="2025-03-01T00:00:00"/>
    <d v="2025-03-31T00:00:00"/>
    <s v="Before Campaign"/>
    <n v="1272"/>
    <n v="0.14187353036296516"/>
    <n v="0.16066860434382985"/>
    <n v="0.11698037745223296"/>
    <n v="180000"/>
    <n v="7.0666666666666664E-3"/>
    <n v="0.11698037745223296"/>
  </r>
  <r>
    <s v="P233"/>
    <x v="3"/>
    <d v="2025-03-08T00:00:00"/>
    <s v="Image"/>
    <s v="Check out our latest image on facebook!"/>
    <n v="2382"/>
    <n v="265"/>
    <n v="134"/>
    <n v="38112"/>
    <n v="37437"/>
    <n v="249"/>
    <s v="#FutureOfDriving"/>
    <m/>
    <m/>
    <x v="3"/>
    <n v="7.2969143576826198E-2"/>
    <s v="#FutureOfDriving"/>
    <d v="2025-03-01T00:00:00"/>
    <d v="2025-03-31T00:00:00"/>
    <s v="During Campaign"/>
    <n v="3030"/>
    <n v="0.14025837424706533"/>
    <n v="9.3493893358788369E-2"/>
    <n v="-0.50018754389461018"/>
    <n v="180000"/>
    <n v="1.6833333333333332E-2"/>
    <n v="-0.50018754389461018"/>
  </r>
  <r>
    <s v="P234"/>
    <x v="3"/>
    <d v="2024-06-01T00:00:00"/>
    <s v="Text"/>
    <s v="Check out our latest text on facebook!"/>
    <n v="1272"/>
    <n v="465"/>
    <n v="99"/>
    <n v="24168"/>
    <n v="23719"/>
    <n v="42"/>
    <s v="#TeslaCoInnovation"/>
    <m/>
    <m/>
    <x v="4"/>
    <n v="7.5968222442899705E-2"/>
    <s v="#TeslaCoInnovation"/>
    <e v="#N/A"/>
    <e v="#N/A"/>
    <e v="#N/A"/>
    <n v="1878"/>
    <n v="0.12538117142917493"/>
    <n v="0.11651711544802561"/>
    <n v="-7.6075140953032638E-2"/>
    <n v="0"/>
    <n v="0"/>
    <n v="-7.6075140953032638E-2"/>
  </r>
  <r>
    <s v="P235"/>
    <x v="3"/>
    <d v="2024-12-22T00:00:00"/>
    <s v="Image"/>
    <s v="Check out our latest image on facebook!"/>
    <n v="3196"/>
    <n v="941"/>
    <n v="376"/>
    <n v="35156"/>
    <n v="34444"/>
    <n v="241"/>
    <s v="#TeslaCoInnovation"/>
    <m/>
    <m/>
    <x v="2"/>
    <n v="0.1283706906360223"/>
    <s v="#TeslaCoInnovation"/>
    <d v="2024-12-25T00:00:00"/>
    <d v="2025-01-10T00:00:00"/>
    <s v="Before Campaign"/>
    <n v="4754"/>
    <n v="0.13972516591089096"/>
    <n v="0.14734219621722497"/>
    <n v="5.1696190920788955E-2"/>
    <n v="250000"/>
    <n v="1.9016000000000002E-2"/>
    <n v="5.1696190920788955E-2"/>
  </r>
  <r>
    <s v="P236"/>
    <x v="3"/>
    <d v="2024-08-19T00:00:00"/>
    <s v="Text"/>
    <s v="Check out our latest text on facebook!"/>
    <n v="1257"/>
    <n v="19"/>
    <n v="351"/>
    <n v="12570"/>
    <n v="11660"/>
    <n v="194"/>
    <s v="#FutureOfDriving"/>
    <s v="#AnytimeIsTeslaTime"/>
    <s v="#EVRevolution"/>
    <x v="1"/>
    <n v="0.12943516308671441"/>
    <s v="#FutureOfDriving, #AnytimeIsTeslaTime, #EVRevolution"/>
    <d v="2024-10-01T00:00:00"/>
    <d v="2024-10-31T00:00:00"/>
    <s v="Before Campaign"/>
    <n v="1821"/>
    <n v="0.136666656901273"/>
    <n v="0.18032640917451545"/>
    <n v="0.24211513151681305"/>
    <n v="200000"/>
    <n v="9.1050000000000002E-3"/>
    <n v="0.24211513151681305"/>
  </r>
  <r>
    <s v="P237"/>
    <x v="2"/>
    <d v="2024-10-22T00:00:00"/>
    <s v="Story"/>
    <s v="Check out our latest story on instagram!"/>
    <n v="3770"/>
    <n v="917"/>
    <n v="129"/>
    <n v="71630"/>
    <n v="71322"/>
    <n v="76"/>
    <s v="#FutureOfDriving"/>
    <m/>
    <m/>
    <x v="0"/>
    <n v="6.7234398994834563E-2"/>
    <s v="#FutureOfDriving"/>
    <d v="2024-06-15T00:00:00"/>
    <d v="2024-07-15T00:00:00"/>
    <s v="Before Campaign"/>
    <n v="4892"/>
    <n v="0.14408692111843668"/>
    <n v="0.26915175460605173"/>
    <n v="0.46466289499270846"/>
    <n v="150000"/>
    <n v="3.2613333333333334E-2"/>
    <n v="0.46466289499270846"/>
  </r>
  <r>
    <s v="P238"/>
    <x v="0"/>
    <d v="2024-07-16T00:00:00"/>
    <s v="Text"/>
    <s v="Check out our latest text on twitter!"/>
    <n v="4725"/>
    <n v="400"/>
    <n v="362"/>
    <n v="75600"/>
    <n v="74927"/>
    <n v="43"/>
    <s v="#FutureOfDriving"/>
    <m/>
    <m/>
    <x v="3"/>
    <n v="7.2579365079365077E-2"/>
    <s v="#FutureOfDriving"/>
    <d v="2025-03-01T00:00:00"/>
    <d v="2025-03-31T00:00:00"/>
    <s v="Before Campaign"/>
    <n v="5530"/>
    <n v="0.13981555679156313"/>
    <n v="0.17875491986596034"/>
    <n v="0.21783659495132193"/>
    <n v="180000"/>
    <n v="3.0722222222222224E-2"/>
    <n v="0.21783659495132193"/>
  </r>
  <r>
    <s v="P239"/>
    <x v="1"/>
    <d v="2025-02-24T00:00:00"/>
    <s v="Text"/>
    <s v="Check out our latest text on youtube!"/>
    <n v="4188"/>
    <n v="942"/>
    <n v="118"/>
    <n v="20940"/>
    <n v="20471"/>
    <n v="102"/>
    <s v="#FutureOfDriving"/>
    <m/>
    <m/>
    <x v="4"/>
    <n v="0.25062082139446035"/>
    <s v="#FutureOfDriving"/>
    <e v="#N/A"/>
    <e v="#N/A"/>
    <e v="#N/A"/>
    <n v="5350"/>
    <n v="0.13491271119083223"/>
    <n v="0.12552775159085475"/>
    <n v="-7.4764022146806441E-2"/>
    <n v="0"/>
    <n v="0"/>
    <n v="-7.4764022146806441E-2"/>
  </r>
  <r>
    <s v="P240"/>
    <x v="0"/>
    <d v="2024-08-26T00:00:00"/>
    <s v="Carousel"/>
    <s v="Check out our latest carousel on twitter!"/>
    <n v="929"/>
    <n v="192"/>
    <n v="322"/>
    <n v="16722"/>
    <n v="15996"/>
    <n v="145"/>
    <s v="#EVRevolution"/>
    <s v="#TeslaCoInnovation"/>
    <s v="#AnytimeIsTeslaTime"/>
    <x v="2"/>
    <n v="8.6293505561535699E-2"/>
    <s v="#EVRevolution, #TeslaCoInnovation, #AnytimeIsTeslaTime"/>
    <d v="2024-12-25T00:00:00"/>
    <d v="2025-01-10T00:00:00"/>
    <s v="Before Campaign"/>
    <n v="1588"/>
    <n v="0.14433913355638131"/>
    <n v="0.11763566519324298"/>
    <n v="-0.22700146523821577"/>
    <n v="250000"/>
    <n v="6.352E-3"/>
    <n v="-0.22700146523821577"/>
  </r>
  <r>
    <s v="P241"/>
    <x v="3"/>
    <d v="2025-01-18T00:00:00"/>
    <s v="Story"/>
    <s v="Check out our latest story on facebook!"/>
    <n v="4321"/>
    <n v="874"/>
    <n v="172"/>
    <n v="30247"/>
    <n v="29254"/>
    <n v="122"/>
    <s v="#TeslaCoInnovation"/>
    <m/>
    <m/>
    <x v="3"/>
    <n v="0.17743908486792079"/>
    <s v="#TeslaCoInnovation"/>
    <d v="2025-03-01T00:00:00"/>
    <d v="2025-03-31T00:00:00"/>
    <s v="Before Campaign"/>
    <n v="5489"/>
    <n v="0.14577487539113229"/>
    <n v="0.11786912866797361"/>
    <n v="-0.23675195565215873"/>
    <n v="180000"/>
    <n v="3.0494444444444446E-2"/>
    <n v="-0.23675195565215873"/>
  </r>
  <r>
    <s v="P242"/>
    <x v="3"/>
    <d v="2024-07-07T00:00:00"/>
    <s v="Reel"/>
    <s v="Check out our latest reel on facebook!"/>
    <n v="4767"/>
    <n v="190"/>
    <n v="340"/>
    <n v="28602"/>
    <n v="28044"/>
    <n v="210"/>
    <s v="#EVRevolution"/>
    <m/>
    <m/>
    <x v="2"/>
    <n v="0.18519683938186141"/>
    <s v="#EVRevolution"/>
    <d v="2024-12-25T00:00:00"/>
    <d v="2025-01-10T00:00:00"/>
    <s v="Before Campaign"/>
    <n v="5507"/>
    <n v="0.15136083229673955"/>
    <n v="0.14944387639879958"/>
    <n v="-1.2827262944012929E-2"/>
    <n v="250000"/>
    <n v="2.2027999999999999E-2"/>
    <n v="-1.2827262944012929E-2"/>
  </r>
  <r>
    <s v="P243"/>
    <x v="0"/>
    <d v="2025-03-06T00:00:00"/>
    <s v="Image"/>
    <s v="Check out our latest image on twitter!"/>
    <n v="3592"/>
    <n v="911"/>
    <n v="375"/>
    <n v="50288"/>
    <n v="49490"/>
    <n v="32"/>
    <s v="#FutureOfDriving"/>
    <m/>
    <m/>
    <x v="3"/>
    <n v="9.7001272669424113E-2"/>
    <s v="#FutureOfDriving"/>
    <d v="2025-03-01T00:00:00"/>
    <d v="2025-03-31T00:00:00"/>
    <s v="During Campaign"/>
    <n v="4910"/>
    <n v="0.14512048704938921"/>
    <n v="0.12285819769759365"/>
    <n v="-0.18120312497658911"/>
    <n v="180000"/>
    <n v="2.7277777777777779E-2"/>
    <n v="-0.18120312497658911"/>
  </r>
  <r>
    <s v="P244"/>
    <x v="1"/>
    <d v="2024-10-25T00:00:00"/>
    <s v="Video"/>
    <s v="Check out our latest video on youtube!"/>
    <n v="4661"/>
    <n v="935"/>
    <n v="433"/>
    <n v="23305"/>
    <n v="22583"/>
    <n v="63"/>
    <s v="#FutureOfDriving"/>
    <m/>
    <m/>
    <x v="2"/>
    <n v="0.25869984981763572"/>
    <s v="#FutureOfDriving"/>
    <d v="2024-12-25T00:00:00"/>
    <d v="2025-01-10T00:00:00"/>
    <s v="Before Campaign"/>
    <n v="6092"/>
    <n v="0.14097146740593072"/>
    <n v="0.14607517540114312"/>
    <n v="3.4938914029689801E-2"/>
    <n v="250000"/>
    <n v="2.4368000000000001E-2"/>
    <n v="3.4938914029689801E-2"/>
  </r>
  <r>
    <s v="P245"/>
    <x v="3"/>
    <d v="2025-01-12T00:00:00"/>
    <s v="Reel"/>
    <s v="Check out our latest reel on facebook!"/>
    <n v="4134"/>
    <n v="824"/>
    <n v="99"/>
    <n v="41340"/>
    <n v="41050"/>
    <n v="177"/>
    <s v="#EVRevolution"/>
    <m/>
    <m/>
    <x v="0"/>
    <n v="0.12232704402515723"/>
    <s v="#EVRevolution"/>
    <d v="2024-06-15T00:00:00"/>
    <d v="2024-07-15T00:00:00"/>
    <s v="Before Campaign"/>
    <n v="5234"/>
    <n v="0.1392957430923964"/>
    <n v="0.1105891780045879"/>
    <n v="-0.25957842897265754"/>
    <n v="150000"/>
    <n v="3.4893333333333332E-2"/>
    <n v="-0.25957842897265754"/>
  </r>
  <r>
    <s v="P246"/>
    <x v="3"/>
    <d v="2024-10-11T00:00:00"/>
    <s v="Image"/>
    <s v="Check out our latest image on facebook!"/>
    <n v="400"/>
    <n v="680"/>
    <n v="434"/>
    <n v="6400"/>
    <n v="5472"/>
    <n v="160"/>
    <s v="#FutureOfDriving"/>
    <m/>
    <m/>
    <x v="1"/>
    <n v="0.23656250000000001"/>
    <s v="#FutureOfDriving"/>
    <d v="2024-10-01T00:00:00"/>
    <d v="2024-10-31T00:00:00"/>
    <s v="During Campaign"/>
    <n v="1674"/>
    <n v="0.13271952261591363"/>
    <n v="0.12341821167492692"/>
    <n v="-7.5364168826927869E-2"/>
    <n v="200000"/>
    <n v="8.3700000000000007E-3"/>
    <n v="-7.5364168826927869E-2"/>
  </r>
  <r>
    <s v="P247"/>
    <x v="3"/>
    <d v="2024-08-27T00:00:00"/>
    <s v="Reel"/>
    <s v="Check out our latest reel on facebook!"/>
    <n v="3960"/>
    <n v="266"/>
    <n v="8"/>
    <n v="35640"/>
    <n v="34850"/>
    <n v="208"/>
    <s v="#FutureOfDriving"/>
    <s v="#EVRevolution"/>
    <s v="#BetterWithTesla"/>
    <x v="4"/>
    <n v="0.11879910213243547"/>
    <s v="#FutureOfDriving, #EVRevolution, #BetterWithTesla"/>
    <e v="#N/A"/>
    <e v="#N/A"/>
    <e v="#N/A"/>
    <n v="4442"/>
    <n v="0.13436468297022658"/>
    <n v="0.16975232320915018"/>
    <n v="0.20846630885471201"/>
    <n v="0"/>
    <n v="0"/>
    <n v="0.20846630885471201"/>
  </r>
  <r>
    <s v="P248"/>
    <x v="3"/>
    <d v="2025-02-02T00:00:00"/>
    <s v="Story"/>
    <s v="Check out our latest story on facebook!"/>
    <n v="886"/>
    <n v="126"/>
    <n v="153"/>
    <n v="4430"/>
    <n v="4037"/>
    <n v="212"/>
    <s v="#EVRevolution"/>
    <m/>
    <m/>
    <x v="4"/>
    <n v="0.26297968397291194"/>
    <s v="#EVRevolution"/>
    <e v="#N/A"/>
    <e v="#N/A"/>
    <e v="#N/A"/>
    <n v="1377"/>
    <n v="0.14046884369429199"/>
    <n v="0.15626390006509505"/>
    <n v="0.10107936871038858"/>
    <n v="0"/>
    <n v="0"/>
    <n v="0.10107936871038858"/>
  </r>
  <r>
    <s v="P249"/>
    <x v="0"/>
    <d v="2024-07-18T00:00:00"/>
    <s v="Image"/>
    <s v="Check out our latest image on twitter!"/>
    <n v="827"/>
    <n v="77"/>
    <n v="402"/>
    <n v="14886"/>
    <n v="14129"/>
    <n v="254"/>
    <s v="#EVRevolution"/>
    <m/>
    <m/>
    <x v="1"/>
    <n v="8.7733440816874911E-2"/>
    <s v="#EVRevolution"/>
    <d v="2024-10-01T00:00:00"/>
    <d v="2024-10-31T00:00:00"/>
    <s v="Before Campaign"/>
    <n v="1560"/>
    <n v="0.13888725538345539"/>
    <n v="0.11256332426931306"/>
    <n v="-0.23385886375531237"/>
    <n v="200000"/>
    <n v="7.7999999999999996E-3"/>
    <n v="-0.23385886375531237"/>
  </r>
  <r>
    <s v="P250"/>
    <x v="3"/>
    <d v="2024-06-22T00:00:00"/>
    <s v="Reel"/>
    <s v="Check out our latest reel on facebook!"/>
    <n v="3813"/>
    <n v="935"/>
    <n v="274"/>
    <n v="68634"/>
    <n v="68488"/>
    <n v="251"/>
    <s v="#FutureOfDriving"/>
    <m/>
    <m/>
    <x v="4"/>
    <n v="7.3170731707317069E-2"/>
    <s v="#FutureOfDriving"/>
    <e v="#N/A"/>
    <e v="#N/A"/>
    <e v="#N/A"/>
    <n v="5273"/>
    <n v="0.13329523279913943"/>
    <n v="0.13157092495322073"/>
    <n v="-1.3105538678334685E-2"/>
    <n v="0"/>
    <n v="0"/>
    <n v="-1.3105538678334685E-2"/>
  </r>
  <r>
    <s v="P251"/>
    <x v="2"/>
    <d v="2025-03-27T00:00:00"/>
    <s v="Carousel"/>
    <s v="Check out our latest carousel on instagram!"/>
    <n v="1377"/>
    <n v="796"/>
    <n v="387"/>
    <n v="22032"/>
    <n v="21869"/>
    <n v="189"/>
    <s v="#FutureOfDriving"/>
    <m/>
    <m/>
    <x v="4"/>
    <n v="0.11619462599854757"/>
    <s v="#FutureOfDriving"/>
    <e v="#N/A"/>
    <e v="#N/A"/>
    <e v="#N/A"/>
    <n v="2749"/>
    <n v="0.14536219194277936"/>
    <n v="8.8983598032318367E-2"/>
    <n v="-0.63358411164700923"/>
    <n v="0"/>
    <n v="0"/>
    <n v="-0.63358411164700923"/>
  </r>
  <r>
    <s v="P252"/>
    <x v="3"/>
    <d v="2025-04-28T00:00:00"/>
    <s v="Carousel"/>
    <s v="Check out our latest carousel on facebook!"/>
    <n v="2089"/>
    <n v="476"/>
    <n v="69"/>
    <n v="16712"/>
    <n v="16309"/>
    <n v="64"/>
    <s v="#FutureOfDriving"/>
    <m/>
    <m/>
    <x v="2"/>
    <n v="0.15761129727142173"/>
    <s v="#FutureOfDriving"/>
    <d v="2024-12-25T00:00:00"/>
    <d v="2025-01-10T00:00:00"/>
    <s v="Before Campaign"/>
    <n v="2698"/>
    <n v="0.14159399449308105"/>
    <n v="7.8655135909428422E-2"/>
    <n v="-0.80018752565791595"/>
    <n v="250000"/>
    <n v="1.0792E-2"/>
    <n v="-0.80018752565791595"/>
  </r>
  <r>
    <s v="P253"/>
    <x v="0"/>
    <d v="2024-08-03T00:00:00"/>
    <s v="Reel"/>
    <s v="Check out our latest reel on twitter!"/>
    <n v="3791"/>
    <n v="593"/>
    <n v="228"/>
    <n v="53074"/>
    <n v="52613"/>
    <n v="205"/>
    <s v="#EVRevolution"/>
    <m/>
    <m/>
    <x v="4"/>
    <n v="8.6897539284772202E-2"/>
    <s v="#EVRevolution"/>
    <e v="#N/A"/>
    <e v="#N/A"/>
    <e v="#N/A"/>
    <n v="4817"/>
    <n v="0.14102971637182002"/>
    <n v="0.12266352387397542"/>
    <n v="-0.14972823148888206"/>
    <n v="0"/>
    <n v="0"/>
    <n v="-0.14972823148888206"/>
  </r>
  <r>
    <s v="P254"/>
    <x v="0"/>
    <d v="2025-01-14T00:00:00"/>
    <s v="Image"/>
    <s v="Check out our latest image on twitter!"/>
    <n v="2692"/>
    <n v="115"/>
    <n v="64"/>
    <n v="21536"/>
    <n v="21120"/>
    <n v="224"/>
    <s v="#FutureOfDriving"/>
    <m/>
    <m/>
    <x v="1"/>
    <n v="0.13331166419019316"/>
    <s v="#FutureOfDriving"/>
    <d v="2024-10-01T00:00:00"/>
    <d v="2024-10-31T00:00:00"/>
    <s v="Before Campaign"/>
    <n v="3095"/>
    <n v="0.14801522214635826"/>
    <n v="0.16598043761011499"/>
    <n v="0.10823694480163196"/>
    <n v="200000"/>
    <n v="1.5474999999999999E-2"/>
    <n v="0.10823694480163196"/>
  </r>
  <r>
    <s v="P255"/>
    <x v="3"/>
    <d v="2025-04-03T00:00:00"/>
    <s v="Story"/>
    <s v="Check out our latest story on facebook!"/>
    <n v="3767"/>
    <n v="514"/>
    <n v="238"/>
    <n v="37670"/>
    <n v="36807"/>
    <n v="226"/>
    <s v="#FutureOfDriving"/>
    <m/>
    <m/>
    <x v="3"/>
    <n v="0.11996283514733209"/>
    <s v="#FutureOfDriving"/>
    <d v="2025-03-01T00:00:00"/>
    <d v="2025-03-31T00:00:00"/>
    <s v="Before Campaign"/>
    <n v="4745"/>
    <n v="0.14011263347410019"/>
    <n v="0.1601038886426166"/>
    <n v="0.12486426993126211"/>
    <n v="180000"/>
    <n v="2.6361111111111109E-2"/>
    <n v="0.12486426993126211"/>
  </r>
  <r>
    <s v="P256"/>
    <x v="1"/>
    <d v="2024-09-18T00:00:00"/>
    <s v="Carousel"/>
    <s v="Check out our latest carousel on youtube!"/>
    <n v="2143"/>
    <n v="12"/>
    <n v="204"/>
    <n v="40717"/>
    <n v="40125"/>
    <n v="248"/>
    <s v="#EVRevolution"/>
    <m/>
    <m/>
    <x v="1"/>
    <n v="5.7936488444630008E-2"/>
    <s v="#EVRevolution"/>
    <d v="2024-10-01T00:00:00"/>
    <d v="2024-10-31T00:00:00"/>
    <s v="Before Campaign"/>
    <n v="2607"/>
    <n v="0.14757902994719091"/>
    <n v="9.0725211177117113E-2"/>
    <n v="-0.62665953633419125"/>
    <n v="200000"/>
    <n v="1.3035E-2"/>
    <n v="-0.62665953633419125"/>
  </r>
  <r>
    <s v="P257"/>
    <x v="3"/>
    <d v="2025-04-06T00:00:00"/>
    <s v="Image"/>
    <s v="Check out our latest image on facebook!"/>
    <n v="3090"/>
    <n v="697"/>
    <n v="164"/>
    <n v="49440"/>
    <n v="48524"/>
    <n v="25"/>
    <s v="#EVRevolution"/>
    <s v="#EVRevolution"/>
    <s v="#BetterWithTesla"/>
    <x v="1"/>
    <n v="7.9915048543689318E-2"/>
    <s v="#EVRevolution, #EVRevolution, #BetterWithTesla"/>
    <d v="2024-10-01T00:00:00"/>
    <d v="2024-10-31T00:00:00"/>
    <s v="Before Campaign"/>
    <n v="3976"/>
    <n v="0.13793172873330925"/>
    <n v="0.1307545363115577"/>
    <n v="-5.4890580657561021E-2"/>
    <n v="200000"/>
    <n v="1.9879999999999998E-2"/>
    <n v="-5.4890580657561021E-2"/>
  </r>
  <r>
    <s v="P258"/>
    <x v="2"/>
    <d v="2024-08-05T00:00:00"/>
    <s v="Story"/>
    <s v="Check out our latest story on instagram!"/>
    <n v="3601"/>
    <n v="695"/>
    <n v="75"/>
    <n v="21606"/>
    <n v="21454"/>
    <n v="172"/>
    <s v="#EVRevolution"/>
    <m/>
    <m/>
    <x v="1"/>
    <n v="0.2023049153013052"/>
    <s v="#EVRevolution"/>
    <d v="2024-10-01T00:00:00"/>
    <d v="2024-10-31T00:00:00"/>
    <s v="Before Campaign"/>
    <n v="4543"/>
    <n v="0.12823817762134213"/>
    <n v="0.17187995427311828"/>
    <n v="0.25390847255188997"/>
    <n v="200000"/>
    <n v="2.2714999999999999E-2"/>
    <n v="0.25390847255188997"/>
  </r>
  <r>
    <s v="P259"/>
    <x v="3"/>
    <d v="2025-02-10T00:00:00"/>
    <s v="Text"/>
    <s v="Check out our latest text on facebook!"/>
    <n v="562"/>
    <n v="158"/>
    <n v="149"/>
    <n v="3372"/>
    <n v="2940"/>
    <n v="93"/>
    <s v="#TeslaCoInnovation"/>
    <m/>
    <m/>
    <x v="0"/>
    <n v="0.25771055753262156"/>
    <s v="#TeslaCoInnovation"/>
    <d v="2024-06-15T00:00:00"/>
    <d v="2024-07-15T00:00:00"/>
    <s v="Before Campaign"/>
    <n v="962"/>
    <n v="0.12844581750722378"/>
    <n v="0.23889591128384299"/>
    <n v="0.46233563891090829"/>
    <n v="150000"/>
    <n v="6.4133333333333334E-3"/>
    <n v="0.46233563891090829"/>
  </r>
  <r>
    <s v="P260"/>
    <x v="2"/>
    <d v="2025-02-12T00:00:00"/>
    <s v="Story"/>
    <s v="Check out our latest story on instagram!"/>
    <n v="4332"/>
    <n v="771"/>
    <n v="219"/>
    <n v="60648"/>
    <n v="60397"/>
    <n v="10"/>
    <s v="#TeslaCoInnovation"/>
    <s v="#EVRevolution"/>
    <s v="#BetterWithTesla"/>
    <x v="2"/>
    <n v="8.7752275425405618E-2"/>
    <s v="#TeslaCoInnovation, #EVRevolution, #BetterWithTesla"/>
    <d v="2024-12-25T00:00:00"/>
    <d v="2025-01-10T00:00:00"/>
    <s v="Before Campaign"/>
    <n v="5332"/>
    <n v="0.14796225213763564"/>
    <n v="0.26197997660611111"/>
    <n v="0.43521541587089302"/>
    <n v="250000"/>
    <n v="2.1328E-2"/>
    <n v="0.43521541587089302"/>
  </r>
  <r>
    <s v="P261"/>
    <x v="2"/>
    <d v="2024-10-27T00:00:00"/>
    <s v="Image"/>
    <s v="Check out our latest image on instagram!"/>
    <n v="4853"/>
    <n v="837"/>
    <n v="340"/>
    <n v="72795"/>
    <n v="72237"/>
    <n v="170"/>
    <s v="#EVRevolution"/>
    <m/>
    <m/>
    <x v="0"/>
    <n v="8.2835359571399134E-2"/>
    <s v="#EVRevolution"/>
    <d v="2024-06-15T00:00:00"/>
    <d v="2024-07-15T00:00:00"/>
    <s v="Before Campaign"/>
    <n v="6200"/>
    <n v="0.15118110836205392"/>
    <n v="0.10104180633220153"/>
    <n v="-0.49622333418116304"/>
    <n v="150000"/>
    <n v="4.1333333333333333E-2"/>
    <n v="-0.49622333418116304"/>
  </r>
  <r>
    <s v="P262"/>
    <x v="1"/>
    <d v="2025-01-18T00:00:00"/>
    <s v="Image"/>
    <s v="Check out our latest image on youtube!"/>
    <n v="1206"/>
    <n v="238"/>
    <n v="36"/>
    <n v="9648"/>
    <n v="9417"/>
    <n v="237"/>
    <s v="#TeslaCoInnovation"/>
    <m/>
    <m/>
    <x v="4"/>
    <n v="0.15339966832504145"/>
    <s v="#TeslaCoInnovation"/>
    <e v="#N/A"/>
    <e v="#N/A"/>
    <e v="#N/A"/>
    <n v="1717"/>
    <n v="0.14318139301159602"/>
    <n v="5.9458909776183004E-2"/>
    <n v="-1.408072962497356"/>
    <n v="0"/>
    <n v="0"/>
    <n v="-1.408072962497356"/>
  </r>
  <r>
    <s v="P263"/>
    <x v="2"/>
    <d v="2024-08-20T00:00:00"/>
    <s v="Reel"/>
    <s v="Check out our latest reel on instagram!"/>
    <n v="2603"/>
    <n v="690"/>
    <n v="205"/>
    <n v="13015"/>
    <n v="12130"/>
    <n v="20"/>
    <s v="#FutureOfDriving"/>
    <m/>
    <m/>
    <x v="1"/>
    <n v="0.26876680752977333"/>
    <s v="#FutureOfDriving"/>
    <d v="2024-10-01T00:00:00"/>
    <d v="2024-10-31T00:00:00"/>
    <s v="Before Campaign"/>
    <n v="3518"/>
    <n v="0.13605733619712052"/>
    <n v="7.7310856396880387E-2"/>
    <n v="-0.75987361333395653"/>
    <n v="200000"/>
    <n v="1.7590000000000001E-2"/>
    <n v="-0.75987361333395653"/>
  </r>
  <r>
    <s v="P264"/>
    <x v="0"/>
    <d v="2025-01-30T00:00:00"/>
    <s v="Image"/>
    <s v="Check out our latest image on twitter!"/>
    <n v="59"/>
    <n v="163"/>
    <n v="93"/>
    <n v="590"/>
    <n v="475"/>
    <n v="293"/>
    <s v="#TeslaCoInnovation"/>
    <m/>
    <m/>
    <x v="1"/>
    <n v="0.53389830508474578"/>
    <s v="#TeslaCoInnovation"/>
    <d v="2024-10-01T00:00:00"/>
    <d v="2024-10-31T00:00:00"/>
    <s v="Before Campaign"/>
    <n v="608"/>
    <n v="0.12447083285674822"/>
    <n v="0.12586448256651392"/>
    <n v="1.1072620975732514E-2"/>
    <n v="200000"/>
    <n v="3.0400000000000002E-3"/>
    <n v="1.1072620975732514E-2"/>
  </r>
  <r>
    <s v="P265"/>
    <x v="0"/>
    <d v="2025-02-20T00:00:00"/>
    <s v="Carousel"/>
    <s v="Check out our latest carousel on twitter!"/>
    <n v="1877"/>
    <n v="745"/>
    <n v="225"/>
    <n v="11262"/>
    <n v="10967"/>
    <n v="41"/>
    <s v="#EVRevolution"/>
    <m/>
    <m/>
    <x v="3"/>
    <n v="0.25279701651571657"/>
    <s v="#EVRevolution"/>
    <d v="2025-03-01T00:00:00"/>
    <d v="2025-03-31T00:00:00"/>
    <s v="Before Campaign"/>
    <n v="2888"/>
    <n v="0.12257512620048748"/>
    <n v="0.13740568193136002"/>
    <n v="0.10793262347244877"/>
    <n v="180000"/>
    <n v="1.6044444444444445E-2"/>
    <n v="0.10793262347244877"/>
  </r>
  <r>
    <s v="P266"/>
    <x v="3"/>
    <d v="2024-11-25T00:00:00"/>
    <s v="Story"/>
    <s v="Check out our latest story on facebook!"/>
    <n v="4182"/>
    <n v="640"/>
    <n v="240"/>
    <n v="50184"/>
    <n v="49351"/>
    <n v="10"/>
    <s v="#TeslaCoInnovation"/>
    <m/>
    <m/>
    <x v="2"/>
    <n v="0.10086880280567512"/>
    <s v="#TeslaCoInnovation"/>
    <d v="2024-12-25T00:00:00"/>
    <d v="2025-01-10T00:00:00"/>
    <s v="Before Campaign"/>
    <n v="5072"/>
    <n v="0.12199048336508232"/>
    <n v="0.1327158720063718"/>
    <n v="8.0814664283519508E-2"/>
    <n v="250000"/>
    <n v="2.0288E-2"/>
    <n v="8.0814664283519508E-2"/>
  </r>
  <r>
    <s v="P267"/>
    <x v="0"/>
    <d v="2024-10-04T00:00:00"/>
    <s v="Reel"/>
    <s v="Check out our latest reel on twitter!"/>
    <n v="4187"/>
    <n v="66"/>
    <n v="31"/>
    <n v="66992"/>
    <n v="66614"/>
    <n v="62"/>
    <s v="#FutureOfDriving"/>
    <m/>
    <m/>
    <x v="4"/>
    <n v="6.3947934081681396E-2"/>
    <s v="#FutureOfDriving"/>
    <e v="#N/A"/>
    <e v="#N/A"/>
    <e v="#N/A"/>
    <n v="4346"/>
    <n v="0.12087085735499763"/>
    <n v="0.17714907512097422"/>
    <n v="0.31768846508255533"/>
    <n v="0"/>
    <n v="0"/>
    <n v="0.31768846508255533"/>
  </r>
  <r>
    <s v="P268"/>
    <x v="2"/>
    <d v="2025-04-13T00:00:00"/>
    <s v="Reel"/>
    <s v="Check out our latest reel on instagram!"/>
    <n v="4579"/>
    <n v="125"/>
    <n v="300"/>
    <n v="59527"/>
    <n v="59400"/>
    <n v="269"/>
    <s v="#EVRevolution"/>
    <m/>
    <m/>
    <x v="0"/>
    <n v="8.4062694239588759E-2"/>
    <s v="#EVRevolution"/>
    <d v="2024-06-15T00:00:00"/>
    <d v="2024-07-15T00:00:00"/>
    <s v="Before Campaign"/>
    <n v="5273"/>
    <n v="0.13369738254519006"/>
    <n v="0.1351035672948335"/>
    <n v="1.0408198523542682E-2"/>
    <n v="150000"/>
    <n v="3.5153333333333335E-2"/>
    <n v="1.0408198523542682E-2"/>
  </r>
  <r>
    <s v="P269"/>
    <x v="2"/>
    <d v="2024-11-05T00:00:00"/>
    <s v="Video"/>
    <s v="Check out our latest video on instagram!"/>
    <n v="4561"/>
    <n v="51"/>
    <n v="441"/>
    <n v="22805"/>
    <n v="21890"/>
    <n v="45"/>
    <s v="#TeslaCoInnovation"/>
    <m/>
    <m/>
    <x v="1"/>
    <n v="0.22157421618066214"/>
    <s v="#TeslaCoInnovation"/>
    <d v="2024-10-01T00:00:00"/>
    <d v="2024-10-31T00:00:00"/>
    <s v="Before Campaign"/>
    <n v="5098"/>
    <n v="0.11712254226044441"/>
    <n v="7.8645952030768115E-2"/>
    <n v="-0.48923802479526685"/>
    <n v="200000"/>
    <n v="2.5489999999999999E-2"/>
    <n v="-0.48923802479526685"/>
  </r>
  <r>
    <s v="P270"/>
    <x v="1"/>
    <d v="2025-01-15T00:00:00"/>
    <s v="Reel"/>
    <s v="Check out our latest reel on youtube!"/>
    <n v="3774"/>
    <n v="239"/>
    <n v="39"/>
    <n v="60384"/>
    <n v="59490"/>
    <n v="241"/>
    <s v="#TeslaCoInnovation"/>
    <m/>
    <m/>
    <x v="2"/>
    <n v="6.7103868574456813E-2"/>
    <s v="#TeslaCoInnovation"/>
    <d v="2024-12-25T00:00:00"/>
    <d v="2025-01-10T00:00:00"/>
    <s v="Before Campaign"/>
    <n v="4293"/>
    <n v="0.12223194194205636"/>
    <n v="0.16329576350474292"/>
    <n v="0.25146899516161586"/>
    <n v="250000"/>
    <n v="1.7172E-2"/>
    <n v="0.25146899516161586"/>
  </r>
  <r>
    <s v="P271"/>
    <x v="2"/>
    <d v="2024-10-17T00:00:00"/>
    <s v="Video"/>
    <s v="Check out our latest video on instagram!"/>
    <n v="3575"/>
    <n v="749"/>
    <n v="111"/>
    <n v="21450"/>
    <n v="20785"/>
    <n v="195"/>
    <s v="#EVRevolution"/>
    <m/>
    <m/>
    <x v="1"/>
    <n v="0.20675990675990677"/>
    <s v="#EVRevolution"/>
    <d v="2024-10-01T00:00:00"/>
    <d v="2024-10-31T00:00:00"/>
    <s v="During Campaign"/>
    <n v="4630"/>
    <n v="0.11908940382994078"/>
    <n v="0.14256548020537099"/>
    <n v="0.16466872865445431"/>
    <n v="200000"/>
    <n v="2.315E-2"/>
    <n v="0.16466872865445431"/>
  </r>
  <r>
    <s v="P272"/>
    <x v="2"/>
    <d v="2025-03-27T00:00:00"/>
    <s v="Text"/>
    <s v="Check out our latest text on instagram!"/>
    <n v="4941"/>
    <n v="414"/>
    <n v="266"/>
    <n v="39528"/>
    <n v="39154"/>
    <n v="217"/>
    <s v="#TeslaCoInnovation"/>
    <m/>
    <m/>
    <x v="2"/>
    <n v="0.14220299534507186"/>
    <s v="#TeslaCoInnovation"/>
    <d v="2024-12-25T00:00:00"/>
    <d v="2025-01-10T00:00:00"/>
    <s v="Before Campaign"/>
    <n v="5838"/>
    <n v="0.109061793317289"/>
    <n v="0.19587637472567523"/>
    <n v="0.44321108929022202"/>
    <n v="250000"/>
    <n v="2.3352000000000001E-2"/>
    <n v="0.44321108929022202"/>
  </r>
  <r>
    <s v="P273"/>
    <x v="1"/>
    <d v="2024-10-12T00:00:00"/>
    <s v="Story"/>
    <s v="Check out our latest story on youtube!"/>
    <n v="3641"/>
    <n v="226"/>
    <n v="46"/>
    <n v="40051"/>
    <n v="39319"/>
    <n v="296"/>
    <s v="#EVRevolution"/>
    <m/>
    <m/>
    <x v="3"/>
    <n v="9.7700431949264685E-2"/>
    <s v="#EVRevolution"/>
    <d v="2025-03-01T00:00:00"/>
    <d v="2025-03-31T00:00:00"/>
    <s v="Before Campaign"/>
    <n v="4209"/>
    <n v="0.12476285928364032"/>
    <n v="0.14743980960069678"/>
    <n v="0.15380479924974946"/>
    <n v="180000"/>
    <n v="2.3383333333333332E-2"/>
    <n v="0.15380479924974946"/>
  </r>
  <r>
    <s v="P274"/>
    <x v="0"/>
    <d v="2025-01-01T00:00:00"/>
    <s v="Carousel"/>
    <s v="Check out our latest carousel on twitter!"/>
    <n v="3535"/>
    <n v="494"/>
    <n v="152"/>
    <n v="53025"/>
    <n v="52791"/>
    <n v="44"/>
    <s v="#TeslaCoInnovation"/>
    <m/>
    <m/>
    <x v="3"/>
    <n v="7.8849599245638849E-2"/>
    <s v="#TeslaCoInnovation"/>
    <d v="2025-03-01T00:00:00"/>
    <d v="2025-03-31T00:00:00"/>
    <s v="Before Campaign"/>
    <n v="4225"/>
    <n v="0.12921641216211038"/>
    <n v="5.7022944220512906E-2"/>
    <n v="-1.2660424488503923"/>
    <n v="180000"/>
    <n v="2.3472222222222221E-2"/>
    <n v="-1.2660424488503923"/>
  </r>
  <r>
    <s v="P275"/>
    <x v="3"/>
    <d v="2024-08-05T00:00:00"/>
    <s v="Reel"/>
    <s v="Check out our latest reel on facebook!"/>
    <n v="1741"/>
    <n v="831"/>
    <n v="345"/>
    <n v="17410"/>
    <n v="16844"/>
    <n v="58"/>
    <s v="#EVRevolution"/>
    <m/>
    <m/>
    <x v="2"/>
    <n v="0.16754738655944859"/>
    <s v="#EVRevolution"/>
    <d v="2024-12-25T00:00:00"/>
    <d v="2025-01-10T00:00:00"/>
    <s v="Before Campaign"/>
    <n v="2975"/>
    <n v="0.12959496184821198"/>
    <n v="7.1601749020870215E-2"/>
    <n v="-0.809941288032477"/>
    <n v="250000"/>
    <n v="1.1900000000000001E-2"/>
    <n v="-0.809941288032477"/>
  </r>
  <r>
    <s v="P276"/>
    <x v="0"/>
    <d v="2024-06-07T00:00:00"/>
    <s v="Carousel"/>
    <s v="Check out our latest carousel on twitter!"/>
    <n v="1556"/>
    <n v="195"/>
    <n v="131"/>
    <n v="9336"/>
    <n v="8875"/>
    <n v="137"/>
    <s v="#TeslaCoInnovation"/>
    <m/>
    <m/>
    <x v="1"/>
    <n v="0.2015852613538989"/>
    <s v="#TeslaCoInnovation"/>
    <d v="2024-10-01T00:00:00"/>
    <d v="2024-10-31T00:00:00"/>
    <s v="Before Campaign"/>
    <n v="2019"/>
    <n v="0.12848812667087053"/>
    <n v="7.3196702537560998E-2"/>
    <n v="-0.75538135211673851"/>
    <n v="200000"/>
    <n v="1.0095E-2"/>
    <n v="-0.75538135211673851"/>
  </r>
  <r>
    <s v="P277"/>
    <x v="3"/>
    <d v="2025-04-06T00:00:00"/>
    <s v="Image"/>
    <s v="Check out our latest image on facebook!"/>
    <n v="4236"/>
    <n v="711"/>
    <n v="298"/>
    <n v="21180"/>
    <n v="20516"/>
    <n v="238"/>
    <s v="#FutureOfDriving"/>
    <m/>
    <m/>
    <x v="0"/>
    <n v="0.24763928234183191"/>
    <s v="#FutureOfDriving"/>
    <d v="2024-06-15T00:00:00"/>
    <d v="2024-07-15T00:00:00"/>
    <s v="Before Campaign"/>
    <n v="5483"/>
    <n v="0.11749771481948883"/>
    <n v="8.5141781840450154E-2"/>
    <n v="-0.38002414654266303"/>
    <n v="150000"/>
    <n v="3.6553333333333334E-2"/>
    <n v="-0.38002414654266303"/>
  </r>
  <r>
    <s v="P278"/>
    <x v="0"/>
    <d v="2024-11-26T00:00:00"/>
    <s v="Text"/>
    <s v="Check out our latest text on twitter!"/>
    <n v="4516"/>
    <n v="836"/>
    <n v="169"/>
    <n v="49676"/>
    <n v="49257"/>
    <n v="282"/>
    <s v="#EVRevolution"/>
    <m/>
    <m/>
    <x v="3"/>
    <n v="0.11114018842096787"/>
    <s v="#EVRevolution"/>
    <d v="2025-03-01T00:00:00"/>
    <d v="2025-03-31T00:00:00"/>
    <s v="Before Campaign"/>
    <n v="5803"/>
    <n v="0.11486174436903848"/>
    <n v="8.2704166904082013E-2"/>
    <n v="-0.38882656906818164"/>
    <n v="180000"/>
    <n v="3.2238888888888886E-2"/>
    <n v="-0.38882656906818164"/>
  </r>
  <r>
    <s v="P279"/>
    <x v="1"/>
    <d v="2024-09-02T00:00:00"/>
    <s v="Image"/>
    <s v="Check out our latest image on youtube!"/>
    <n v="4905"/>
    <n v="845"/>
    <n v="129"/>
    <n v="98100"/>
    <n v="97772"/>
    <n v="279"/>
    <s v="#TeslaCoInnovation"/>
    <m/>
    <m/>
    <x v="1"/>
    <n v="5.9928644240570844E-2"/>
    <s v="#TeslaCoInnovation"/>
    <d v="2024-10-01T00:00:00"/>
    <d v="2024-10-31T00:00:00"/>
    <s v="Before Campaign"/>
    <n v="6158"/>
    <n v="0.11366449930509233"/>
    <n v="8.6451422728010971E-2"/>
    <n v="-0.31477881703228577"/>
    <n v="200000"/>
    <n v="3.0790000000000001E-2"/>
    <n v="-0.31477881703228577"/>
  </r>
  <r>
    <s v="P280"/>
    <x v="1"/>
    <d v="2024-10-21T00:00:00"/>
    <s v="Video"/>
    <s v="Check out our latest video on youtube!"/>
    <n v="4275"/>
    <n v="680"/>
    <n v="385"/>
    <n v="64125"/>
    <n v="63650"/>
    <n v="104"/>
    <s v="#EVRevolution"/>
    <s v="#TeslaCoInnovation"/>
    <s v="#AnytimeIsTeslaTime"/>
    <x v="3"/>
    <n v="8.3274853801169585E-2"/>
    <s v="#EVRevolution, #TeslaCoInnovation, #AnytimeIsTeslaTime"/>
    <d v="2025-03-01T00:00:00"/>
    <d v="2025-03-31T00:00:00"/>
    <s v="Before Campaign"/>
    <n v="5444"/>
    <n v="0.10766464465869791"/>
    <n v="0.12491936107683782"/>
    <n v="0.13812683854127744"/>
    <n v="180000"/>
    <n v="3.0244444444444445E-2"/>
    <n v="0.13812683854127744"/>
  </r>
  <r>
    <s v="P281"/>
    <x v="1"/>
    <d v="2025-03-22T00:00:00"/>
    <s v="Image"/>
    <s v="Check out our latest image on youtube!"/>
    <n v="3166"/>
    <n v="90"/>
    <n v="341"/>
    <n v="56988"/>
    <n v="56125"/>
    <n v="135"/>
    <s v="#EVRevolution"/>
    <m/>
    <m/>
    <x v="1"/>
    <n v="6.3118551273952411E-2"/>
    <s v="#EVRevolution"/>
    <d v="2024-10-01T00:00:00"/>
    <d v="2024-10-31T00:00:00"/>
    <s v="Before Campaign"/>
    <n v="3732"/>
    <n v="0.10152007508469131"/>
    <n v="0.16501263435975261"/>
    <n v="0.38477392668392818"/>
    <n v="200000"/>
    <n v="1.866E-2"/>
    <n v="0.38477392668392818"/>
  </r>
  <r>
    <s v="P282"/>
    <x v="2"/>
    <d v="2024-10-03T00:00:00"/>
    <s v="Video"/>
    <s v="Check out our latest video on instagram!"/>
    <n v="1488"/>
    <n v="417"/>
    <n v="168"/>
    <n v="19344"/>
    <n v="18395"/>
    <n v="30"/>
    <s v="#FutureOfDriving"/>
    <m/>
    <m/>
    <x v="2"/>
    <n v="0.1071650124069479"/>
    <s v="#FutureOfDriving"/>
    <d v="2024-12-25T00:00:00"/>
    <d v="2025-01-10T00:00:00"/>
    <s v="Before Campaign"/>
    <n v="2103"/>
    <n v="0.11572115812786735"/>
    <n v="0.24805304676507139"/>
    <n v="0.53348221423998188"/>
    <n v="250000"/>
    <n v="8.4119999999999993E-3"/>
    <n v="0.53348221423998188"/>
  </r>
  <r>
    <s v="P283"/>
    <x v="0"/>
    <d v="2025-05-09T00:00:00"/>
    <s v="Reel"/>
    <s v="Check out our latest reel on twitter!"/>
    <n v="3367"/>
    <n v="302"/>
    <n v="57"/>
    <n v="63973"/>
    <n v="63789"/>
    <n v="157"/>
    <s v="#FutureOfDriving"/>
    <m/>
    <m/>
    <x v="1"/>
    <n v="5.8243321401216137E-2"/>
    <s v="#FutureOfDriving"/>
    <d v="2024-10-01T00:00:00"/>
    <d v="2024-10-31T00:00:00"/>
    <s v="Before Campaign"/>
    <n v="3883"/>
    <n v="0.12249558996833688"/>
    <n v="0.18463163860491644"/>
    <n v="0.33654063358848929"/>
    <n v="200000"/>
    <n v="1.9415000000000002E-2"/>
    <n v="0.33654063358848929"/>
  </r>
  <r>
    <s v="P284"/>
    <x v="0"/>
    <d v="2024-09-17T00:00:00"/>
    <s v="Text"/>
    <s v="Check out our latest text on twitter!"/>
    <n v="571"/>
    <n v="190"/>
    <n v="352"/>
    <n v="9707"/>
    <n v="9418"/>
    <n v="231"/>
    <s v="#TeslaCoInnovation"/>
    <m/>
    <m/>
    <x v="3"/>
    <n v="0.11465952405480581"/>
    <s v="#TeslaCoInnovation"/>
    <d v="2025-03-01T00:00:00"/>
    <d v="2025-03-31T00:00:00"/>
    <s v="Before Campaign"/>
    <n v="1344"/>
    <n v="0.13512729649339841"/>
    <n v="7.0511078258850474E-2"/>
    <n v="-0.91639810126485166"/>
    <n v="180000"/>
    <n v="7.4666666666666666E-3"/>
    <n v="-0.91639810126485166"/>
  </r>
  <r>
    <s v="P285"/>
    <x v="1"/>
    <d v="2024-07-18T00:00:00"/>
    <s v="Text"/>
    <s v="Check out our latest text on youtube!"/>
    <n v="4021"/>
    <n v="794"/>
    <n v="77"/>
    <n v="36189"/>
    <n v="35505"/>
    <n v="174"/>
    <s v="#EVRevolution"/>
    <m/>
    <m/>
    <x v="4"/>
    <n v="0.13517919809886983"/>
    <s v="#EVRevolution"/>
    <e v="#N/A"/>
    <e v="#N/A"/>
    <e v="#N/A"/>
    <n v="5066"/>
    <n v="0.12906342538217405"/>
    <n v="7.8470421543373248E-2"/>
    <n v="-0.64473979932472192"/>
    <n v="0"/>
    <n v="0"/>
    <n v="-0.64473979932472192"/>
  </r>
  <r>
    <s v="P286"/>
    <x v="1"/>
    <d v="2024-09-25T00:00:00"/>
    <s v="Video"/>
    <s v="Check out our latest video on youtube!"/>
    <n v="3389"/>
    <n v="344"/>
    <n v="229"/>
    <n v="20334"/>
    <n v="19443"/>
    <n v="228"/>
    <s v="#FutureOfDriving"/>
    <m/>
    <m/>
    <x v="2"/>
    <n v="0.19484607062063539"/>
    <s v="#FutureOfDriving"/>
    <d v="2024-12-25T00:00:00"/>
    <d v="2025-01-10T00:00:00"/>
    <s v="Before Campaign"/>
    <n v="4190"/>
    <n v="0.12485217180167014"/>
    <n v="7.7939239074330938E-2"/>
    <n v="-0.60191674032893971"/>
    <n v="250000"/>
    <n v="1.6760000000000001E-2"/>
    <n v="-0.60191674032893971"/>
  </r>
  <r>
    <s v="P287"/>
    <x v="2"/>
    <d v="2024-08-15T00:00:00"/>
    <s v="Reel"/>
    <s v="Check out our latest reel on instagram!"/>
    <n v="1164"/>
    <n v="616"/>
    <n v="324"/>
    <n v="6984"/>
    <n v="6636"/>
    <n v="82"/>
    <s v="#EVRevolution"/>
    <m/>
    <m/>
    <x v="0"/>
    <n v="0.30126002290950743"/>
    <s v="#EVRevolution"/>
    <d v="2024-06-15T00:00:00"/>
    <d v="2024-07-15T00:00:00"/>
    <s v="Before Campaign"/>
    <n v="2186"/>
    <n v="0.11165260848585126"/>
    <n v="9.7747749159125957E-2"/>
    <n v="-0.14225247585076609"/>
    <n v="150000"/>
    <n v="1.4573333333333334E-2"/>
    <n v="-0.14225247585076609"/>
  </r>
  <r>
    <s v="P288"/>
    <x v="1"/>
    <d v="2025-04-17T00:00:00"/>
    <s v="Carousel"/>
    <s v="Check out our latest carousel on youtube!"/>
    <n v="4780"/>
    <n v="691"/>
    <n v="380"/>
    <n v="86040"/>
    <n v="85743"/>
    <n v="262"/>
    <s v="#FutureOfDriving"/>
    <m/>
    <m/>
    <x v="2"/>
    <n v="6.800325430032543E-2"/>
    <s v="#FutureOfDriving"/>
    <d v="2024-12-25T00:00:00"/>
    <d v="2025-01-10T00:00:00"/>
    <s v="Before Campaign"/>
    <n v="6113"/>
    <n v="0.10011182516591412"/>
    <n v="0.12391140086185645"/>
    <n v="0.19206929733992331"/>
    <n v="250000"/>
    <n v="2.4452000000000002E-2"/>
    <n v="0.19206929733992331"/>
  </r>
  <r>
    <s v="P289"/>
    <x v="3"/>
    <d v="2024-11-28T00:00:00"/>
    <s v="Carousel"/>
    <s v="Check out our latest carousel on facebook!"/>
    <n v="2751"/>
    <n v="33"/>
    <n v="430"/>
    <n v="44016"/>
    <n v="43415"/>
    <n v="129"/>
    <s v="#FutureOfDriving"/>
    <m/>
    <m/>
    <x v="4"/>
    <n v="7.3018902217375503E-2"/>
    <s v="#FutureOfDriving"/>
    <e v="#N/A"/>
    <e v="#N/A"/>
    <e v="#N/A"/>
    <n v="3343"/>
    <n v="9.8708774070226782E-2"/>
    <n v="0.15338408197134795"/>
    <n v="0.35646011762377328"/>
    <n v="0"/>
    <n v="0"/>
    <n v="0.35646011762377328"/>
  </r>
  <r>
    <s v="P290"/>
    <x v="2"/>
    <d v="2024-12-20T00:00:00"/>
    <s v="Carousel"/>
    <s v="Check out our latest carousel on instagram!"/>
    <n v="2107"/>
    <n v="550"/>
    <n v="349"/>
    <n v="35819"/>
    <n v="35340"/>
    <n v="191"/>
    <s v="#EVRevolution"/>
    <m/>
    <m/>
    <x v="3"/>
    <n v="8.3921940869371006E-2"/>
    <s v="#EVRevolution"/>
    <d v="2025-03-01T00:00:00"/>
    <d v="2025-03-31T00:00:00"/>
    <s v="Before Campaign"/>
    <n v="3197"/>
    <n v="0.11402914424371555"/>
    <n v="0.17394579892405398"/>
    <n v="0.34445588827643081"/>
    <n v="180000"/>
    <n v="1.7761111111111109E-2"/>
    <n v="0.34445588827643081"/>
  </r>
  <r>
    <s v="P291"/>
    <x v="3"/>
    <d v="2024-11-06T00:00:00"/>
    <s v="Video"/>
    <s v="Check out our latest video on facebook!"/>
    <n v="4663"/>
    <n v="145"/>
    <n v="225"/>
    <n v="69945"/>
    <n v="69596"/>
    <n v="35"/>
    <s v="#EVRevolution"/>
    <m/>
    <m/>
    <x v="3"/>
    <n v="7.1956537279290869E-2"/>
    <s v="#EVRevolution"/>
    <d v="2025-03-01T00:00:00"/>
    <d v="2025-03-31T00:00:00"/>
    <s v="Before Campaign"/>
    <n v="5068"/>
    <n v="0.10952784134939647"/>
    <n v="0.11239754974378238"/>
    <n v="2.5531770051283154E-2"/>
    <n v="180000"/>
    <n v="2.8155555555555555E-2"/>
    <n v="2.5531770051283154E-2"/>
  </r>
  <r>
    <s v="P292"/>
    <x v="3"/>
    <d v="2024-11-17T00:00:00"/>
    <s v="Text"/>
    <s v="Check out our latest text on facebook!"/>
    <n v="880"/>
    <n v="297"/>
    <n v="345"/>
    <n v="12320"/>
    <n v="11978"/>
    <n v="238"/>
    <s v="#TeslaCoInnovation"/>
    <s v="#AnytimeIsTeslaTime"/>
    <m/>
    <x v="4"/>
    <n v="0.12353896103896105"/>
    <s v="#TeslaCoInnovation, #AnytimeIsTeslaTime"/>
    <e v="#N/A"/>
    <e v="#N/A"/>
    <e v="#N/A"/>
    <n v="1760"/>
    <n v="0.10764397170726371"/>
    <n v="0.15143906480327105"/>
    <n v="0.28919283906632637"/>
    <n v="0"/>
    <n v="0"/>
    <n v="0.28919283906632637"/>
  </r>
  <r>
    <s v="P293"/>
    <x v="3"/>
    <d v="2025-05-14T00:00:00"/>
    <s v="Text"/>
    <s v="Check out our latest text on facebook!"/>
    <n v="2634"/>
    <n v="726"/>
    <n v="241"/>
    <n v="28974"/>
    <n v="28102"/>
    <n v="277"/>
    <s v="#EVRevolution"/>
    <m/>
    <m/>
    <x v="0"/>
    <n v="0.12428384068475185"/>
    <s v="#EVRevolution"/>
    <d v="2024-06-15T00:00:00"/>
    <d v="2024-07-15T00:00:00"/>
    <s v="Before Campaign"/>
    <n v="3878"/>
    <n v="0.12238494758232342"/>
    <n v="0.1510270487059534"/>
    <n v="0.1896488170102269"/>
    <n v="150000"/>
    <n v="2.5853333333333332E-2"/>
    <n v="0.1896488170102269"/>
  </r>
  <r>
    <s v="P294"/>
    <x v="3"/>
    <d v="2024-06-19T00:00:00"/>
    <s v="Carousel"/>
    <s v="Check out our latest carousel on facebook!"/>
    <n v="4731"/>
    <n v="173"/>
    <n v="276"/>
    <n v="28386"/>
    <n v="28185"/>
    <n v="89"/>
    <s v="#EVRevolution"/>
    <m/>
    <m/>
    <x v="2"/>
    <n v="0.18248432325794406"/>
    <s v="#EVRevolution"/>
    <d v="2024-12-25T00:00:00"/>
    <d v="2025-01-10T00:00:00"/>
    <s v="Before Campaign"/>
    <n v="5269"/>
    <n v="0.1053698393798943"/>
    <n v="9.8484186592030218E-2"/>
    <n v="-6.9916328967490338E-2"/>
    <n v="250000"/>
    <n v="2.1076000000000001E-2"/>
    <n v="-6.9916328967490338E-2"/>
  </r>
  <r>
    <s v="P295"/>
    <x v="0"/>
    <d v="2025-05-06T00:00:00"/>
    <s v="Image"/>
    <s v="Check out our latest image on twitter!"/>
    <n v="1952"/>
    <n v="344"/>
    <n v="287"/>
    <n v="15616"/>
    <n v="15403"/>
    <n v="235"/>
    <s v="#FutureOfDriving"/>
    <s v="#TeslaCoInnovation"/>
    <s v="#AnytimeIsTeslaTime"/>
    <x v="1"/>
    <n v="0.16540727459016394"/>
    <s v="#FutureOfDriving, #TeslaCoInnovation, #AnytimeIsTeslaTime"/>
    <d v="2024-10-01T00:00:00"/>
    <d v="2024-10-31T00:00:00"/>
    <s v="Before Campaign"/>
    <n v="2818"/>
    <n v="0.12496162569765062"/>
    <n v="0.1109722692602927"/>
    <n v="-0.12606173173358268"/>
    <n v="200000"/>
    <n v="1.409E-2"/>
    <n v="-0.12606173173358268"/>
  </r>
  <r>
    <s v="P296"/>
    <x v="0"/>
    <d v="2025-02-11T00:00:00"/>
    <s v="Video"/>
    <s v="Check out our latest video on twitter!"/>
    <n v="3440"/>
    <n v="13"/>
    <n v="20"/>
    <n v="58480"/>
    <n v="58146"/>
    <n v="210"/>
    <s v="#TeslaCoInnovation"/>
    <s v="#SmoothLikeNitroTesla"/>
    <m/>
    <x v="3"/>
    <n v="5.9387824897400819E-2"/>
    <s v="#TeslaCoInnovation, #SmoothLikeNitroTesla"/>
    <d v="2025-03-01T00:00:00"/>
    <d v="2025-03-31T00:00:00"/>
    <s v="Before Campaign"/>
    <n v="3683"/>
    <n v="0.13099965898312305"/>
    <n v="4.1769979019645243E-2"/>
    <n v="-2.1362155801302016"/>
    <n v="180000"/>
    <n v="2.046111111111111E-2"/>
    <n v="-2.1362155801302016"/>
  </r>
  <r>
    <s v="P297"/>
    <x v="0"/>
    <d v="2024-12-24T00:00:00"/>
    <s v="Text"/>
    <s v="Check out our latest text on twitter!"/>
    <n v="2166"/>
    <n v="354"/>
    <n v="117"/>
    <n v="10830"/>
    <n v="10245"/>
    <n v="24"/>
    <s v="#EVRevolution"/>
    <m/>
    <m/>
    <x v="3"/>
    <n v="0.24349030470914126"/>
    <s v="#EVRevolution"/>
    <d v="2025-03-01T00:00:00"/>
    <d v="2025-03-31T00:00:00"/>
    <s v="Before Campaign"/>
    <n v="2661"/>
    <n v="7.0127082805837737E-2"/>
    <n v="0"/>
    <n v="0"/>
    <n v="180000"/>
    <n v="1.4783333333333334E-2"/>
    <n v="0"/>
  </r>
  <r>
    <s v="P298"/>
    <x v="3"/>
    <d v="2024-10-24T00:00:00"/>
    <s v="Image"/>
    <s v="Check out our latest image on facebook!"/>
    <n v="4303"/>
    <n v="451"/>
    <n v="286"/>
    <n v="86060"/>
    <n v="85823"/>
    <n v="14"/>
    <s v="#TeslaCoInnovation"/>
    <m/>
    <m/>
    <x v="2"/>
    <n v="5.8563792702765516E-2"/>
    <s v="#TeslaCoInnovation"/>
    <d v="2024-12-25T00:00:00"/>
    <d v="2025-01-10T00:00:00"/>
    <s v="Before Campaign"/>
    <n v="5054"/>
    <n v="7.3981512840195135E-2"/>
    <n v="0"/>
    <n v="0"/>
    <n v="250000"/>
    <n v="2.0216000000000001E-2"/>
    <n v="0"/>
  </r>
  <r>
    <s v="P299"/>
    <x v="3"/>
    <d v="2024-08-26T00:00:00"/>
    <s v="Image"/>
    <s v="Check out our latest image on facebook!"/>
    <n v="2581"/>
    <n v="517"/>
    <n v="117"/>
    <n v="23229"/>
    <n v="22331"/>
    <n v="70"/>
    <s v="#FutureOfDriving"/>
    <m/>
    <m/>
    <x v="2"/>
    <n v="0.13840458048129492"/>
    <s v="#FutureOfDriving"/>
    <d v="2024-12-25T00:00:00"/>
    <d v="2025-01-10T00:00:00"/>
    <s v="Before Campaign"/>
    <n v="3285"/>
    <n v="4.1769979019645243E-2"/>
    <n v="0"/>
    <n v="0"/>
    <n v="250000"/>
    <n v="1.3140000000000001E-2"/>
    <n v="0"/>
  </r>
  <r>
    <s v="P300"/>
    <x v="0"/>
    <d v="2024-08-31T00:00:00"/>
    <s v="Carousel"/>
    <s v="Check out our latest carousel on twitter!"/>
    <n v="4494"/>
    <n v="717"/>
    <n v="45"/>
    <n v="62916"/>
    <n v="62688"/>
    <n v="191"/>
    <s v="#TeslaCoInnovation"/>
    <s v="#EVRevolution"/>
    <s v="#BetterWithTesla"/>
    <x v="0"/>
    <n v="8.3539958039290485E-2"/>
    <s v="#TeslaCoInnovation, #EVRevolution, #BetterWithTesla"/>
    <d v="2024-06-15T00:00:00"/>
    <d v="2024-07-15T00:00:00"/>
    <s v="Before Campaign"/>
    <n v="5447"/>
    <n v="0"/>
    <n v="0"/>
    <n v="0"/>
    <n v="150000"/>
    <n v="3.6313333333333336E-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50000"/>
    <n v="180335"/>
    <n v="1.2022333333333333"/>
  </r>
  <r>
    <x v="1"/>
    <n v="200000"/>
    <n v="211611"/>
    <n v="1.058055"/>
  </r>
  <r>
    <x v="2"/>
    <n v="250000"/>
    <n v="242853"/>
    <n v="0.97141200000000005"/>
  </r>
  <r>
    <x v="3"/>
    <n v="180000"/>
    <n v="251172"/>
    <n v="1.395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d v="2024-06-15T00:00:00"/>
    <d v="2024-07-15T00:00:00"/>
    <x v="0"/>
    <n v="5902"/>
  </r>
  <r>
    <x v="0"/>
    <d v="2024-06-15T00:00:00"/>
    <d v="2024-07-15T00:00:00"/>
    <x v="1"/>
    <n v="4557"/>
  </r>
  <r>
    <x v="1"/>
    <d v="2024-10-01T00:00:00"/>
    <d v="2024-10-31T00:00:00"/>
    <x v="0"/>
    <n v="4811"/>
  </r>
  <r>
    <x v="1"/>
    <d v="2024-10-01T00:00:00"/>
    <d v="2024-10-31T00:00:00"/>
    <x v="2"/>
    <n v="4242"/>
  </r>
  <r>
    <x v="2"/>
    <d v="2024-12-25T00:00:00"/>
    <d v="2025-01-10T00:00:00"/>
    <x v="1"/>
    <n v="2796"/>
  </r>
  <r>
    <x v="2"/>
    <d v="2024-12-25T00:00:00"/>
    <d v="2025-01-10T00:00:00"/>
    <x v="3"/>
    <n v="3419"/>
  </r>
  <r>
    <x v="3"/>
    <d v="2025-03-01T00:00:00"/>
    <d v="2025-03-31T00:00:00"/>
    <x v="0"/>
    <n v="4389"/>
  </r>
  <r>
    <x v="3"/>
    <d v="2025-03-01T00:00:00"/>
    <d v="2025-03-31T00:00:00"/>
    <x v="3"/>
    <n v="5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0EA4B-2DFC-4287-B159-3121D817B12F}" name="PivotTable6"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1:I56" firstHeaderRow="0" firstDataRow="1" firstDataCol="1"/>
  <pivotFields count="27">
    <pivotField showAll="0"/>
    <pivotField axis="axisRow" showAll="0">
      <items count="5">
        <item x="3"/>
        <item x="2"/>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numFmtId="2" showAll="0"/>
    <pivotField showAll="0"/>
    <pivotField showAll="0"/>
    <pivotField showAll="0"/>
    <pivotField showAll="0"/>
    <pivotField showAll="0"/>
    <pivotField dataField="1" showAll="0"/>
    <pivotField dataField="1" numFmtId="2" showAll="0"/>
    <pivotField dataField="1" numFmtId="10" showAll="0"/>
    <pivotField showAll="0"/>
    <pivotField showAll="0"/>
    <pivotField dataField="1" showAll="0"/>
  </pivotFields>
  <rowFields count="2">
    <field x="1"/>
    <field x="1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4">
    <i>
      <x/>
    </i>
    <i i="1">
      <x v="1"/>
    </i>
    <i i="2">
      <x v="2"/>
    </i>
    <i i="3">
      <x v="3"/>
    </i>
  </colItems>
  <dataFields count="4">
    <dataField name="Average of Before " fld="21" subtotal="average" baseField="1" baseItem="0"/>
    <dataField name="Average of During " fld="22" subtotal="average" baseField="1" baseItem="0"/>
    <dataField name="Average of Uplift" fld="23" subtotal="average" baseField="1" baseItem="0"/>
    <dataField name="Average of UPLIFT %" fld="26" subtotal="average" baseField="1" baseItem="0"/>
  </dataField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320F2-E460-412E-AC4A-9748D7D01A16}"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G11" firstHeaderRow="0" firstDataRow="1" firstDataCol="1"/>
  <pivotFields count="7">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6">
    <i>
      <x/>
    </i>
    <i i="1">
      <x v="1"/>
    </i>
    <i i="2">
      <x v="2"/>
    </i>
    <i i="3">
      <x v="3"/>
    </i>
    <i i="4">
      <x v="4"/>
    </i>
    <i i="5">
      <x v="5"/>
    </i>
  </colItems>
  <dataFields count="6">
    <dataField name="Sum of Likes" fld="1" baseField="0" baseItem="0"/>
    <dataField name="Average of Likes2" fld="2" subtotal="average" baseField="0" baseItem="0"/>
    <dataField name="Sum of Impressions" fld="3" baseField="0" baseItem="0"/>
    <dataField name="Average of Impressions2" fld="4" subtotal="average" baseField="0" baseItem="0"/>
    <dataField name="Average of Clicks" fld="6" subtotal="average" baseField="0" baseItem="0"/>
    <dataField name="Sum of Clicks2" fld="5" baseField="0" baseItem="0"/>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ikes2"/>
    <pivotHierarchy dragToData="1"/>
    <pivotHierarchy dragToData="1" caption="Average of Impressions2"/>
    <pivotHierarchy dragToData="1"/>
    <pivotHierarchy dragToData="1" caption="Average of Clicks"/>
  </pivotHierarchies>
  <pivotTableStyleInfo name="PivotStyleDark17"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2 Engagement Analysis.xlsx!Posts_Cleaned">
        <x15:activeTabTopLevelEntity name="[Post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413025-31A9-4E7D-8F75-CD29D18F60DD}"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C14:D19" firstHeaderRow="1" firstDataRow="1" firstDataCol="1"/>
  <pivotFields count="4">
    <pivotField axis="axisRow" showAll="0">
      <items count="5">
        <item x="0"/>
        <item x="2"/>
        <item x="1"/>
        <item x="3"/>
        <item t="default"/>
      </items>
    </pivotField>
    <pivotField showAll="0"/>
    <pivotField showAll="0"/>
    <pivotField dataField="1" showAll="0"/>
  </pivotFields>
  <rowFields count="1">
    <field x="0"/>
  </rowFields>
  <rowItems count="5">
    <i>
      <x/>
    </i>
    <i>
      <x v="1"/>
    </i>
    <i>
      <x v="2"/>
    </i>
    <i>
      <x v="3"/>
    </i>
    <i t="grand">
      <x/>
    </i>
  </rowItems>
  <colItems count="1">
    <i/>
  </colItems>
  <dataFields count="1">
    <dataField name="Sum of Highest ROI" fld="3" baseField="0" baseItem="0"/>
  </dataFields>
  <formats count="6">
    <format dxfId="22">
      <pivotArea collapsedLevelsAreSubtotals="1" fieldPosition="0">
        <references count="1">
          <reference field="0" count="0"/>
        </references>
      </pivotArea>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outline="0" axis="axisValues" fieldPosition="0"/>
    </format>
    <format dxfId="18">
      <pivotArea collapsedLevelsAreSubtotals="1" fieldPosition="0">
        <references count="1">
          <reference field="0" count="0"/>
        </references>
      </pivotArea>
    </format>
    <format dxfId="17">
      <pivotArea dataOnly="0" labelOnly="1" fieldPosition="0">
        <references count="1">
          <reference field="0" count="0"/>
        </references>
      </pivotArea>
    </format>
  </formats>
  <chartFormats count="1">
    <chartFormat chart="20" format="0"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44C1D-8836-4F03-B23C-65B12D19B1AA}"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B22:C27" firstHeaderRow="1" firstDataRow="1" firstDataCol="1"/>
  <pivotFields count="5">
    <pivotField axis="axisRow" showAll="0">
      <items count="5">
        <item x="0"/>
        <item x="2"/>
        <item x="1"/>
        <item x="3"/>
        <item t="default"/>
      </items>
    </pivotField>
    <pivotField numFmtId="14" showAll="0"/>
    <pivotField numFmtId="14" showAll="0"/>
    <pivotField axis="axisRow" showAll="0" sortType="descending">
      <items count="5">
        <item sd="0" x="1"/>
        <item sd="0" x="0"/>
        <item sd="0" x="3"/>
        <item sd="0" x="2"/>
        <item t="default"/>
      </items>
      <autoSortScope>
        <pivotArea dataOnly="0" outline="0" fieldPosition="0">
          <references count="1">
            <reference field="4294967294" count="1" selected="0">
              <x v="0"/>
            </reference>
          </references>
        </pivotArea>
      </autoSortScope>
    </pivotField>
    <pivotField dataField="1" showAll="0"/>
  </pivotFields>
  <rowFields count="2">
    <field x="3"/>
    <field x="0"/>
  </rowFields>
  <rowItems count="5">
    <i>
      <x v="1"/>
    </i>
    <i>
      <x v="2"/>
    </i>
    <i>
      <x/>
    </i>
    <i>
      <x v="3"/>
    </i>
    <i t="grand">
      <x/>
    </i>
  </rowItems>
  <colItems count="1">
    <i/>
  </colItems>
  <dataFields count="1">
    <dataField name="Sum of New_Follewrs " fld="4" baseField="0" baseItem="0"/>
  </dataFields>
  <formats count="6">
    <format dxfId="12">
      <pivotArea type="all" dataOnly="0" outline="0" fieldPosition="0"/>
    </format>
    <format dxfId="11">
      <pivotArea outline="0" collapsedLevelsAreSubtotals="1"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3" count="1">
              <x v="1"/>
            </reference>
          </references>
        </pivotArea>
      </pivotAreas>
    </conditionalFormat>
  </conditionalFormats>
  <chartFormats count="16">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1"/>
          </reference>
        </references>
      </pivotArea>
    </chartFormat>
    <chartFormat chart="10" format="2">
      <pivotArea type="data" outline="0" fieldPosition="0">
        <references count="2">
          <reference field="4294967294" count="1" selected="0">
            <x v="0"/>
          </reference>
          <reference field="3" count="1" selected="0">
            <x v="2"/>
          </reference>
        </references>
      </pivotArea>
    </chartFormat>
    <chartFormat chart="10" format="3">
      <pivotArea type="data" outline="0" fieldPosition="0">
        <references count="2">
          <reference field="4294967294" count="1" selected="0">
            <x v="0"/>
          </reference>
          <reference field="3" count="1" selected="0">
            <x v="0"/>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3" count="1" selected="0">
            <x v="1"/>
          </reference>
        </references>
      </pivotArea>
    </chartFormat>
    <chartFormat chart="11" format="7">
      <pivotArea type="data" outline="0" fieldPosition="0">
        <references count="2">
          <reference field="4294967294" count="1" selected="0">
            <x v="0"/>
          </reference>
          <reference field="3" count="1" selected="0">
            <x v="2"/>
          </reference>
        </references>
      </pivotArea>
    </chartFormat>
    <chartFormat chart="11" format="8">
      <pivotArea type="data" outline="0" fieldPosition="0">
        <references count="2">
          <reference field="4294967294" count="1" selected="0">
            <x v="0"/>
          </reference>
          <reference field="3" count="1" selected="0">
            <x v="0"/>
          </reference>
        </references>
      </pivotArea>
    </chartFormat>
    <chartFormat chart="11" format="9">
      <pivotArea type="data" outline="0" fieldPosition="0">
        <references count="2">
          <reference field="4294967294" count="1" selected="0">
            <x v="0"/>
          </reference>
          <reference field="3"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3" count="1" selected="0">
            <x v="1"/>
          </reference>
        </references>
      </pivotArea>
    </chartFormat>
    <chartFormat chart="12" format="12">
      <pivotArea type="data" outline="0" fieldPosition="0">
        <references count="2">
          <reference field="4294967294" count="1" selected="0">
            <x v="0"/>
          </reference>
          <reference field="3" count="1" selected="0">
            <x v="2"/>
          </reference>
        </references>
      </pivotArea>
    </chartFormat>
    <chartFormat chart="12" format="13">
      <pivotArea type="data" outline="0" fieldPosition="0">
        <references count="2">
          <reference field="4294967294" count="1" selected="0">
            <x v="0"/>
          </reference>
          <reference field="3" count="1" selected="0">
            <x v="0"/>
          </reference>
        </references>
      </pivotArea>
    </chartFormat>
    <chartFormat chart="12" format="14">
      <pivotArea type="data" outline="0" fieldPosition="0">
        <references count="2">
          <reference field="4294967294" count="1" selected="0">
            <x v="0"/>
          </reference>
          <reference field="3" count="1" selected="0">
            <x v="3"/>
          </reference>
        </references>
      </pivotArea>
    </chartFormat>
  </chartFormats>
  <pivotTableStyleInfo name="PivotStyleDark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46036E34-ABCC-409B-B6AB-6FE94DB5A306}" autoFormatId="16" applyNumberFormats="0" applyBorderFormats="0" applyFontFormats="0" applyPatternFormats="0" applyAlignmentFormats="0" applyWidthHeightFormats="0">
  <queryTableRefresh nextId="29" unboundColumnsRight="12">
    <queryTableFields count="2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1" tableColumnId="12"/>
      <queryTableField id="13" name="Hashtags Used.2" tableColumnId="13"/>
      <queryTableField id="14" name="Hashtags Used.3" tableColumnId="14"/>
      <queryTableField id="15" name="Campaign_Name" tableColumnId="15"/>
      <queryTableField id="16" dataBound="0" tableColumnId="16"/>
      <queryTableField id="17" dataBound="0" tableColumnId="17"/>
      <queryTableField id="19" dataBound="0" tableColumnId="18"/>
      <queryTableField id="20" dataBound="0" tableColumnId="19"/>
      <queryTableField id="21" dataBound="0" tableColumnId="20"/>
      <queryTableField id="22" dataBound="0" tableColumnId="21"/>
      <queryTableField id="23" dataBound="0" tableColumnId="22"/>
      <queryTableField id="24" dataBound="0" tableColumnId="23"/>
      <queryTableField id="25" dataBound="0" tableColumnId="24"/>
      <queryTableField id="26" dataBound="0" tableColumnId="25"/>
      <queryTableField id="27" dataBound="0" tableColumnId="26"/>
      <queryTableField id="28" dataBound="0"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089AF534-24C6-4D79-BC6D-4FA681886470}" autoFormatId="16" applyNumberFormats="0" applyBorderFormats="0" applyFontFormats="0" applyPatternFormats="0" applyAlignmentFormats="0" applyWidthHeightFormats="0">
  <queryTableRefresh nextId="8">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39B31-F6F9-49E0-9B43-B86980D98134}"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D744E65D-5E03-4ED0-B71D-9C2C1D319634}" sourceName="[Posts_Cleaned].[Campaign_Name]">
  <pivotTables>
    <pivotTable tabId="4" name="PivotTable3"/>
  </pivotTables>
  <data>
    <olap pivotCacheId="242900810">
      <levels count="2">
        <level uniqueName="[Posts_Cleaned].[Campaign_Name].[(All)]" sourceCaption="(All)" count="0"/>
        <level uniqueName="[Posts_Cleaned].[Campaign_Name].[Campaign_Name]" sourceCaption="Campaign_Name" count="5">
          <ranges>
            <range startItem="0">
              <i n="[Posts_Cleaned].[Campaign_Name].&amp;" c="(blank)"/>
              <i n="[Posts_Cleaned].[Campaign_Name].&amp;[CybertruckLaunch]" c="CybertruckLaunch"/>
              <i n="[Posts_Cleaned].[Campaign_Name].&amp;[FSDUpdate]" c="FSDUpdate"/>
              <i n="[Posts_Cleaned].[Campaign_Name].&amp;[ModelYCampaign]" c="ModelYCampaign"/>
              <i n="[Posts_Cleaned].[Campaign_Name].&amp;[SustainabilityDrive]" c="SustainabilityDrive"/>
            </range>
          </ranges>
        </level>
      </levels>
      <selections count="4">
        <selection n="[Posts_Cleaned].[Campaign_Name].&amp;[CybertruckLaunch]"/>
        <selection n="[Posts_Cleaned].[Campaign_Name].&amp;[FSDUpdate]"/>
        <selection n="[Posts_Cleaned].[Campaign_Name].&amp;[ModelYCampaign]"/>
        <selection n="[Posts_Cleaned].[Campaign_Name].&amp;[SustainabilityDriv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A93E2D6-1818-4BAF-8ECD-521E8E62321E}" sourceName="Platform">
  <pivotTables>
    <pivotTable tabId="4" name="PivotTable6"/>
  </pivotTables>
  <data>
    <tabular pivotCacheId="1409112009">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1" xr10:uid="{04C7C861-C9EA-4801-9B50-BE9666F0102F}" sourceName="Campaign_Name">
  <pivotTables>
    <pivotTable tabId="4" name="PivotTable6"/>
  </pivotTables>
  <data>
    <tabular pivotCacheId="1409112009">
      <items count="5">
        <i x="0" s="1"/>
        <i x="2"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2" xr10:uid="{8BDAEBAE-5FC2-4A20-A751-26AA908F9321}" sourceName="Campaign_Name">
  <pivotTables>
    <pivotTable tabId="7" name="PivotTable2"/>
  </pivotTables>
  <data>
    <tabular pivotCacheId="20768082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7E39B6A4-D9E3-42E4-989F-C1FF6C8CCEDD}" cache="Slicer_Campaign_Name" caption="Campaign_Name" level="1" style="SlicerStyleLight4" rowHeight="241300"/>
  <slicer name="Platform" xr10:uid="{1E3758B5-C2AF-41AF-B07C-3D80F6D106C3}" cache="Slicer_Platform" caption="Platform" style="SlicerStyleDark2" rowHeight="241300"/>
  <slicer name="Campaign_Name 1" xr10:uid="{4D2481DD-630C-4A7E-8B90-CEAC00E341EB}" cache="Slicer_Campaign_Name1" caption="Campaign_Nam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2" xr10:uid="{DA20D77F-D2B3-4CE9-AC60-298B01F18B62}" cache="Slicer_Campaign_Name2" caption="Campaign_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45C4A-9135-4347-8584-1C269BCCD125}" name="Posts_Cleaned" displayName="Posts_Cleaned" ref="A1:AA302" tableType="queryTable" totalsRowShown="0">
  <autoFilter ref="A1:AA302" xr:uid="{3D145C4A-9135-4347-8584-1C269BCCD125}"/>
  <sortState xmlns:xlrd2="http://schemas.microsoft.com/office/spreadsheetml/2017/richdata2" ref="A2:W302">
    <sortCondition ref="A1:A302"/>
  </sortState>
  <tableColumns count="27">
    <tableColumn id="1" xr3:uid="{2D1BD169-29C6-4E0F-98BF-85499D7E47E3}" uniqueName="1" name="Post ID" queryTableFieldId="1"/>
    <tableColumn id="2" xr3:uid="{A0C52E51-BB6D-44FE-913A-99455FD36144}" uniqueName="2" name="Platform" queryTableFieldId="2" dataDxfId="51"/>
    <tableColumn id="3" xr3:uid="{701FAD3A-1BD8-4B73-8DB0-05AD5BD97463}" uniqueName="3" name="Date" queryTableFieldId="3" dataDxfId="50"/>
    <tableColumn id="4" xr3:uid="{CA7BF1A8-EF32-46E3-8EA8-5519EDA98BAD}" uniqueName="4" name="Content Type" queryTableFieldId="4" dataDxfId="49"/>
    <tableColumn id="5" xr3:uid="{073D9931-E78C-452C-8012-0620A03F0B13}" uniqueName="5" name="Post Text" queryTableFieldId="5" dataDxfId="48"/>
    <tableColumn id="6" xr3:uid="{E2F1E57B-05C3-45B9-AAAC-09BC77E94C1C}" uniqueName="6" name="Likes" queryTableFieldId="6"/>
    <tableColumn id="7" xr3:uid="{2AEBB120-F883-4EEF-8CB0-D5BD1EB4B7E0}" uniqueName="7" name="Shares" queryTableFieldId="7"/>
    <tableColumn id="8" xr3:uid="{5E1EA9DF-1AA0-4B4B-9EF9-B7E4EF486F3B}" uniqueName="8" name="Comments" queryTableFieldId="8"/>
    <tableColumn id="9" xr3:uid="{E7C93F3F-5550-4059-B6A6-55E2363BD07F}" uniqueName="9" name="Impressions" queryTableFieldId="9"/>
    <tableColumn id="10" xr3:uid="{E6A57DDA-6CD9-4CDD-9136-948C6D0F9BF9}" uniqueName="10" name="Reach" queryTableFieldId="10"/>
    <tableColumn id="11" xr3:uid="{49185AFE-E8C9-45EA-ACC6-ADDDB6177581}" uniqueName="11" name="Clicks" queryTableFieldId="11"/>
    <tableColumn id="12" xr3:uid="{CE12593D-C7CB-4D3E-A319-4A61D1FAC7C6}" uniqueName="12" name="Hashtags Used.1" queryTableFieldId="12" dataDxfId="47"/>
    <tableColumn id="13" xr3:uid="{1B19F2EB-7852-45B7-ADCB-33089F7BF211}" uniqueName="13" name="Hashtags Used.2" queryTableFieldId="13" dataDxfId="46"/>
    <tableColumn id="14" xr3:uid="{65385A0D-D207-4478-836F-579AADFBB56E}" uniqueName="14" name="Hashtags Used.3" queryTableFieldId="14" dataDxfId="45"/>
    <tableColumn id="15" xr3:uid="{4081FF19-E605-4FA7-AFBC-FAE966E14E58}" uniqueName="15" name="Campaign_Name" queryTableFieldId="15" dataDxfId="44"/>
    <tableColumn id="16" xr3:uid="{D696F87B-FE61-4D3E-9F52-DC05D1BA1865}" uniqueName="16" name="Engagement Rate " queryTableFieldId="16" dataDxfId="43">
      <calculatedColumnFormula>IFERROR(((Posts_Cleaned[[#This Row],[Likes]]+Posts_Cleaned[[#This Row],[Shares]]+Posts_Cleaned[[#This Row],[Comments]])/Posts_Cleaned[[#This Row],[Impressions]]),0)</calculatedColumnFormula>
    </tableColumn>
    <tableColumn id="17" xr3:uid="{E91AEB09-8852-4C67-BFAE-D1FD303E0C9F}" uniqueName="17" name="Hashtags " queryTableFieldId="17" dataDxfId="42">
      <calculatedColumnFormula>_xlfn.TEXTJOIN(", ", TRUE, Posts_Cleaned[[#This Row],[Hashtags Used.1]], Posts_Cleaned[[#This Row],[Hashtags Used.2]], Posts_Cleaned[[#This Row],[Hashtags Used.3]])</calculatedColumnFormula>
    </tableColumn>
    <tableColumn id="18" xr3:uid="{CE1AEBD3-1871-47D0-95EE-65292063DE05}" uniqueName="18" name="Start Date " queryTableFieldId="19" dataDxfId="41">
      <calculatedColumnFormula>VLOOKUP(Posts_Cleaned[[#This Row],[Campaign_Name]],'Campaign Metadata Dataset '!$A$2:$B$5,2,0)</calculatedColumnFormula>
    </tableColumn>
    <tableColumn id="19" xr3:uid="{2210BAE1-0467-44A5-A38A-1E6CF3DA52E1}" uniqueName="19" name="End Date " queryTableFieldId="20" dataDxfId="40">
      <calculatedColumnFormula>VLOOKUP(Posts_Cleaned[[#This Row],[Campaign_Name]],'Campaign Metadata Dataset '!$A$1:$C$5,3,0)</calculatedColumnFormula>
    </tableColumn>
    <tableColumn id="20" xr3:uid="{652B5441-ED6F-43C1-929B-C31887150785}" uniqueName="20" name="Period" queryTableFieldId="21" dataDxfId="39">
      <calculatedColumnFormula>IF(AND(C2&gt;R2, C2&lt;=S2),"During Campaign","Before Campaign")</calculatedColumnFormula>
    </tableColumn>
    <tableColumn id="21" xr3:uid="{3DA6FA36-042C-4559-AE53-8C6F93B30CB3}" uniqueName="21" name="Engagement" queryTableFieldId="22" dataDxfId="38">
      <calculatedColumnFormula>SUM(Posts_Cleaned[[#This Row],[Likes]]+Posts_Cleaned[[#This Row],[Shares]]+Posts_Cleaned[[#This Row],[Comments]]+Posts_Cleaned[[#This Row],[Clicks]])</calculatedColumnFormula>
    </tableColumn>
    <tableColumn id="22" xr3:uid="{C13A808F-8CEA-4AC1-8E81-F5E2EF41BEA6}" uniqueName="22" name="Before " queryTableFieldId="23" dataDxfId="37">
      <calculatedColumnFormula>AVERAGEIF(Posts_Cleaned[[#This Row],[Period]]:T:T,"Before Campaign",Posts_Cleaned[[#This Row],[Engagement Rate ]])</calculatedColumnFormula>
    </tableColumn>
    <tableColumn id="23" xr3:uid="{8A8F6077-B14D-425B-A40A-8862271F2848}" uniqueName="23" name="During " queryTableFieldId="24" dataDxfId="36">
      <calculatedColumnFormula>AVERAGEIF($T$2:$T$302,"During Campaign",P2)</calculatedColumnFormula>
    </tableColumn>
    <tableColumn id="24" xr3:uid="{144FBE27-39D6-4B31-8E7A-EACBCE621E98}" uniqueName="24" name="Uplift" queryTableFieldId="25" dataDxfId="35">
      <calculatedColumnFormula>(Posts_Cleaned[[#This Row],[During ]]-Posts_Cleaned[[#This Row],[Before ]])/Posts_Cleaned[[#This Row],[During ]]</calculatedColumnFormula>
    </tableColumn>
    <tableColumn id="25" xr3:uid="{1E2BD4B6-CFD3-4EA4-8FDF-D68E7386F7C1}" uniqueName="25" name="Total Budget " queryTableFieldId="26" dataDxfId="34">
      <calculatedColumnFormula>IFERROR(VLOOKUP(O2, 'Campaign Metadata Dataset '!$A$1:$G$5,5,0),0)</calculatedColumnFormula>
    </tableColumn>
    <tableColumn id="26" xr3:uid="{52EABF74-01DF-47F9-962D-C7C3A7305409}" uniqueName="26" name="ROI" queryTableFieldId="27" dataDxfId="33">
      <calculatedColumnFormula>(F:F+G:G+H:H+K:K)/Y:Y</calculatedColumnFormula>
    </tableColumn>
    <tableColumn id="27" xr3:uid="{7FAC9E6E-95F3-4B7A-89E8-BDD7384094E6}" uniqueName="27" name="UPLIFT %" queryTableFieldId="28" dataDxfId="32">
      <calculatedColumnFormula>(W:W-V:V)/W:W</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3945F2-F7E9-4B8E-8879-384D3FCEEF8A}" name="Engagement_Summary" displayName="Engagement_Summary" ref="A1:G1000" tableType="queryTable" totalsRowShown="0">
  <autoFilter ref="A1:G1000" xr:uid="{313945F2-F7E9-4B8E-8879-384D3FCEEF8A}"/>
  <tableColumns count="7">
    <tableColumn id="1" xr3:uid="{64C22443-834F-4D18-B6F7-4D67EE84E5CE}" uniqueName="1" name="Week_Start_Date" queryTableFieldId="1" dataDxfId="31"/>
    <tableColumn id="2" xr3:uid="{906DA496-71AD-4210-B645-4AA09E237C04}" uniqueName="2" name="Platform" queryTableFieldId="2" dataDxfId="30"/>
    <tableColumn id="3" xr3:uid="{50F949BF-011E-4EDB-BF33-79E109BE1D02}" uniqueName="3" name="New_Followers" queryTableFieldId="3"/>
    <tableColumn id="4" xr3:uid="{DE0816E6-BBBA-454E-B010-A6E3C442F96A}" uniqueName="4" name="Unfollows" queryTableFieldId="4"/>
    <tableColumn id="5" xr3:uid="{948646A7-2F02-4981-8A07-E4A79C088271}" uniqueName="5" name="Total_Followers" queryTableFieldId="5"/>
    <tableColumn id="6" xr3:uid="{05647DB6-318E-4BE2-927E-F39A82539B54}" uniqueName="6" name="Engagement_Rate" queryTableFieldId="6"/>
    <tableColumn id="7" xr3:uid="{0B0B9E20-F1A2-4E15-BA5D-A8DDD0D2388C}" uniqueName="7" name="Ad_Spend"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B036E1-35EE-4F9F-A6E9-6494506C8726}" name="Campaign_Metadata" displayName="Campaign_Metadata" ref="A1:G1000" tableType="queryTable" totalsRowShown="0">
  <autoFilter ref="A1:G1000" xr:uid="{A4B036E1-35EE-4F9F-A6E9-6494506C8726}"/>
  <tableColumns count="7">
    <tableColumn id="1" xr3:uid="{446DFC42-C5F6-4F8A-A21D-691528AF1ABC}" uniqueName="1" name="Campaign_Name" queryTableFieldId="1" dataDxfId="29"/>
    <tableColumn id="2" xr3:uid="{F03BD0D9-9C3F-423D-AF7D-7F773C4AC70C}" uniqueName="2" name="Start_Date" queryTableFieldId="2" dataDxfId="28"/>
    <tableColumn id="3" xr3:uid="{16BF10C0-96E1-4FFF-B5E7-12AB9E305095}" uniqueName="3" name="End_Date" queryTableFieldId="3" dataDxfId="27"/>
    <tableColumn id="4" xr3:uid="{861D8879-0FAB-4BAE-AA2A-21DC708EAEAB}" uniqueName="4" name="Objective" queryTableFieldId="4" dataDxfId="26"/>
    <tableColumn id="5" xr3:uid="{D9494667-EA3B-4CBC-A8B6-D34F12DA5032}" uniqueName="5" name="Total_Budget" queryTableFieldId="5"/>
    <tableColumn id="6" xr3:uid="{07782768-BB28-42D8-83CD-D99DD9DB2734}" uniqueName="6" name="Target_Platforms" queryTableFieldId="6" dataDxfId="25"/>
    <tableColumn id="7" xr3:uid="{74FAA486-79E0-400D-8057-F8B1477383DA}" uniqueName="7" name="Primary_Hashtags" queryTableFieldId="7"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72EC17-C8DC-4F6A-921C-5977B5D3A324}" name="Table4" displayName="Table4" ref="A5:D9" totalsRowShown="0" tableBorderDxfId="16">
  <autoFilter ref="A5:D9" xr:uid="{1072EC17-C8DC-4F6A-921C-5977B5D3A324}"/>
  <tableColumns count="4">
    <tableColumn id="1" xr3:uid="{75453B34-FEEE-42C4-9E8E-B4AD4A80EE59}" name="Campaign_Name"/>
    <tableColumn id="2" xr3:uid="{D0110379-FA53-4431-B100-F342A9F8FB0B}" name="Total_Budget"/>
    <tableColumn id="3" xr3:uid="{0AE4BE62-DB57-4D88-9609-DFA94F19F317}" name="Total Enagaement " dataDxfId="15"/>
    <tableColumn id="4" xr3:uid="{56D5379C-460B-42BA-9F44-8A7F9455261A}" name="Highest ROI" dataDxfId="14">
      <calculatedColumnFormula>C6/B6</calculatedColumnFormula>
    </tableColumn>
  </tableColumns>
  <tableStyleInfo name="TableStyleMedium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2D32E0-E9ED-47FA-8A5C-F64217FBF4C5}" name="Table6" displayName="Table6" ref="A8:E16" totalsRowShown="0" headerRowDxfId="6" dataDxfId="5" headerRowCellStyle="Accent4">
  <autoFilter ref="A8:E16" xr:uid="{6D2D32E0-E9ED-47FA-8A5C-F64217FBF4C5}"/>
  <tableColumns count="5">
    <tableColumn id="1" xr3:uid="{DEEB4478-7C52-4CA0-B5FA-1A80D05DD704}" name="Campaign_Name" dataDxfId="4"/>
    <tableColumn id="2" xr3:uid="{1A31F9A4-AC8D-496A-AD7C-1FC04C85BFF3}" name="Start Date " dataDxfId="3"/>
    <tableColumn id="3" xr3:uid="{78239604-88E9-4675-A301-9928DE7E91E0}" name="End Date " dataDxfId="2"/>
    <tableColumn id="4" xr3:uid="{88EE718C-258C-4DCF-8899-C50BBF564F64}" name="Target Platform " dataDxfId="1"/>
    <tableColumn id="5" xr3:uid="{3981F347-F65D-444B-AC81-BB55EE09E0A1}" name="New_Follewrs " dataDxfId="0"/>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993A-276F-49CB-9B90-D4727062EF49}">
  <dimension ref="A1:AC302"/>
  <sheetViews>
    <sheetView topLeftCell="T5" zoomScale="87" zoomScaleNormal="100" workbookViewId="0">
      <selection activeCell="AE6" sqref="AE6"/>
    </sheetView>
  </sheetViews>
  <sheetFormatPr defaultRowHeight="15" x14ac:dyDescent="0.25"/>
  <cols>
    <col min="1" max="1" width="9.42578125" bestFit="1" customWidth="1"/>
    <col min="2" max="2" width="11" bestFit="1" customWidth="1"/>
    <col min="3" max="3" width="13.28515625" customWidth="1"/>
    <col min="4" max="4" width="15.140625" bestFit="1" customWidth="1"/>
    <col min="5" max="5" width="40" bestFit="1" customWidth="1"/>
    <col min="6" max="6" width="7.7109375" bestFit="1" customWidth="1"/>
    <col min="8" max="8" width="12.85546875" bestFit="1" customWidth="1"/>
    <col min="9" max="9" width="14" bestFit="1" customWidth="1"/>
    <col min="10" max="10" width="8.5703125" bestFit="1" customWidth="1"/>
    <col min="11" max="11" width="8.28515625" bestFit="1" customWidth="1"/>
    <col min="12" max="12" width="18.7109375" bestFit="1" customWidth="1"/>
    <col min="13" max="13" width="22" bestFit="1" customWidth="1"/>
    <col min="14" max="14" width="20.28515625" bestFit="1" customWidth="1"/>
    <col min="15" max="15" width="18.42578125" customWidth="1"/>
    <col min="16" max="16" width="19.28515625" style="5" bestFit="1" customWidth="1"/>
    <col min="17" max="17" width="56.28515625" style="3" bestFit="1" customWidth="1"/>
    <col min="18" max="18" width="24.140625" style="2" customWidth="1"/>
    <col min="19" max="19" width="25.140625" style="2" customWidth="1"/>
    <col min="20" max="20" width="22.5703125" customWidth="1"/>
    <col min="21" max="21" width="19" customWidth="1"/>
    <col min="22" max="22" width="21" customWidth="1"/>
    <col min="23" max="23" width="16.42578125" style="5" customWidth="1"/>
    <col min="24" max="24" width="12.28515625" style="6" customWidth="1"/>
    <col min="25" max="25" width="18" customWidth="1"/>
    <col min="26" max="26" width="15" style="1" customWidth="1"/>
    <col min="27" max="27" width="12.7109375" customWidth="1"/>
    <col min="28" max="28" width="18.7109375" customWidth="1"/>
    <col min="29" max="29" width="13.42578125" style="6" bestFit="1" customWidth="1"/>
    <col min="90" max="90" width="18.7109375" customWidth="1"/>
    <col min="91" max="91" width="17.85546875" customWidth="1"/>
    <col min="92" max="92" width="16" customWidth="1"/>
    <col min="98" max="98" width="18.28515625" customWidth="1"/>
    <col min="99" max="99" width="20.85546875" customWidth="1"/>
    <col min="100" max="100" width="22.140625" customWidth="1"/>
    <col min="101" max="101" width="21.28515625" customWidth="1"/>
    <col min="102" max="102" width="23.140625" customWidth="1"/>
    <col min="103" max="103" width="32.140625" customWidth="1"/>
    <col min="104" max="104" width="34" customWidth="1"/>
    <col min="105" max="105" width="21.7109375" customWidth="1"/>
    <col min="106" max="106" width="21.140625" customWidth="1"/>
    <col min="107" max="107" width="33.85546875"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s="5" t="s">
        <v>380</v>
      </c>
      <c r="Q1" s="3" t="s">
        <v>381</v>
      </c>
      <c r="R1" s="4" t="s">
        <v>384</v>
      </c>
      <c r="S1" s="2" t="s">
        <v>385</v>
      </c>
      <c r="T1" t="s">
        <v>386</v>
      </c>
      <c r="U1" t="s">
        <v>387</v>
      </c>
      <c r="V1" t="s">
        <v>388</v>
      </c>
      <c r="W1" s="5" t="s">
        <v>389</v>
      </c>
      <c r="X1" s="6" t="s">
        <v>390</v>
      </c>
      <c r="Y1" t="s">
        <v>391</v>
      </c>
      <c r="Z1" s="1" t="s">
        <v>392</v>
      </c>
      <c r="AA1" t="s">
        <v>405</v>
      </c>
    </row>
    <row r="2" spans="1:29" x14ac:dyDescent="0.25">
      <c r="A2" t="s">
        <v>15</v>
      </c>
      <c r="B2" s="1" t="s">
        <v>16</v>
      </c>
      <c r="C2" s="2">
        <v>45649</v>
      </c>
      <c r="D2" s="1" t="s">
        <v>17</v>
      </c>
      <c r="E2" s="1" t="s">
        <v>18</v>
      </c>
      <c r="F2">
        <v>1461</v>
      </c>
      <c r="G2">
        <v>184</v>
      </c>
      <c r="H2">
        <v>344</v>
      </c>
      <c r="I2">
        <v>21915</v>
      </c>
      <c r="J2">
        <v>21675</v>
      </c>
      <c r="K2">
        <v>15</v>
      </c>
      <c r="L2" s="1" t="s">
        <v>19</v>
      </c>
      <c r="M2" s="1" t="s">
        <v>20</v>
      </c>
      <c r="N2" s="1"/>
      <c r="O2" s="1" t="s">
        <v>21</v>
      </c>
      <c r="P2" s="5">
        <f>IFERROR(((Posts_Cleaned[[#This Row],[Likes]]+Posts_Cleaned[[#This Row],[Shares]]+Posts_Cleaned[[#This Row],[Comments]])/Posts_Cleaned[[#This Row],[Impressions]]),0)</f>
        <v>9.0759753593429152E-2</v>
      </c>
      <c r="Q2" s="3" t="str">
        <f>_xlfn.TEXTJOIN(", ", TRUE, Posts_Cleaned[[#This Row],[Hashtags Used.1]], Posts_Cleaned[[#This Row],[Hashtags Used.2]], Posts_Cleaned[[#This Row],[Hashtags Used.3]])</f>
        <v>#FutureOfDriving, #AnytimeIsTeslaTime</v>
      </c>
      <c r="R2" s="4">
        <f>VLOOKUP(Posts_Cleaned[[#This Row],[Campaign_Name]],'Campaign Metadata Dataset '!$A$2:$B$5,2,0)</f>
        <v>45458</v>
      </c>
      <c r="S2" s="2">
        <f>VLOOKUP(Posts_Cleaned[[#This Row],[Campaign_Name]],'Campaign Metadata Dataset '!$A$1:$C$5,3,0)</f>
        <v>45488</v>
      </c>
      <c r="T2" s="1" t="str">
        <f>IF(AND(C2&gt;R2, C2&lt;=S2),"During Campaign","Before Campaign")</f>
        <v>Before Campaign</v>
      </c>
      <c r="U2" s="1">
        <f>SUM(Posts_Cleaned[[#This Row],[Likes]]+Posts_Cleaned[[#This Row],[Shares]]+Posts_Cleaned[[#This Row],[Comments]]+Posts_Cleaned[[#This Row],[Clicks]])</f>
        <v>2004</v>
      </c>
      <c r="V2" s="1">
        <f ca="1">AVERAGEIF(Posts_Cleaned[[#This Row],[Period]]:T:T,"Before Campaign",Posts_Cleaned[[#This Row],[Engagement Rate ]])</f>
        <v>0.14581846288291217</v>
      </c>
      <c r="W2" s="5">
        <f ca="1">AVERAGEIF($T$2:$T$302,"During Campaign",P2)</f>
        <v>0.1285241227988913</v>
      </c>
      <c r="X2" s="6">
        <f ca="1">(W2-V2)/W2</f>
        <v>-0.13456104354108109</v>
      </c>
      <c r="Y2" s="1">
        <f>IFERROR(VLOOKUP(O2, 'Campaign Metadata Dataset '!$A$1:$G$5,5,0),0)</f>
        <v>150000</v>
      </c>
      <c r="Z2" s="1">
        <f>(Posts_Cleaned[[#This Row],[Likes]]+Posts_Cleaned[[#This Row],[Shares]]+Posts_Cleaned[[#This Row],[Comments]]+Posts_Cleaned[[#This Row],[Clicks]])/Posts_Cleaned[[#This Row],[Total Budget ]]</f>
        <v>1.336E-2</v>
      </c>
      <c r="AA2" s="1">
        <f t="shared" ref="AA2:AA65" ca="1" si="0">(W:W-V:V)/W:W</f>
        <v>-0.13456104354108109</v>
      </c>
    </row>
    <row r="3" spans="1:29" x14ac:dyDescent="0.25">
      <c r="A3" t="s">
        <v>22</v>
      </c>
      <c r="B3" s="1" t="s">
        <v>16</v>
      </c>
      <c r="C3" s="2">
        <v>45750</v>
      </c>
      <c r="D3" s="1" t="s">
        <v>23</v>
      </c>
      <c r="E3" s="1" t="s">
        <v>24</v>
      </c>
      <c r="F3">
        <v>4054</v>
      </c>
      <c r="G3">
        <v>389</v>
      </c>
      <c r="H3">
        <v>493</v>
      </c>
      <c r="I3">
        <v>64864</v>
      </c>
      <c r="J3">
        <v>64383</v>
      </c>
      <c r="K3">
        <v>117</v>
      </c>
      <c r="L3" s="1" t="s">
        <v>25</v>
      </c>
      <c r="M3" s="1" t="s">
        <v>26</v>
      </c>
      <c r="N3" s="1"/>
      <c r="O3" s="1" t="s">
        <v>27</v>
      </c>
      <c r="P3" s="5">
        <f>IFERROR(((Posts_Cleaned[[#This Row],[Likes]]+Posts_Cleaned[[#This Row],[Shares]]+Posts_Cleaned[[#This Row],[Comments]])/Posts_Cleaned[[#This Row],[Impressions]]),0)</f>
        <v>7.6097681302417369E-2</v>
      </c>
      <c r="Q3" s="3" t="str">
        <f>_xlfn.TEXTJOIN(", ", TRUE, Posts_Cleaned[[#This Row],[Hashtags Used.1]], Posts_Cleaned[[#This Row],[Hashtags Used.2]], Posts_Cleaned[[#This Row],[Hashtags Used.3]])</f>
        <v>#TeslaCoInnovation, #BetterWithTesla</v>
      </c>
      <c r="R3" s="4">
        <f>VLOOKUP(Posts_Cleaned[[#This Row],[Campaign_Name]],'Campaign Metadata Dataset '!$A$2:$B$5,2,0)</f>
        <v>45566</v>
      </c>
      <c r="S3" s="2">
        <f>VLOOKUP(Posts_Cleaned[[#This Row],[Campaign_Name]],'Campaign Metadata Dataset '!$A$1:$C$5,3,0)</f>
        <v>45596</v>
      </c>
      <c r="T3" s="1" t="str">
        <f t="shared" ref="T3:T65" si="1">IF(AND(C3&gt;R3, C3&lt;=S3),"During Campaign","Before Campaign")</f>
        <v>Before Campaign</v>
      </c>
      <c r="U3" s="1">
        <f>SUM(Posts_Cleaned[[#This Row],[Likes]]+Posts_Cleaned[[#This Row],[Shares]]+Posts_Cleaned[[#This Row],[Comments]]+Posts_Cleaned[[#This Row],[Clicks]])</f>
        <v>5053</v>
      </c>
      <c r="V3" s="1">
        <f ca="1">AVERAGEIF(Posts_Cleaned[[#This Row],[Period]]:T:T,"Before Campaign",Posts_Cleaned[[#This Row],[Engagement Rate ]])</f>
        <v>0.14572924899368364</v>
      </c>
      <c r="W3" s="5">
        <f t="shared" ref="W3:W66" ca="1" si="2">AVERAGEIF($T$2:$T$302,"During Campaign",P3)</f>
        <v>0.18027698306239801</v>
      </c>
      <c r="X3" s="6">
        <f ca="1">(Posts_Cleaned[[#This Row],[During ]]-Posts_Cleaned[[#This Row],[Before ]])/Posts_Cleaned[[#This Row],[During ]]</f>
        <v>0.19163696597228166</v>
      </c>
      <c r="Y3" s="1">
        <f>IFERROR(VLOOKUP(O3, 'Campaign Metadata Dataset '!$A$1:$G$5,5,0),0)</f>
        <v>200000</v>
      </c>
      <c r="Z3" s="1">
        <f t="shared" ref="Z3:Z65" si="3">(F:F+G:G+H:H+K:K)/Y:Y</f>
        <v>2.5264999999999999E-2</v>
      </c>
      <c r="AA3" s="1">
        <f t="shared" ca="1" si="0"/>
        <v>0.19163696597228166</v>
      </c>
    </row>
    <row r="4" spans="1:29" x14ac:dyDescent="0.25">
      <c r="A4" t="s">
        <v>28</v>
      </c>
      <c r="B4" s="1" t="s">
        <v>29</v>
      </c>
      <c r="C4" s="2">
        <v>45789</v>
      </c>
      <c r="D4" s="1" t="s">
        <v>17</v>
      </c>
      <c r="E4" s="1" t="s">
        <v>30</v>
      </c>
      <c r="F4">
        <v>2795</v>
      </c>
      <c r="G4">
        <v>105</v>
      </c>
      <c r="H4">
        <v>49</v>
      </c>
      <c r="I4">
        <v>53105</v>
      </c>
      <c r="J4">
        <v>52307</v>
      </c>
      <c r="K4">
        <v>204</v>
      </c>
      <c r="L4" s="1" t="s">
        <v>25</v>
      </c>
      <c r="M4" s="1"/>
      <c r="N4" s="1"/>
      <c r="O4" s="1" t="s">
        <v>31</v>
      </c>
      <c r="P4" s="5">
        <f>IFERROR(((Posts_Cleaned[[#This Row],[Likes]]+Posts_Cleaned[[#This Row],[Shares]]+Posts_Cleaned[[#This Row],[Comments]])/Posts_Cleaned[[#This Row],[Impressions]]),0)</f>
        <v>5.5531494209584788E-2</v>
      </c>
      <c r="Q4" s="3" t="str">
        <f>_xlfn.TEXTJOIN(", ", TRUE, Posts_Cleaned[[#This Row],[Hashtags Used.1]], Posts_Cleaned[[#This Row],[Hashtags Used.2]], Posts_Cleaned[[#This Row],[Hashtags Used.3]])</f>
        <v>#TeslaCoInnovation</v>
      </c>
      <c r="R4" s="4">
        <f>VLOOKUP(Posts_Cleaned[[#This Row],[Campaign_Name]],'Campaign Metadata Dataset '!$A$2:$B$5,2,0)</f>
        <v>45651</v>
      </c>
      <c r="S4" s="2">
        <f>VLOOKUP(Posts_Cleaned[[#This Row],[Campaign_Name]],'Campaign Metadata Dataset '!$A$1:$C$5,3,0)</f>
        <v>45667</v>
      </c>
      <c r="T4" s="1" t="str">
        <f t="shared" si="1"/>
        <v>Before Campaign</v>
      </c>
      <c r="U4" s="1">
        <f>SUM(Posts_Cleaned[[#This Row],[Likes]]+Posts_Cleaned[[#This Row],[Shares]]+Posts_Cleaned[[#This Row],[Comments]]+Posts_Cleaned[[#This Row],[Clicks]])</f>
        <v>3153</v>
      </c>
      <c r="V4" s="1">
        <f ca="1">AVERAGEIF(Posts_Cleaned[[#This Row],[Period]]:T:T,"Before Campaign",Posts_Cleaned[[#This Row],[Engagement Rate ]])</f>
        <v>0.14082148653695845</v>
      </c>
      <c r="W4" s="5">
        <f t="shared" ca="1" si="2"/>
        <v>0.16154791308173352</v>
      </c>
      <c r="X4" s="6">
        <f ca="1">(Posts_Cleaned[[#This Row],[During ]]-Posts_Cleaned[[#This Row],[Before ]])/Posts_Cleaned[[#This Row],[During ]]</f>
        <v>0.12829894332518399</v>
      </c>
      <c r="Y4" s="1">
        <f>IFERROR(VLOOKUP(O4, 'Campaign Metadata Dataset '!$A$1:$G$5,5,0),0)</f>
        <v>250000</v>
      </c>
      <c r="Z4" s="1">
        <f t="shared" si="3"/>
        <v>1.2612E-2</v>
      </c>
      <c r="AA4" s="1">
        <f t="shared" ca="1" si="0"/>
        <v>0.12829894332518399</v>
      </c>
    </row>
    <row r="5" spans="1:29" x14ac:dyDescent="0.25">
      <c r="A5" t="s">
        <v>32</v>
      </c>
      <c r="B5" s="1" t="s">
        <v>33</v>
      </c>
      <c r="C5" s="2">
        <v>45516</v>
      </c>
      <c r="D5" s="1" t="s">
        <v>34</v>
      </c>
      <c r="E5" s="1" t="s">
        <v>35</v>
      </c>
      <c r="F5">
        <v>2404</v>
      </c>
      <c r="G5">
        <v>363</v>
      </c>
      <c r="H5">
        <v>138</v>
      </c>
      <c r="I5">
        <v>19232</v>
      </c>
      <c r="J5">
        <v>18636</v>
      </c>
      <c r="K5">
        <v>128</v>
      </c>
      <c r="L5" s="1" t="s">
        <v>36</v>
      </c>
      <c r="M5" s="1"/>
      <c r="N5" s="1"/>
      <c r="O5" s="1" t="s">
        <v>37</v>
      </c>
      <c r="P5" s="5">
        <f>IFERROR(((Posts_Cleaned[[#This Row],[Likes]]+Posts_Cleaned[[#This Row],[Shares]]+Posts_Cleaned[[#This Row],[Comments]])/Posts_Cleaned[[#This Row],[Impressions]]),0)</f>
        <v>0.15105033277870217</v>
      </c>
      <c r="Q5" s="3" t="str">
        <f>_xlfn.TEXTJOIN(", ", TRUE, Posts_Cleaned[[#This Row],[Hashtags Used.1]], Posts_Cleaned[[#This Row],[Hashtags Used.2]], Posts_Cleaned[[#This Row],[Hashtags Used.3]])</f>
        <v>#EVRevolution</v>
      </c>
      <c r="R5" s="4">
        <f>VLOOKUP(Posts_Cleaned[[#This Row],[Campaign_Name]],'Campaign Metadata Dataset '!$A$2:$B$5,2,0)</f>
        <v>45717</v>
      </c>
      <c r="S5" s="2">
        <f>VLOOKUP(Posts_Cleaned[[#This Row],[Campaign_Name]],'Campaign Metadata Dataset '!$A$1:$C$5,3,0)</f>
        <v>45747</v>
      </c>
      <c r="T5" s="1" t="str">
        <f t="shared" si="1"/>
        <v>Before Campaign</v>
      </c>
      <c r="U5" s="1">
        <f>SUM(Posts_Cleaned[[#This Row],[Likes]]+Posts_Cleaned[[#This Row],[Shares]]+Posts_Cleaned[[#This Row],[Comments]]+Posts_Cleaned[[#This Row],[Clicks]])</f>
        <v>3033</v>
      </c>
      <c r="V5" s="1">
        <f ca="1">AVERAGEIF(Posts_Cleaned[[#This Row],[Period]]:T:T,"Before Campaign",Posts_Cleaned[[#This Row],[Engagement Rate ]])</f>
        <v>0.15032951281772053</v>
      </c>
      <c r="W5" s="5">
        <f t="shared" ca="1" si="2"/>
        <v>0.14598514221458356</v>
      </c>
      <c r="X5" s="6">
        <f ca="1">(Posts_Cleaned[[#This Row],[During ]]-Posts_Cleaned[[#This Row],[Before ]])/Posts_Cleaned[[#This Row],[During ]]</f>
        <v>-2.9758991478401144E-2</v>
      </c>
      <c r="Y5" s="1">
        <f>IFERROR(VLOOKUP(O5, 'Campaign Metadata Dataset '!$A$1:$G$5,5,0),0)</f>
        <v>180000</v>
      </c>
      <c r="Z5" s="1">
        <f t="shared" si="3"/>
        <v>1.685E-2</v>
      </c>
      <c r="AA5" s="1">
        <f t="shared" ca="1" si="0"/>
        <v>-2.9758991478401144E-2</v>
      </c>
    </row>
    <row r="6" spans="1:29" x14ac:dyDescent="0.25">
      <c r="A6" t="s">
        <v>38</v>
      </c>
      <c r="B6" s="1" t="s">
        <v>29</v>
      </c>
      <c r="C6" s="2">
        <v>45469</v>
      </c>
      <c r="D6" s="1" t="s">
        <v>17</v>
      </c>
      <c r="E6" s="1" t="s">
        <v>30</v>
      </c>
      <c r="F6">
        <v>3557</v>
      </c>
      <c r="G6">
        <v>687</v>
      </c>
      <c r="H6">
        <v>424</v>
      </c>
      <c r="I6">
        <v>71140</v>
      </c>
      <c r="J6">
        <v>70701</v>
      </c>
      <c r="K6">
        <v>224</v>
      </c>
      <c r="L6" s="1" t="s">
        <v>36</v>
      </c>
      <c r="M6" s="1" t="s">
        <v>25</v>
      </c>
      <c r="N6" s="1"/>
      <c r="O6" s="1" t="s">
        <v>21</v>
      </c>
      <c r="P6" s="5">
        <f>IFERROR(((Posts_Cleaned[[#This Row],[Likes]]+Posts_Cleaned[[#This Row],[Shares]]+Posts_Cleaned[[#This Row],[Comments]])/Posts_Cleaned[[#This Row],[Impressions]]),0)</f>
        <v>6.5617093055946027E-2</v>
      </c>
      <c r="Q6" s="3" t="str">
        <f>_xlfn.TEXTJOIN(", ", TRUE, Posts_Cleaned[[#This Row],[Hashtags Used.1]], Posts_Cleaned[[#This Row],[Hashtags Used.2]], Posts_Cleaned[[#This Row],[Hashtags Used.3]])</f>
        <v>#EVRevolution, #TeslaCoInnovation</v>
      </c>
      <c r="R6" s="4">
        <f>VLOOKUP(Posts_Cleaned[[#This Row],[Campaign_Name]],'Campaign Metadata Dataset '!$A$2:$B$5,2,0)</f>
        <v>45458</v>
      </c>
      <c r="S6" s="2">
        <f>VLOOKUP(Posts_Cleaned[[#This Row],[Campaign_Name]],'Campaign Metadata Dataset '!$A$1:$C$5,3,0)</f>
        <v>45488</v>
      </c>
      <c r="T6" s="1" t="str">
        <f t="shared" si="1"/>
        <v>During Campaign</v>
      </c>
      <c r="U6" s="1">
        <f>SUM(Posts_Cleaned[[#This Row],[Likes]]+Posts_Cleaned[[#This Row],[Shares]]+Posts_Cleaned[[#This Row],[Comments]]+Posts_Cleaned[[#This Row],[Clicks]])</f>
        <v>4892</v>
      </c>
      <c r="V6" s="1">
        <f ca="1">AVERAGEIF(Posts_Cleaned[[#This Row],[Period]]:T:T,"Before Campaign",Posts_Cleaned[[#This Row],[Engagement Rate ]])</f>
        <v>0.14805746871848174</v>
      </c>
      <c r="W6" s="5">
        <f t="shared" ca="1" si="2"/>
        <v>0.15787462854893083</v>
      </c>
      <c r="X6" s="6">
        <f ca="1">(Posts_Cleaned[[#This Row],[During ]]-Posts_Cleaned[[#This Row],[Before ]])/Posts_Cleaned[[#This Row],[During ]]</f>
        <v>6.2183264788530673E-2</v>
      </c>
      <c r="Y6" s="1">
        <f>IFERROR(VLOOKUP(O6, 'Campaign Metadata Dataset '!$A$1:$G$5,5,0),0)</f>
        <v>150000</v>
      </c>
      <c r="Z6" s="1">
        <f t="shared" si="3"/>
        <v>3.2613333333333334E-2</v>
      </c>
      <c r="AA6" s="1">
        <f t="shared" ca="1" si="0"/>
        <v>6.2183264788530673E-2</v>
      </c>
    </row>
    <row r="7" spans="1:29" x14ac:dyDescent="0.25">
      <c r="A7" t="s">
        <v>39</v>
      </c>
      <c r="B7" s="1" t="s">
        <v>40</v>
      </c>
      <c r="C7" s="2">
        <v>45596</v>
      </c>
      <c r="D7" s="1" t="s">
        <v>41</v>
      </c>
      <c r="E7" s="1" t="s">
        <v>42</v>
      </c>
      <c r="F7">
        <v>2945</v>
      </c>
      <c r="G7">
        <v>930</v>
      </c>
      <c r="H7">
        <v>355</v>
      </c>
      <c r="I7">
        <v>23560</v>
      </c>
      <c r="J7">
        <v>23275</v>
      </c>
      <c r="K7">
        <v>256</v>
      </c>
      <c r="L7" s="1" t="s">
        <v>25</v>
      </c>
      <c r="M7" s="1"/>
      <c r="N7" s="1"/>
      <c r="O7" s="1" t="s">
        <v>27</v>
      </c>
      <c r="P7" s="5">
        <f>IFERROR(((Posts_Cleaned[[#This Row],[Likes]]+Posts_Cleaned[[#This Row],[Shares]]+Posts_Cleaned[[#This Row],[Comments]])/Posts_Cleaned[[#This Row],[Impressions]]),0)</f>
        <v>0.17954159592529711</v>
      </c>
      <c r="Q7" s="3" t="str">
        <f>_xlfn.TEXTJOIN(", ", TRUE, Posts_Cleaned[[#This Row],[Hashtags Used.1]], Posts_Cleaned[[#This Row],[Hashtags Used.2]], Posts_Cleaned[[#This Row],[Hashtags Used.3]])</f>
        <v>#TeslaCoInnovation</v>
      </c>
      <c r="R7" s="4">
        <f>VLOOKUP(Posts_Cleaned[[#This Row],[Campaign_Name]],'Campaign Metadata Dataset '!$A$2:$B$5,2,0)</f>
        <v>45566</v>
      </c>
      <c r="S7" s="2">
        <f>VLOOKUP(Posts_Cleaned[[#This Row],[Campaign_Name]],'Campaign Metadata Dataset '!$A$1:$C$5,3,0)</f>
        <v>45596</v>
      </c>
      <c r="T7" s="1" t="str">
        <f t="shared" si="1"/>
        <v>During Campaign</v>
      </c>
      <c r="U7" s="1">
        <f>SUM(Posts_Cleaned[[#This Row],[Likes]]+Posts_Cleaned[[#This Row],[Shares]]+Posts_Cleaned[[#This Row],[Comments]]+Posts_Cleaned[[#This Row],[Clicks]])</f>
        <v>4486</v>
      </c>
      <c r="V7" s="1">
        <f ca="1">AVERAGEIF(Posts_Cleaned[[#This Row],[Period]]:T:T,"Before Campaign",Posts_Cleaned[[#This Row],[Engagement Rate ]])</f>
        <v>0.14973769459402911</v>
      </c>
      <c r="W7" s="5">
        <f t="shared" ca="1" si="2"/>
        <v>0.14999160926623065</v>
      </c>
      <c r="X7" s="6">
        <f ca="1">(Posts_Cleaned[[#This Row],[During ]]-Posts_Cleaned[[#This Row],[Before ]])/Posts_Cleaned[[#This Row],[During ]]</f>
        <v>1.6928591768813374E-3</v>
      </c>
      <c r="Y7" s="1">
        <f>IFERROR(VLOOKUP(O7, 'Campaign Metadata Dataset '!$A$1:$G$5,5,0),0)</f>
        <v>200000</v>
      </c>
      <c r="Z7" s="1">
        <f t="shared" si="3"/>
        <v>2.2429999999999999E-2</v>
      </c>
      <c r="AA7" s="1">
        <f t="shared" ca="1" si="0"/>
        <v>1.6928591768813374E-3</v>
      </c>
    </row>
    <row r="8" spans="1:29" x14ac:dyDescent="0.25">
      <c r="A8" t="s">
        <v>43</v>
      </c>
      <c r="B8" s="1" t="s">
        <v>16</v>
      </c>
      <c r="C8" s="2">
        <v>45467</v>
      </c>
      <c r="D8" s="1" t="s">
        <v>41</v>
      </c>
      <c r="E8" s="1" t="s">
        <v>44</v>
      </c>
      <c r="F8">
        <v>3860</v>
      </c>
      <c r="G8">
        <v>201</v>
      </c>
      <c r="H8">
        <v>279</v>
      </c>
      <c r="I8">
        <v>61760</v>
      </c>
      <c r="J8">
        <v>61660</v>
      </c>
      <c r="K8">
        <v>235</v>
      </c>
      <c r="L8" s="1" t="s">
        <v>25</v>
      </c>
      <c r="M8" s="1"/>
      <c r="N8" s="1"/>
      <c r="O8" s="1" t="s">
        <v>27</v>
      </c>
      <c r="P8" s="5">
        <f>IFERROR(((Posts_Cleaned[[#This Row],[Likes]]+Posts_Cleaned[[#This Row],[Shares]]+Posts_Cleaned[[#This Row],[Comments]])/Posts_Cleaned[[#This Row],[Impressions]]),0)</f>
        <v>7.0272020725388601E-2</v>
      </c>
      <c r="Q8" s="3" t="str">
        <f>_xlfn.TEXTJOIN(", ", TRUE, Posts_Cleaned[[#This Row],[Hashtags Used.1]], Posts_Cleaned[[#This Row],[Hashtags Used.2]], Posts_Cleaned[[#This Row],[Hashtags Used.3]])</f>
        <v>#TeslaCoInnovation</v>
      </c>
      <c r="R8" s="4">
        <f>VLOOKUP(Posts_Cleaned[[#This Row],[Campaign_Name]],'Campaign Metadata Dataset '!$A$2:$B$5,2,0)</f>
        <v>45566</v>
      </c>
      <c r="S8" s="2">
        <f>VLOOKUP(Posts_Cleaned[[#This Row],[Campaign_Name]],'Campaign Metadata Dataset '!$A$1:$C$5,3,0)</f>
        <v>45596</v>
      </c>
      <c r="T8" s="1" t="str">
        <f t="shared" si="1"/>
        <v>Before Campaign</v>
      </c>
      <c r="U8" s="1">
        <f>SUM(Posts_Cleaned[[#This Row],[Likes]]+Posts_Cleaned[[#This Row],[Shares]]+Posts_Cleaned[[#This Row],[Comments]]+Posts_Cleaned[[#This Row],[Clicks]])</f>
        <v>4575</v>
      </c>
      <c r="V8" s="1">
        <f ca="1">AVERAGEIF(Posts_Cleaned[[#This Row],[Period]]:T:T,"Before Campaign",Posts_Cleaned[[#This Row],[Engagement Rate ]])</f>
        <v>0.15113021738468799</v>
      </c>
      <c r="W8" s="5">
        <f t="shared" ca="1" si="2"/>
        <v>0.15368621724132922</v>
      </c>
      <c r="X8" s="6">
        <f ca="1">(Posts_Cleaned[[#This Row],[During ]]-Posts_Cleaned[[#This Row],[Before ]])/Posts_Cleaned[[#This Row],[During ]]</f>
        <v>1.663128875524093E-2</v>
      </c>
      <c r="Y8" s="1">
        <f>IFERROR(VLOOKUP(O8, 'Campaign Metadata Dataset '!$A$1:$G$5,5,0),0)</f>
        <v>200000</v>
      </c>
      <c r="Z8" s="1">
        <f t="shared" si="3"/>
        <v>2.2875E-2</v>
      </c>
      <c r="AA8" s="1">
        <f t="shared" ca="1" si="0"/>
        <v>1.663128875524093E-2</v>
      </c>
      <c r="AC8" s="2"/>
    </row>
    <row r="9" spans="1:29" x14ac:dyDescent="0.25">
      <c r="A9" t="s">
        <v>45</v>
      </c>
      <c r="B9" s="1" t="s">
        <v>29</v>
      </c>
      <c r="C9" s="2">
        <v>45486</v>
      </c>
      <c r="D9" s="1" t="s">
        <v>46</v>
      </c>
      <c r="E9" s="1" t="s">
        <v>47</v>
      </c>
      <c r="F9">
        <v>3929</v>
      </c>
      <c r="G9">
        <v>262</v>
      </c>
      <c r="H9">
        <v>278</v>
      </c>
      <c r="I9">
        <v>43219</v>
      </c>
      <c r="J9">
        <v>42841</v>
      </c>
      <c r="K9">
        <v>39</v>
      </c>
      <c r="L9" s="1" t="s">
        <v>36</v>
      </c>
      <c r="M9" s="1"/>
      <c r="N9" s="1"/>
      <c r="O9" s="1" t="s">
        <v>37</v>
      </c>
      <c r="P9" s="5">
        <f>IFERROR(((Posts_Cleaned[[#This Row],[Likes]]+Posts_Cleaned[[#This Row],[Shares]]+Posts_Cleaned[[#This Row],[Comments]])/Posts_Cleaned[[#This Row],[Impressions]]),0)</f>
        <v>0.10340359564080613</v>
      </c>
      <c r="Q9" s="3" t="str">
        <f>_xlfn.TEXTJOIN(", ", TRUE, Posts_Cleaned[[#This Row],[Hashtags Used.1]], Posts_Cleaned[[#This Row],[Hashtags Used.2]], Posts_Cleaned[[#This Row],[Hashtags Used.3]])</f>
        <v>#EVRevolution</v>
      </c>
      <c r="R9" s="4">
        <f>VLOOKUP(Posts_Cleaned[[#This Row],[Campaign_Name]],'Campaign Metadata Dataset '!$A$2:$B$5,2,0)</f>
        <v>45717</v>
      </c>
      <c r="S9" s="2">
        <f>VLOOKUP(Posts_Cleaned[[#This Row],[Campaign_Name]],'Campaign Metadata Dataset '!$A$1:$C$5,3,0)</f>
        <v>45747</v>
      </c>
      <c r="T9" s="1" t="str">
        <f t="shared" si="1"/>
        <v>Before Campaign</v>
      </c>
      <c r="U9" s="1">
        <f>SUM(Posts_Cleaned[[#This Row],[Likes]]+Posts_Cleaned[[#This Row],[Shares]]+Posts_Cleaned[[#This Row],[Comments]]+Posts_Cleaned[[#This Row],[Clicks]])</f>
        <v>4508</v>
      </c>
      <c r="V9" s="1">
        <f ca="1">AVERAGEIF(Posts_Cleaned[[#This Row],[Period]]:T:T,"Before Campaign",Posts_Cleaned[[#This Row],[Engagement Rate ]])</f>
        <v>0.15662962002266001</v>
      </c>
      <c r="W9" s="5">
        <f t="shared" ca="1" si="2"/>
        <v>0.14010366721437068</v>
      </c>
      <c r="X9" s="6">
        <f ca="1">(Posts_Cleaned[[#This Row],[During ]]-Posts_Cleaned[[#This Row],[Before ]])/Posts_Cleaned[[#This Row],[During ]]</f>
        <v>-0.11795517659793447</v>
      </c>
      <c r="Y9" s="1">
        <f>IFERROR(VLOOKUP(O9, 'Campaign Metadata Dataset '!$A$1:$G$5,5,0),0)</f>
        <v>180000</v>
      </c>
      <c r="Z9" s="1">
        <f t="shared" si="3"/>
        <v>2.5044444444444446E-2</v>
      </c>
      <c r="AA9" s="1">
        <f t="shared" ca="1" si="0"/>
        <v>-0.11795517659793447</v>
      </c>
    </row>
    <row r="10" spans="1:29" x14ac:dyDescent="0.25">
      <c r="A10" t="s">
        <v>48</v>
      </c>
      <c r="B10" s="1" t="s">
        <v>40</v>
      </c>
      <c r="C10" s="2">
        <v>45534</v>
      </c>
      <c r="D10" s="1" t="s">
        <v>23</v>
      </c>
      <c r="E10" s="1" t="s">
        <v>49</v>
      </c>
      <c r="F10">
        <v>3784</v>
      </c>
      <c r="G10">
        <v>808</v>
      </c>
      <c r="H10">
        <v>404</v>
      </c>
      <c r="I10">
        <v>56760</v>
      </c>
      <c r="J10">
        <v>56343</v>
      </c>
      <c r="K10">
        <v>131</v>
      </c>
      <c r="L10" s="1" t="s">
        <v>25</v>
      </c>
      <c r="M10" s="1"/>
      <c r="N10" s="1"/>
      <c r="O10" s="1" t="s">
        <v>27</v>
      </c>
      <c r="P10" s="5">
        <f>IFERROR(((Posts_Cleaned[[#This Row],[Likes]]+Posts_Cleaned[[#This Row],[Shares]]+Posts_Cleaned[[#This Row],[Comments]])/Posts_Cleaned[[#This Row],[Impressions]]),0)</f>
        <v>8.8019732205778717E-2</v>
      </c>
      <c r="Q10" s="3" t="str">
        <f>_xlfn.TEXTJOIN(", ", TRUE, Posts_Cleaned[[#This Row],[Hashtags Used.1]], Posts_Cleaned[[#This Row],[Hashtags Used.2]], Posts_Cleaned[[#This Row],[Hashtags Used.3]])</f>
        <v>#TeslaCoInnovation</v>
      </c>
      <c r="R10" s="4">
        <f>VLOOKUP(Posts_Cleaned[[#This Row],[Campaign_Name]],'Campaign Metadata Dataset '!$A$2:$B$5,2,0)</f>
        <v>45566</v>
      </c>
      <c r="S10" s="2">
        <f>VLOOKUP(Posts_Cleaned[[#This Row],[Campaign_Name]],'Campaign Metadata Dataset '!$A$1:$C$5,3,0)</f>
        <v>45596</v>
      </c>
      <c r="T10" s="1" t="str">
        <f t="shared" si="1"/>
        <v>Before Campaign</v>
      </c>
      <c r="U10" s="1">
        <f>SUM(Posts_Cleaned[[#This Row],[Likes]]+Posts_Cleaned[[#This Row],[Shares]]+Posts_Cleaned[[#This Row],[Comments]]+Posts_Cleaned[[#This Row],[Clicks]])</f>
        <v>5127</v>
      </c>
      <c r="V10" s="1">
        <f ca="1">AVERAGEIF(Posts_Cleaned[[#This Row],[Period]]:T:T,"Before Campaign",Posts_Cleaned[[#This Row],[Engagement Rate ]])</f>
        <v>0.15343464712797378</v>
      </c>
      <c r="W10" s="5">
        <f t="shared" ca="1" si="2"/>
        <v>0.12142417351668718</v>
      </c>
      <c r="X10" s="6">
        <f ca="1">(Posts_Cleaned[[#This Row],[During ]]-Posts_Cleaned[[#This Row],[Before ]])/Posts_Cleaned[[#This Row],[During ]]</f>
        <v>-0.26362521303789183</v>
      </c>
      <c r="Y10" s="1">
        <f>IFERROR(VLOOKUP(O10, 'Campaign Metadata Dataset '!$A$1:$G$5,5,0),0)</f>
        <v>200000</v>
      </c>
      <c r="Z10" s="1">
        <f t="shared" si="3"/>
        <v>2.5635000000000002E-2</v>
      </c>
      <c r="AA10" s="1">
        <f t="shared" ca="1" si="0"/>
        <v>-0.26362521303789183</v>
      </c>
    </row>
    <row r="11" spans="1:29" x14ac:dyDescent="0.25">
      <c r="A11" t="s">
        <v>50</v>
      </c>
      <c r="B11" s="1" t="s">
        <v>40</v>
      </c>
      <c r="C11" s="2">
        <v>45727</v>
      </c>
      <c r="D11" s="1" t="s">
        <v>46</v>
      </c>
      <c r="E11" s="1" t="s">
        <v>51</v>
      </c>
      <c r="F11">
        <v>4241</v>
      </c>
      <c r="G11">
        <v>902</v>
      </c>
      <c r="H11">
        <v>47</v>
      </c>
      <c r="I11">
        <v>72097</v>
      </c>
      <c r="J11">
        <v>71598</v>
      </c>
      <c r="K11">
        <v>167</v>
      </c>
      <c r="L11" s="1" t="s">
        <v>25</v>
      </c>
      <c r="M11" s="1"/>
      <c r="N11" s="1"/>
      <c r="O11" s="1" t="s">
        <v>27</v>
      </c>
      <c r="P11" s="5">
        <f>IFERROR(((Posts_Cleaned[[#This Row],[Likes]]+Posts_Cleaned[[#This Row],[Shares]]+Posts_Cleaned[[#This Row],[Comments]])/Posts_Cleaned[[#This Row],[Impressions]]),0)</f>
        <v>7.198635172059864E-2</v>
      </c>
      <c r="Q11" s="3" t="str">
        <f>_xlfn.TEXTJOIN(", ", TRUE, Posts_Cleaned[[#This Row],[Hashtags Used.1]], Posts_Cleaned[[#This Row],[Hashtags Used.2]], Posts_Cleaned[[#This Row],[Hashtags Used.3]])</f>
        <v>#TeslaCoInnovation</v>
      </c>
      <c r="R11" s="4">
        <f>VLOOKUP(Posts_Cleaned[[#This Row],[Campaign_Name]],'Campaign Metadata Dataset '!$A$2:$B$5,2,0)</f>
        <v>45566</v>
      </c>
      <c r="S11" s="2">
        <f>VLOOKUP(Posts_Cleaned[[#This Row],[Campaign_Name]],'Campaign Metadata Dataset '!$A$1:$C$5,3,0)</f>
        <v>45596</v>
      </c>
      <c r="T11" s="1" t="str">
        <f t="shared" si="1"/>
        <v>Before Campaign</v>
      </c>
      <c r="U11" s="1">
        <f>SUM(Posts_Cleaned[[#This Row],[Likes]]+Posts_Cleaned[[#This Row],[Shares]]+Posts_Cleaned[[#This Row],[Comments]]+Posts_Cleaned[[#This Row],[Clicks]])</f>
        <v>5357</v>
      </c>
      <c r="V11" s="1">
        <f ca="1">AVERAGEIF(Posts_Cleaned[[#This Row],[Period]]:T:T,"Before Campaign",Posts_Cleaned[[#This Row],[Engagement Rate ]])</f>
        <v>0.15445597342448292</v>
      </c>
      <c r="W11" s="5">
        <f t="shared" ca="1" si="2"/>
        <v>0.11586950384248629</v>
      </c>
      <c r="X11" s="6">
        <f ca="1">(Posts_Cleaned[[#This Row],[During ]]-Posts_Cleaned[[#This Row],[Before ]])/Posts_Cleaned[[#This Row],[During ]]</f>
        <v>-0.3330166118122963</v>
      </c>
      <c r="Y11" s="1">
        <f>IFERROR(VLOOKUP(O11, 'Campaign Metadata Dataset '!$A$1:$G$5,5,0),0)</f>
        <v>200000</v>
      </c>
      <c r="Z11" s="1">
        <f t="shared" si="3"/>
        <v>2.6785E-2</v>
      </c>
      <c r="AA11" s="1">
        <f t="shared" ca="1" si="0"/>
        <v>-0.3330166118122963</v>
      </c>
    </row>
    <row r="12" spans="1:29" x14ac:dyDescent="0.25">
      <c r="A12" t="s">
        <v>52</v>
      </c>
      <c r="B12" s="1" t="s">
        <v>33</v>
      </c>
      <c r="C12" s="2">
        <v>45690</v>
      </c>
      <c r="D12" s="1" t="s">
        <v>34</v>
      </c>
      <c r="E12" s="1" t="s">
        <v>35</v>
      </c>
      <c r="F12">
        <v>1792</v>
      </c>
      <c r="G12">
        <v>614</v>
      </c>
      <c r="H12">
        <v>497</v>
      </c>
      <c r="I12">
        <v>25088</v>
      </c>
      <c r="J12">
        <v>24675</v>
      </c>
      <c r="K12">
        <v>65</v>
      </c>
      <c r="L12" s="1" t="s">
        <v>19</v>
      </c>
      <c r="M12" s="1"/>
      <c r="N12" s="1"/>
      <c r="O12" s="1" t="s">
        <v>37</v>
      </c>
      <c r="P12" s="5">
        <f>IFERROR(((Posts_Cleaned[[#This Row],[Likes]]+Posts_Cleaned[[#This Row],[Shares]]+Posts_Cleaned[[#This Row],[Comments]])/Posts_Cleaned[[#This Row],[Impressions]]),0)</f>
        <v>0.11571269132653061</v>
      </c>
      <c r="Q12" s="3" t="str">
        <f>_xlfn.TEXTJOIN(", ", TRUE, Posts_Cleaned[[#This Row],[Hashtags Used.1]], Posts_Cleaned[[#This Row],[Hashtags Used.2]], Posts_Cleaned[[#This Row],[Hashtags Used.3]])</f>
        <v>#FutureOfDriving</v>
      </c>
      <c r="R12" s="4">
        <f>VLOOKUP(Posts_Cleaned[[#This Row],[Campaign_Name]],'Campaign Metadata Dataset '!$A$2:$B$5,2,0)</f>
        <v>45717</v>
      </c>
      <c r="S12" s="2">
        <f>VLOOKUP(Posts_Cleaned[[#This Row],[Campaign_Name]],'Campaign Metadata Dataset '!$A$1:$C$5,3,0)</f>
        <v>45747</v>
      </c>
      <c r="T12" s="1" t="str">
        <f t="shared" si="1"/>
        <v>Before Campaign</v>
      </c>
      <c r="U12" s="1">
        <f>SUM(Posts_Cleaned[[#This Row],[Likes]]+Posts_Cleaned[[#This Row],[Shares]]+Posts_Cleaned[[#This Row],[Comments]]+Posts_Cleaned[[#This Row],[Clicks]])</f>
        <v>2968</v>
      </c>
      <c r="V12" s="1">
        <f ca="1">AVERAGEIF(Posts_Cleaned[[#This Row],[Period]]:T:T,"Before Campaign",Posts_Cleaned[[#This Row],[Engagement Rate ]])</f>
        <v>0.14062877814327526</v>
      </c>
      <c r="W12" s="5">
        <f t="shared" ca="1" si="2"/>
        <v>0.12898687919608331</v>
      </c>
      <c r="X12" s="6">
        <f ca="1">(Posts_Cleaned[[#This Row],[During ]]-Posts_Cleaned[[#This Row],[Before ]])/Posts_Cleaned[[#This Row],[During ]]</f>
        <v>-9.0256458794496161E-2</v>
      </c>
      <c r="Y12" s="1">
        <f>IFERROR(VLOOKUP(O12, 'Campaign Metadata Dataset '!$A$1:$G$5,5,0),0)</f>
        <v>180000</v>
      </c>
      <c r="Z12" s="1">
        <f t="shared" si="3"/>
        <v>1.648888888888889E-2</v>
      </c>
      <c r="AA12" s="1">
        <f t="shared" ca="1" si="0"/>
        <v>-9.0256458794496161E-2</v>
      </c>
    </row>
    <row r="13" spans="1:29" x14ac:dyDescent="0.25">
      <c r="A13" t="s">
        <v>53</v>
      </c>
      <c r="B13" s="1" t="s">
        <v>40</v>
      </c>
      <c r="C13" s="2">
        <v>45494</v>
      </c>
      <c r="D13" s="1" t="s">
        <v>17</v>
      </c>
      <c r="E13" s="1" t="s">
        <v>54</v>
      </c>
      <c r="F13">
        <v>1946</v>
      </c>
      <c r="G13">
        <v>686</v>
      </c>
      <c r="H13">
        <v>377</v>
      </c>
      <c r="I13">
        <v>23352</v>
      </c>
      <c r="J13">
        <v>22982</v>
      </c>
      <c r="K13">
        <v>213</v>
      </c>
      <c r="L13" s="1" t="s">
        <v>19</v>
      </c>
      <c r="M13" s="1"/>
      <c r="N13" s="1"/>
      <c r="O13" s="1" t="s">
        <v>31</v>
      </c>
      <c r="P13" s="5">
        <f>IFERROR(((Posts_Cleaned[[#This Row],[Likes]]+Posts_Cleaned[[#This Row],[Shares]]+Posts_Cleaned[[#This Row],[Comments]])/Posts_Cleaned[[#This Row],[Impressions]]),0)</f>
        <v>0.12885405960945528</v>
      </c>
      <c r="Q13" s="3" t="str">
        <f>_xlfn.TEXTJOIN(", ", TRUE, Posts_Cleaned[[#This Row],[Hashtags Used.1]], Posts_Cleaned[[#This Row],[Hashtags Used.2]], Posts_Cleaned[[#This Row],[Hashtags Used.3]])</f>
        <v>#FutureOfDriving</v>
      </c>
      <c r="R13" s="2">
        <f>VLOOKUP(Posts_Cleaned[[#This Row],[Campaign_Name]],'Campaign Metadata Dataset '!$A$2:$B$5,2,0)</f>
        <v>45651</v>
      </c>
      <c r="S13" s="2">
        <f>VLOOKUP(Posts_Cleaned[[#This Row],[Campaign_Name]],'Campaign Metadata Dataset '!$A$1:$C$5,3,0)</f>
        <v>45667</v>
      </c>
      <c r="T13" s="1" t="str">
        <f t="shared" si="1"/>
        <v>Before Campaign</v>
      </c>
      <c r="U13" s="1">
        <f>SUM(Posts_Cleaned[[#This Row],[Likes]]+Posts_Cleaned[[#This Row],[Shares]]+Posts_Cleaned[[#This Row],[Comments]]+Posts_Cleaned[[#This Row],[Clicks]])</f>
        <v>3222</v>
      </c>
      <c r="V13" s="1">
        <f ca="1">AVERAGEIF(Posts_Cleaned[[#This Row],[Period]]:T:T,"Before Campaign",Posts_Cleaned[[#This Row],[Engagement Rate ]])</f>
        <v>0.15123177306809749</v>
      </c>
      <c r="W13" s="5">
        <f t="shared" ca="1" si="2"/>
        <v>0.20263430574728197</v>
      </c>
      <c r="X13" s="6">
        <f ca="1">(Posts_Cleaned[[#This Row],[During ]]-Posts_Cleaned[[#This Row],[Before ]])/Posts_Cleaned[[#This Row],[During ]]</f>
        <v>0.25367142295881445</v>
      </c>
      <c r="Y13" s="1">
        <f>IFERROR(VLOOKUP(O13, 'Campaign Metadata Dataset '!$A$1:$G$5,5,0),0)</f>
        <v>250000</v>
      </c>
      <c r="Z13" s="1">
        <f t="shared" si="3"/>
        <v>1.2888E-2</v>
      </c>
      <c r="AA13" s="1">
        <f t="shared" ca="1" si="0"/>
        <v>0.25367142295881445</v>
      </c>
      <c r="AC13" s="2"/>
    </row>
    <row r="14" spans="1:29" x14ac:dyDescent="0.25">
      <c r="A14" t="s">
        <v>55</v>
      </c>
      <c r="B14" s="1" t="s">
        <v>29</v>
      </c>
      <c r="C14" s="2">
        <v>45614</v>
      </c>
      <c r="D14" s="1" t="s">
        <v>41</v>
      </c>
      <c r="E14" s="1" t="s">
        <v>56</v>
      </c>
      <c r="F14">
        <v>1171</v>
      </c>
      <c r="G14">
        <v>286</v>
      </c>
      <c r="H14">
        <v>231</v>
      </c>
      <c r="I14">
        <v>22249</v>
      </c>
      <c r="J14">
        <v>21282</v>
      </c>
      <c r="K14">
        <v>114</v>
      </c>
      <c r="L14" s="1" t="s">
        <v>36</v>
      </c>
      <c r="M14" s="1"/>
      <c r="N14" s="1"/>
      <c r="O14" s="1" t="s">
        <v>21</v>
      </c>
      <c r="P14" s="5">
        <f>IFERROR(((Posts_Cleaned[[#This Row],[Likes]]+Posts_Cleaned[[#This Row],[Shares]]+Posts_Cleaned[[#This Row],[Comments]])/Posts_Cleaned[[#This Row],[Impressions]]),0)</f>
        <v>7.5868578363072495E-2</v>
      </c>
      <c r="Q14" s="3" t="str">
        <f>_xlfn.TEXTJOIN(", ", TRUE, Posts_Cleaned[[#This Row],[Hashtags Used.1]], Posts_Cleaned[[#This Row],[Hashtags Used.2]], Posts_Cleaned[[#This Row],[Hashtags Used.3]])</f>
        <v>#EVRevolution</v>
      </c>
      <c r="R14" s="2">
        <f>VLOOKUP(Posts_Cleaned[[#This Row],[Campaign_Name]],'Campaign Metadata Dataset '!$A$2:$B$5,2,0)</f>
        <v>45458</v>
      </c>
      <c r="S14" s="2">
        <f>VLOOKUP(Posts_Cleaned[[#This Row],[Campaign_Name]],'Campaign Metadata Dataset '!$A$1:$C$5,3,0)</f>
        <v>45488</v>
      </c>
      <c r="T14" s="1" t="str">
        <f t="shared" si="1"/>
        <v>Before Campaign</v>
      </c>
      <c r="U14" s="1">
        <f>SUM(Posts_Cleaned[[#This Row],[Likes]]+Posts_Cleaned[[#This Row],[Shares]]+Posts_Cleaned[[#This Row],[Comments]]+Posts_Cleaned[[#This Row],[Clicks]])</f>
        <v>1802</v>
      </c>
      <c r="V14" s="1">
        <f ca="1">AVERAGEIF(Posts_Cleaned[[#This Row],[Period]]:T:T,"Before Campaign",Posts_Cleaned[[#This Row],[Engagement Rate ]])</f>
        <v>0.14104640797350912</v>
      </c>
      <c r="W14" s="5">
        <f t="shared" ca="1" si="2"/>
        <v>0.14487223325578705</v>
      </c>
      <c r="X14" s="6">
        <f ca="1">(Posts_Cleaned[[#This Row],[During ]]-Posts_Cleaned[[#This Row],[Before ]])/Posts_Cleaned[[#This Row],[During ]]</f>
        <v>2.6408271594205595E-2</v>
      </c>
      <c r="Y14" s="1">
        <f>IFERROR(VLOOKUP(O14, 'Campaign Metadata Dataset '!$A$1:$G$5,5,0),0)</f>
        <v>150000</v>
      </c>
      <c r="Z14" s="1">
        <f t="shared" si="3"/>
        <v>1.2013333333333334E-2</v>
      </c>
      <c r="AA14" s="1">
        <f t="shared" ca="1" si="0"/>
        <v>2.6408271594205595E-2</v>
      </c>
    </row>
    <row r="15" spans="1:29" x14ac:dyDescent="0.25">
      <c r="A15" t="s">
        <v>57</v>
      </c>
      <c r="B15" s="1" t="s">
        <v>40</v>
      </c>
      <c r="C15" s="2">
        <v>45704</v>
      </c>
      <c r="D15" s="1" t="s">
        <v>34</v>
      </c>
      <c r="E15" s="1" t="s">
        <v>58</v>
      </c>
      <c r="F15">
        <v>4242</v>
      </c>
      <c r="G15">
        <v>555</v>
      </c>
      <c r="H15">
        <v>131</v>
      </c>
      <c r="I15">
        <v>33936</v>
      </c>
      <c r="J15">
        <v>33802</v>
      </c>
      <c r="K15">
        <v>265</v>
      </c>
      <c r="L15" s="1" t="s">
        <v>19</v>
      </c>
      <c r="M15" s="1"/>
      <c r="N15" s="1"/>
      <c r="O15" s="1"/>
      <c r="P15" s="5">
        <f>IFERROR(((Posts_Cleaned[[#This Row],[Likes]]+Posts_Cleaned[[#This Row],[Shares]]+Posts_Cleaned[[#This Row],[Comments]])/Posts_Cleaned[[#This Row],[Impressions]]),0)</f>
        <v>0.14521452145214522</v>
      </c>
      <c r="Q15" s="3" t="str">
        <f>_xlfn.TEXTJOIN(", ", TRUE, Posts_Cleaned[[#This Row],[Hashtags Used.1]], Posts_Cleaned[[#This Row],[Hashtags Used.2]], Posts_Cleaned[[#This Row],[Hashtags Used.3]])</f>
        <v>#FutureOfDriving</v>
      </c>
      <c r="R15" s="2" t="e">
        <f>VLOOKUP(Posts_Cleaned[[#This Row],[Campaign_Name]],'Campaign Metadata Dataset '!$A$2:$B$5,2,0)</f>
        <v>#N/A</v>
      </c>
      <c r="S15" s="2" t="e">
        <f>VLOOKUP(Posts_Cleaned[[#This Row],[Campaign_Name]],'Campaign Metadata Dataset '!$A$1:$C$5,3,0)</f>
        <v>#N/A</v>
      </c>
      <c r="T15" s="1" t="e">
        <f t="shared" si="1"/>
        <v>#N/A</v>
      </c>
      <c r="U15" s="1">
        <f>SUM(Posts_Cleaned[[#This Row],[Likes]]+Posts_Cleaned[[#This Row],[Shares]]+Posts_Cleaned[[#This Row],[Comments]]+Posts_Cleaned[[#This Row],[Clicks]])</f>
        <v>5193</v>
      </c>
      <c r="V15" s="1">
        <f ca="1">AVERAGEIF(Posts_Cleaned[[#This Row],[Period]]:T:T,"Before Campaign",Posts_Cleaned[[#This Row],[Engagement Rate ]])</f>
        <v>0.14054891349649579</v>
      </c>
      <c r="W15" s="5">
        <f t="shared" ca="1" si="2"/>
        <v>0.21659329608790068</v>
      </c>
      <c r="X15" s="6">
        <f ca="1">(Posts_Cleaned[[#This Row],[During ]]-Posts_Cleaned[[#This Row],[Before ]])/Posts_Cleaned[[#This Row],[During ]]</f>
        <v>0.35109296531755801</v>
      </c>
      <c r="Y15" s="1">
        <f>IFERROR(VLOOKUP(O15, 'Campaign Metadata Dataset '!$A$1:$G$5,5,0),0)</f>
        <v>0</v>
      </c>
      <c r="Z15" s="1">
        <v>0</v>
      </c>
      <c r="AA15" s="1">
        <f t="shared" ca="1" si="0"/>
        <v>0.35109296531755801</v>
      </c>
    </row>
    <row r="16" spans="1:29" x14ac:dyDescent="0.25">
      <c r="A16" t="s">
        <v>59</v>
      </c>
      <c r="B16" s="1" t="s">
        <v>40</v>
      </c>
      <c r="C16" s="2">
        <v>45589</v>
      </c>
      <c r="D16" s="1" t="s">
        <v>60</v>
      </c>
      <c r="E16" s="1" t="s">
        <v>61</v>
      </c>
      <c r="F16">
        <v>3888</v>
      </c>
      <c r="G16">
        <v>604</v>
      </c>
      <c r="H16">
        <v>128</v>
      </c>
      <c r="I16">
        <v>77760</v>
      </c>
      <c r="J16">
        <v>77167</v>
      </c>
      <c r="K16">
        <v>20</v>
      </c>
      <c r="L16" s="1" t="s">
        <v>19</v>
      </c>
      <c r="M16" s="1"/>
      <c r="N16" s="1"/>
      <c r="O16" s="1" t="s">
        <v>21</v>
      </c>
      <c r="P16" s="5">
        <f>IFERROR(((Posts_Cleaned[[#This Row],[Likes]]+Posts_Cleaned[[#This Row],[Shares]]+Posts_Cleaned[[#This Row],[Comments]])/Posts_Cleaned[[#This Row],[Impressions]]),0)</f>
        <v>5.941358024691358E-2</v>
      </c>
      <c r="Q16" s="3" t="str">
        <f>_xlfn.TEXTJOIN(", ", TRUE, Posts_Cleaned[[#This Row],[Hashtags Used.1]], Posts_Cleaned[[#This Row],[Hashtags Used.2]], Posts_Cleaned[[#This Row],[Hashtags Used.3]])</f>
        <v>#FutureOfDriving</v>
      </c>
      <c r="R16" s="2">
        <f>VLOOKUP(Posts_Cleaned[[#This Row],[Campaign_Name]],'Campaign Metadata Dataset '!$A$2:$B$5,2,0)</f>
        <v>45458</v>
      </c>
      <c r="S16" s="2">
        <f>VLOOKUP(Posts_Cleaned[[#This Row],[Campaign_Name]],'Campaign Metadata Dataset '!$A$1:$C$5,3,0)</f>
        <v>45488</v>
      </c>
      <c r="T16" s="1" t="str">
        <f t="shared" si="1"/>
        <v>Before Campaign</v>
      </c>
      <c r="U16" s="1">
        <f>SUM(Posts_Cleaned[[#This Row],[Likes]]+Posts_Cleaned[[#This Row],[Shares]]+Posts_Cleaned[[#This Row],[Comments]]+Posts_Cleaned[[#This Row],[Clicks]])</f>
        <v>4640</v>
      </c>
      <c r="V16" s="1">
        <f ca="1">AVERAGEIF(Posts_Cleaned[[#This Row],[Period]]:T:T,"Before Campaign",Posts_Cleaned[[#This Row],[Engagement Rate ]])</f>
        <v>0.14759713341092504</v>
      </c>
      <c r="W16" s="5">
        <f t="shared" ca="1" si="2"/>
        <v>0.2070106936633766</v>
      </c>
      <c r="X16" s="6">
        <f ca="1">(Posts_Cleaned[[#This Row],[During ]]-Posts_Cleaned[[#This Row],[Before ]])/Posts_Cleaned[[#This Row],[During ]]</f>
        <v>0.28700720335281282</v>
      </c>
      <c r="Y16" s="1">
        <f>IFERROR(VLOOKUP(O16, 'Campaign Metadata Dataset '!$A$1:$G$5,5,0),0)</f>
        <v>150000</v>
      </c>
      <c r="Z16" s="1">
        <f t="shared" si="3"/>
        <v>3.0933333333333334E-2</v>
      </c>
      <c r="AA16" s="1">
        <f t="shared" ca="1" si="0"/>
        <v>0.28700720335281282</v>
      </c>
    </row>
    <row r="17" spans="1:27" x14ac:dyDescent="0.25">
      <c r="A17" t="s">
        <v>62</v>
      </c>
      <c r="B17" s="1" t="s">
        <v>40</v>
      </c>
      <c r="C17" s="2">
        <v>45530</v>
      </c>
      <c r="D17" s="1" t="s">
        <v>23</v>
      </c>
      <c r="E17" s="1" t="s">
        <v>49</v>
      </c>
      <c r="F17">
        <v>3452</v>
      </c>
      <c r="G17">
        <v>377</v>
      </c>
      <c r="H17">
        <v>360</v>
      </c>
      <c r="I17">
        <v>55232</v>
      </c>
      <c r="J17">
        <v>55075</v>
      </c>
      <c r="K17">
        <v>87</v>
      </c>
      <c r="L17" s="1" t="s">
        <v>19</v>
      </c>
      <c r="M17" s="1"/>
      <c r="N17" s="1"/>
      <c r="O17" s="1" t="s">
        <v>31</v>
      </c>
      <c r="P17" s="5">
        <f>IFERROR(((Posts_Cleaned[[#This Row],[Likes]]+Posts_Cleaned[[#This Row],[Shares]]+Posts_Cleaned[[#This Row],[Comments]])/Posts_Cleaned[[#This Row],[Impressions]]),0)</f>
        <v>7.5843713789107758E-2</v>
      </c>
      <c r="Q17" s="3" t="str">
        <f>_xlfn.TEXTJOIN(", ", TRUE, Posts_Cleaned[[#This Row],[Hashtags Used.1]], Posts_Cleaned[[#This Row],[Hashtags Used.2]], Posts_Cleaned[[#This Row],[Hashtags Used.3]])</f>
        <v>#FutureOfDriving</v>
      </c>
      <c r="R17" s="2">
        <f>VLOOKUP(Posts_Cleaned[[#This Row],[Campaign_Name]],'Campaign Metadata Dataset '!$A$2:$B$5,2,0)</f>
        <v>45651</v>
      </c>
      <c r="S17" s="2">
        <f>VLOOKUP(Posts_Cleaned[[#This Row],[Campaign_Name]],'Campaign Metadata Dataset '!$A$1:$C$5,3,0)</f>
        <v>45667</v>
      </c>
      <c r="T17" s="1" t="str">
        <f t="shared" si="1"/>
        <v>Before Campaign</v>
      </c>
      <c r="U17" s="1">
        <f>SUM(Posts_Cleaned[[#This Row],[Likes]]+Posts_Cleaned[[#This Row],[Shares]]+Posts_Cleaned[[#This Row],[Comments]]+Posts_Cleaned[[#This Row],[Clicks]])</f>
        <v>4276</v>
      </c>
      <c r="V17" s="1">
        <f ca="1">AVERAGEIF(Posts_Cleaned[[#This Row],[Period]]:T:T,"Before Campaign",Posts_Cleaned[[#This Row],[Engagement Rate ]])</f>
        <v>0.14369205604294419</v>
      </c>
      <c r="W17" s="5">
        <f t="shared" ca="1" si="2"/>
        <v>0.14575988781671251</v>
      </c>
      <c r="X17" s="6">
        <f ca="1">(Posts_Cleaned[[#This Row],[During ]]-Posts_Cleaned[[#This Row],[Before ]])/Posts_Cleaned[[#This Row],[During ]]</f>
        <v>1.4186562604717005E-2</v>
      </c>
      <c r="Y17" s="1">
        <f>IFERROR(VLOOKUP(O17, 'Campaign Metadata Dataset '!$A$1:$G$5,5,0),0)</f>
        <v>250000</v>
      </c>
      <c r="Z17" s="1">
        <f t="shared" si="3"/>
        <v>1.7104000000000001E-2</v>
      </c>
      <c r="AA17" s="1">
        <f t="shared" ca="1" si="0"/>
        <v>1.4186562604717005E-2</v>
      </c>
    </row>
    <row r="18" spans="1:27" x14ac:dyDescent="0.25">
      <c r="A18" t="s">
        <v>63</v>
      </c>
      <c r="B18" s="1" t="s">
        <v>40</v>
      </c>
      <c r="C18" s="2">
        <v>45782</v>
      </c>
      <c r="D18" s="1" t="s">
        <v>23</v>
      </c>
      <c r="E18" s="1" t="s">
        <v>49</v>
      </c>
      <c r="F18">
        <v>4441</v>
      </c>
      <c r="G18">
        <v>511</v>
      </c>
      <c r="H18">
        <v>70</v>
      </c>
      <c r="I18">
        <v>53292</v>
      </c>
      <c r="J18">
        <v>53082</v>
      </c>
      <c r="K18">
        <v>159</v>
      </c>
      <c r="L18" s="1" t="s">
        <v>36</v>
      </c>
      <c r="M18" s="1"/>
      <c r="N18" s="1"/>
      <c r="O18" s="1" t="s">
        <v>37</v>
      </c>
      <c r="P18" s="5">
        <f>IFERROR(((Posts_Cleaned[[#This Row],[Likes]]+Posts_Cleaned[[#This Row],[Shares]]+Posts_Cleaned[[#This Row],[Comments]])/Posts_Cleaned[[#This Row],[Impressions]]),0)</f>
        <v>9.4235532537716729E-2</v>
      </c>
      <c r="Q18" s="3" t="str">
        <f>_xlfn.TEXTJOIN(", ", TRUE, Posts_Cleaned[[#This Row],[Hashtags Used.1]], Posts_Cleaned[[#This Row],[Hashtags Used.2]], Posts_Cleaned[[#This Row],[Hashtags Used.3]])</f>
        <v>#EVRevolution</v>
      </c>
      <c r="R18" s="2">
        <f>VLOOKUP(Posts_Cleaned[[#This Row],[Campaign_Name]],'Campaign Metadata Dataset '!$A$2:$B$5,2,0)</f>
        <v>45717</v>
      </c>
      <c r="S18" s="2">
        <f>VLOOKUP(Posts_Cleaned[[#This Row],[Campaign_Name]],'Campaign Metadata Dataset '!$A$1:$C$5,3,0)</f>
        <v>45747</v>
      </c>
      <c r="T18" s="1" t="str">
        <f t="shared" si="1"/>
        <v>Before Campaign</v>
      </c>
      <c r="U18" s="1">
        <f>SUM(Posts_Cleaned[[#This Row],[Likes]]+Posts_Cleaned[[#This Row],[Shares]]+Posts_Cleaned[[#This Row],[Comments]]+Posts_Cleaned[[#This Row],[Clicks]])</f>
        <v>5181</v>
      </c>
      <c r="V18" s="1">
        <f ca="1">AVERAGEIF(Posts_Cleaned[[#This Row],[Period]]:T:T,"Before Campaign",Posts_Cleaned[[#This Row],[Engagement Rate ]])</f>
        <v>0.14927161775906023</v>
      </c>
      <c r="W18" s="5">
        <f t="shared" ca="1" si="2"/>
        <v>0.20432316006574089</v>
      </c>
      <c r="X18" s="6">
        <f ca="1">(Posts_Cleaned[[#This Row],[During ]]-Posts_Cleaned[[#This Row],[Before ]])/Posts_Cleaned[[#This Row],[During ]]</f>
        <v>0.26943368675860263</v>
      </c>
      <c r="Y18" s="1">
        <f>IFERROR(VLOOKUP(O18, 'Campaign Metadata Dataset '!$A$1:$G$5,5,0),0)</f>
        <v>180000</v>
      </c>
      <c r="Z18" s="1">
        <f t="shared" si="3"/>
        <v>2.8783333333333334E-2</v>
      </c>
      <c r="AA18" s="1">
        <f t="shared" ca="1" si="0"/>
        <v>0.26943368675860263</v>
      </c>
    </row>
    <row r="19" spans="1:27" x14ac:dyDescent="0.25">
      <c r="A19" t="s">
        <v>64</v>
      </c>
      <c r="B19" s="1" t="s">
        <v>33</v>
      </c>
      <c r="C19" s="2">
        <v>45523</v>
      </c>
      <c r="D19" s="1" t="s">
        <v>17</v>
      </c>
      <c r="E19" s="1" t="s">
        <v>65</v>
      </c>
      <c r="F19">
        <v>3000</v>
      </c>
      <c r="G19">
        <v>382</v>
      </c>
      <c r="H19">
        <v>325</v>
      </c>
      <c r="I19">
        <v>36000</v>
      </c>
      <c r="J19">
        <v>35819</v>
      </c>
      <c r="K19">
        <v>19</v>
      </c>
      <c r="L19" s="1" t="s">
        <v>19</v>
      </c>
      <c r="M19" s="1"/>
      <c r="N19" s="1"/>
      <c r="O19" s="1" t="s">
        <v>21</v>
      </c>
      <c r="P19" s="5">
        <f>IFERROR(((Posts_Cleaned[[#This Row],[Likes]]+Posts_Cleaned[[#This Row],[Shares]]+Posts_Cleaned[[#This Row],[Comments]])/Posts_Cleaned[[#This Row],[Impressions]]),0)</f>
        <v>0.10297222222222223</v>
      </c>
      <c r="Q19" s="3" t="str">
        <f>_xlfn.TEXTJOIN(", ", TRUE, Posts_Cleaned[[#This Row],[Hashtags Used.1]], Posts_Cleaned[[#This Row],[Hashtags Used.2]], Posts_Cleaned[[#This Row],[Hashtags Used.3]])</f>
        <v>#FutureOfDriving</v>
      </c>
      <c r="R19" s="2">
        <f>VLOOKUP(Posts_Cleaned[[#This Row],[Campaign_Name]],'Campaign Metadata Dataset '!$A$2:$B$5,2,0)</f>
        <v>45458</v>
      </c>
      <c r="S19" s="2">
        <f>VLOOKUP(Posts_Cleaned[[#This Row],[Campaign_Name]],'Campaign Metadata Dataset '!$A$1:$C$5,3,0)</f>
        <v>45488</v>
      </c>
      <c r="T19" s="1" t="str">
        <f t="shared" si="1"/>
        <v>Before Campaign</v>
      </c>
      <c r="U19" s="1">
        <f>SUM(Posts_Cleaned[[#This Row],[Likes]]+Posts_Cleaned[[#This Row],[Shares]]+Posts_Cleaned[[#This Row],[Comments]]+Posts_Cleaned[[#This Row],[Clicks]])</f>
        <v>3726</v>
      </c>
      <c r="V19" s="1">
        <f ca="1">AVERAGEIF(Posts_Cleaned[[#This Row],[Period]]:T:T,"Before Campaign",Posts_Cleaned[[#This Row],[Engagement Rate ]])</f>
        <v>0.146172877994943</v>
      </c>
      <c r="W19" s="5">
        <f t="shared" ca="1" si="2"/>
        <v>0.16177416723250818</v>
      </c>
      <c r="X19" s="6">
        <f ca="1">(Posts_Cleaned[[#This Row],[During ]]-Posts_Cleaned[[#This Row],[Before ]])/Posts_Cleaned[[#This Row],[During ]]</f>
        <v>9.6438692928904987E-2</v>
      </c>
      <c r="Y19" s="1">
        <f>IFERROR(VLOOKUP(O19, 'Campaign Metadata Dataset '!$A$1:$G$5,5,0),0)</f>
        <v>150000</v>
      </c>
      <c r="Z19" s="1">
        <f t="shared" si="3"/>
        <v>2.4840000000000001E-2</v>
      </c>
      <c r="AA19" s="1">
        <f t="shared" ca="1" si="0"/>
        <v>9.6438692928904987E-2</v>
      </c>
    </row>
    <row r="20" spans="1:27" x14ac:dyDescent="0.25">
      <c r="A20" t="s">
        <v>66</v>
      </c>
      <c r="B20" s="1" t="s">
        <v>33</v>
      </c>
      <c r="C20" s="2">
        <v>45466</v>
      </c>
      <c r="D20" s="1" t="s">
        <v>60</v>
      </c>
      <c r="E20" s="1" t="s">
        <v>67</v>
      </c>
      <c r="F20">
        <v>1071</v>
      </c>
      <c r="G20">
        <v>519</v>
      </c>
      <c r="H20">
        <v>22</v>
      </c>
      <c r="I20">
        <v>16065</v>
      </c>
      <c r="J20">
        <v>15865</v>
      </c>
      <c r="K20">
        <v>103</v>
      </c>
      <c r="L20" s="1" t="s">
        <v>25</v>
      </c>
      <c r="M20" s="1"/>
      <c r="N20" s="1"/>
      <c r="O20" s="1" t="s">
        <v>37</v>
      </c>
      <c r="P20" s="5">
        <f>IFERROR(((Posts_Cleaned[[#This Row],[Likes]]+Posts_Cleaned[[#This Row],[Shares]]+Posts_Cleaned[[#This Row],[Comments]])/Posts_Cleaned[[#This Row],[Impressions]]),0)</f>
        <v>0.10034235916588857</v>
      </c>
      <c r="Q20" s="3" t="str">
        <f>_xlfn.TEXTJOIN(", ", TRUE, Posts_Cleaned[[#This Row],[Hashtags Used.1]], Posts_Cleaned[[#This Row],[Hashtags Used.2]], Posts_Cleaned[[#This Row],[Hashtags Used.3]])</f>
        <v>#TeslaCoInnovation</v>
      </c>
      <c r="R20" s="2">
        <f>VLOOKUP(Posts_Cleaned[[#This Row],[Campaign_Name]],'Campaign Metadata Dataset '!$A$2:$B$5,2,0)</f>
        <v>45717</v>
      </c>
      <c r="S20" s="2">
        <f>VLOOKUP(Posts_Cleaned[[#This Row],[Campaign_Name]],'Campaign Metadata Dataset '!$A$1:$C$5,3,0)</f>
        <v>45747</v>
      </c>
      <c r="T20" s="1" t="str">
        <f t="shared" si="1"/>
        <v>Before Campaign</v>
      </c>
      <c r="U20" s="1">
        <f>SUM(Posts_Cleaned[[#This Row],[Likes]]+Posts_Cleaned[[#This Row],[Shares]]+Posts_Cleaned[[#This Row],[Comments]]+Posts_Cleaned[[#This Row],[Clicks]])</f>
        <v>1715</v>
      </c>
      <c r="V20" s="1">
        <f ca="1">AVERAGEIF(Posts_Cleaned[[#This Row],[Period]]:T:T,"Before Campaign",Posts_Cleaned[[#This Row],[Engagement Rate ]])</f>
        <v>0.14979441231111049</v>
      </c>
      <c r="W20" s="5">
        <f t="shared" ca="1" si="2"/>
        <v>0.17370950211437022</v>
      </c>
      <c r="X20" s="6">
        <f ca="1">(Posts_Cleaned[[#This Row],[During ]]-Posts_Cleaned[[#This Row],[Before ]])/Posts_Cleaned[[#This Row],[During ]]</f>
        <v>0.13767289360782381</v>
      </c>
      <c r="Y20" s="1">
        <f>IFERROR(VLOOKUP(O20, 'Campaign Metadata Dataset '!$A$1:$G$5,5,0),0)</f>
        <v>180000</v>
      </c>
      <c r="Z20" s="1">
        <f t="shared" si="3"/>
        <v>9.5277777777777774E-3</v>
      </c>
      <c r="AA20" s="1">
        <f t="shared" ca="1" si="0"/>
        <v>0.13767289360782381</v>
      </c>
    </row>
    <row r="21" spans="1:27" x14ac:dyDescent="0.25">
      <c r="A21" t="s">
        <v>68</v>
      </c>
      <c r="B21" s="1" t="s">
        <v>33</v>
      </c>
      <c r="C21" s="2">
        <v>45544</v>
      </c>
      <c r="D21" s="1" t="s">
        <v>41</v>
      </c>
      <c r="E21" s="1" t="s">
        <v>69</v>
      </c>
      <c r="F21">
        <v>4054</v>
      </c>
      <c r="G21">
        <v>488</v>
      </c>
      <c r="H21">
        <v>373</v>
      </c>
      <c r="I21">
        <v>77026</v>
      </c>
      <c r="J21">
        <v>76881</v>
      </c>
      <c r="K21">
        <v>25</v>
      </c>
      <c r="L21" s="1" t="s">
        <v>25</v>
      </c>
      <c r="M21" s="1"/>
      <c r="N21" s="1"/>
      <c r="O21" s="1" t="s">
        <v>21</v>
      </c>
      <c r="P21" s="5">
        <f>IFERROR(((Posts_Cleaned[[#This Row],[Likes]]+Posts_Cleaned[[#This Row],[Shares]]+Posts_Cleaned[[#This Row],[Comments]])/Posts_Cleaned[[#This Row],[Impressions]]),0)</f>
        <v>6.3809622724794221E-2</v>
      </c>
      <c r="Q21" s="3" t="str">
        <f>_xlfn.TEXTJOIN(", ", TRUE, Posts_Cleaned[[#This Row],[Hashtags Used.1]], Posts_Cleaned[[#This Row],[Hashtags Used.2]], Posts_Cleaned[[#This Row],[Hashtags Used.3]])</f>
        <v>#TeslaCoInnovation</v>
      </c>
      <c r="R21" s="2">
        <f>VLOOKUP(Posts_Cleaned[[#This Row],[Campaign_Name]],'Campaign Metadata Dataset '!$A$2:$B$5,2,0)</f>
        <v>45458</v>
      </c>
      <c r="S21" s="2">
        <f>VLOOKUP(Posts_Cleaned[[#This Row],[Campaign_Name]],'Campaign Metadata Dataset '!$A$1:$C$5,3,0)</f>
        <v>45488</v>
      </c>
      <c r="T21" s="1" t="str">
        <f t="shared" si="1"/>
        <v>Before Campaign</v>
      </c>
      <c r="U21" s="1">
        <f>SUM(Posts_Cleaned[[#This Row],[Likes]]+Posts_Cleaned[[#This Row],[Shares]]+Posts_Cleaned[[#This Row],[Comments]]+Posts_Cleaned[[#This Row],[Clicks]])</f>
        <v>4940</v>
      </c>
      <c r="V21" s="1">
        <f ca="1">AVERAGEIF(Posts_Cleaned[[#This Row],[Period]]:T:T,"Before Campaign",Posts_Cleaned[[#This Row],[Engagement Rate ]])</f>
        <v>0.15667333949516279</v>
      </c>
      <c r="W21" s="5">
        <f t="shared" ca="1" si="2"/>
        <v>0.14948499223586742</v>
      </c>
      <c r="X21" s="6">
        <f ca="1">(Posts_Cleaned[[#This Row],[During ]]-Posts_Cleaned[[#This Row],[Before ]])/Posts_Cleaned[[#This Row],[During ]]</f>
        <v>-4.8087417685068475E-2</v>
      </c>
      <c r="Y21" s="1">
        <f>IFERROR(VLOOKUP(O21, 'Campaign Metadata Dataset '!$A$1:$G$5,5,0),0)</f>
        <v>150000</v>
      </c>
      <c r="Z21" s="1">
        <f t="shared" si="3"/>
        <v>3.2933333333333335E-2</v>
      </c>
      <c r="AA21" s="1">
        <f t="shared" ca="1" si="0"/>
        <v>-4.8087417685068475E-2</v>
      </c>
    </row>
    <row r="22" spans="1:27" x14ac:dyDescent="0.25">
      <c r="A22" t="s">
        <v>70</v>
      </c>
      <c r="B22" s="1" t="s">
        <v>33</v>
      </c>
      <c r="C22" s="2">
        <v>45661</v>
      </c>
      <c r="D22" s="1" t="s">
        <v>17</v>
      </c>
      <c r="E22" s="1" t="s">
        <v>65</v>
      </c>
      <c r="F22">
        <v>4838</v>
      </c>
      <c r="G22">
        <v>640</v>
      </c>
      <c r="H22">
        <v>128</v>
      </c>
      <c r="I22">
        <v>72570</v>
      </c>
      <c r="J22">
        <v>72396</v>
      </c>
      <c r="K22">
        <v>83</v>
      </c>
      <c r="L22" s="1" t="s">
        <v>19</v>
      </c>
      <c r="M22" s="1"/>
      <c r="N22" s="1"/>
      <c r="O22" s="1" t="s">
        <v>37</v>
      </c>
      <c r="P22" s="5">
        <f>IFERROR(((Posts_Cleaned[[#This Row],[Likes]]+Posts_Cleaned[[#This Row],[Shares]]+Posts_Cleaned[[#This Row],[Comments]])/Posts_Cleaned[[#This Row],[Impressions]]),0)</f>
        <v>7.7249552156538517E-2</v>
      </c>
      <c r="Q22" s="3" t="str">
        <f>_xlfn.TEXTJOIN(", ", TRUE, Posts_Cleaned[[#This Row],[Hashtags Used.1]], Posts_Cleaned[[#This Row],[Hashtags Used.2]], Posts_Cleaned[[#This Row],[Hashtags Used.3]])</f>
        <v>#FutureOfDriving</v>
      </c>
      <c r="R22" s="2">
        <f>VLOOKUP(Posts_Cleaned[[#This Row],[Campaign_Name]],'Campaign Metadata Dataset '!$A$2:$B$5,2,0)</f>
        <v>45717</v>
      </c>
      <c r="S22" s="2">
        <f>VLOOKUP(Posts_Cleaned[[#This Row],[Campaign_Name]],'Campaign Metadata Dataset '!$A$1:$C$5,3,0)</f>
        <v>45747</v>
      </c>
      <c r="T22" s="1" t="str">
        <f t="shared" si="1"/>
        <v>Before Campaign</v>
      </c>
      <c r="U22" s="1">
        <f>SUM(Posts_Cleaned[[#This Row],[Likes]]+Posts_Cleaned[[#This Row],[Shares]]+Posts_Cleaned[[#This Row],[Comments]]+Posts_Cleaned[[#This Row],[Clicks]])</f>
        <v>5689</v>
      </c>
      <c r="V22" s="1">
        <f ca="1">AVERAGEIF(Posts_Cleaned[[#This Row],[Period]]:T:T,"Before Campaign",Posts_Cleaned[[#This Row],[Engagement Rate ]])</f>
        <v>0.15641970616846815</v>
      </c>
      <c r="W22" s="5">
        <f t="shared" ca="1" si="2"/>
        <v>0.13014815696440993</v>
      </c>
      <c r="X22" s="6">
        <f ca="1">(Posts_Cleaned[[#This Row],[During ]]-Posts_Cleaned[[#This Row],[Before ]])/Posts_Cleaned[[#This Row],[During ]]</f>
        <v>-0.20185878783702169</v>
      </c>
      <c r="Y22" s="1">
        <f>IFERROR(VLOOKUP(O22, 'Campaign Metadata Dataset '!$A$1:$G$5,5,0),0)</f>
        <v>180000</v>
      </c>
      <c r="Z22" s="1">
        <f t="shared" si="3"/>
        <v>3.1605555555555553E-2</v>
      </c>
      <c r="AA22" s="1">
        <f t="shared" ca="1" si="0"/>
        <v>-0.20185878783702169</v>
      </c>
    </row>
    <row r="23" spans="1:27" x14ac:dyDescent="0.25">
      <c r="A23" t="s">
        <v>71</v>
      </c>
      <c r="B23" s="1" t="s">
        <v>40</v>
      </c>
      <c r="C23" s="2">
        <v>45715</v>
      </c>
      <c r="D23" s="1" t="s">
        <v>23</v>
      </c>
      <c r="E23" s="1" t="s">
        <v>49</v>
      </c>
      <c r="F23">
        <v>1570</v>
      </c>
      <c r="G23">
        <v>187</v>
      </c>
      <c r="H23">
        <v>260</v>
      </c>
      <c r="I23">
        <v>25120</v>
      </c>
      <c r="J23">
        <v>24613</v>
      </c>
      <c r="K23">
        <v>133</v>
      </c>
      <c r="L23" s="1" t="s">
        <v>25</v>
      </c>
      <c r="M23" s="1"/>
      <c r="N23" s="1"/>
      <c r="O23" s="1" t="s">
        <v>37</v>
      </c>
      <c r="P23" s="5">
        <f>IFERROR(((Posts_Cleaned[[#This Row],[Likes]]+Posts_Cleaned[[#This Row],[Shares]]+Posts_Cleaned[[#This Row],[Comments]])/Posts_Cleaned[[#This Row],[Impressions]]),0)</f>
        <v>8.0294585987261149E-2</v>
      </c>
      <c r="Q23" s="3" t="str">
        <f>_xlfn.TEXTJOIN(", ", TRUE, Posts_Cleaned[[#This Row],[Hashtags Used.1]], Posts_Cleaned[[#This Row],[Hashtags Used.2]], Posts_Cleaned[[#This Row],[Hashtags Used.3]])</f>
        <v>#TeslaCoInnovation</v>
      </c>
      <c r="R23" s="2">
        <f>VLOOKUP(Posts_Cleaned[[#This Row],[Campaign_Name]],'Campaign Metadata Dataset '!$A$2:$B$5,2,0)</f>
        <v>45717</v>
      </c>
      <c r="S23" s="2">
        <f>VLOOKUP(Posts_Cleaned[[#This Row],[Campaign_Name]],'Campaign Metadata Dataset '!$A$1:$C$5,3,0)</f>
        <v>45747</v>
      </c>
      <c r="T23" s="1" t="str">
        <f t="shared" si="1"/>
        <v>Before Campaign</v>
      </c>
      <c r="U23" s="1">
        <f>SUM(Posts_Cleaned[[#This Row],[Likes]]+Posts_Cleaned[[#This Row],[Shares]]+Posts_Cleaned[[#This Row],[Comments]]+Posts_Cleaned[[#This Row],[Clicks]])</f>
        <v>2150</v>
      </c>
      <c r="V23" s="1">
        <f ca="1">AVERAGEIF(Posts_Cleaned[[#This Row],[Period]]:T:T,"Before Campaign",Posts_Cleaned[[#This Row],[Engagement Rate ]])</f>
        <v>0.1474034386231948</v>
      </c>
      <c r="W23" s="5">
        <f t="shared" ca="1" si="2"/>
        <v>0.15893104591408985</v>
      </c>
      <c r="X23" s="6">
        <f ca="1">(Posts_Cleaned[[#This Row],[During ]]-Posts_Cleaned[[#This Row],[Before ]])/Posts_Cleaned[[#This Row],[During ]]</f>
        <v>7.253213004793474E-2</v>
      </c>
      <c r="Y23" s="1">
        <f>IFERROR(VLOOKUP(O23, 'Campaign Metadata Dataset '!$A$1:$G$5,5,0),0)</f>
        <v>180000</v>
      </c>
      <c r="Z23" s="1">
        <f t="shared" si="3"/>
        <v>1.1944444444444445E-2</v>
      </c>
      <c r="AA23" s="1">
        <f t="shared" ca="1" si="0"/>
        <v>7.253213004793474E-2</v>
      </c>
    </row>
    <row r="24" spans="1:27" x14ac:dyDescent="0.25">
      <c r="A24" t="s">
        <v>72</v>
      </c>
      <c r="B24" s="1" t="s">
        <v>40</v>
      </c>
      <c r="C24" s="2">
        <v>45602</v>
      </c>
      <c r="D24" s="1" t="s">
        <v>60</v>
      </c>
      <c r="E24" s="1" t="s">
        <v>61</v>
      </c>
      <c r="F24">
        <v>1606</v>
      </c>
      <c r="G24">
        <v>547</v>
      </c>
      <c r="H24">
        <v>316</v>
      </c>
      <c r="I24">
        <v>32120</v>
      </c>
      <c r="J24">
        <v>31736</v>
      </c>
      <c r="K24">
        <v>225</v>
      </c>
      <c r="L24" s="1" t="s">
        <v>25</v>
      </c>
      <c r="M24" s="1" t="s">
        <v>20</v>
      </c>
      <c r="N24" s="1"/>
      <c r="O24" s="1" t="s">
        <v>27</v>
      </c>
      <c r="P24" s="5">
        <f>IFERROR(((Posts_Cleaned[[#This Row],[Likes]]+Posts_Cleaned[[#This Row],[Shares]]+Posts_Cleaned[[#This Row],[Comments]])/Posts_Cleaned[[#This Row],[Impressions]]),0)</f>
        <v>7.6867995018679955E-2</v>
      </c>
      <c r="Q24" s="3" t="str">
        <f>_xlfn.TEXTJOIN(", ", TRUE, Posts_Cleaned[[#This Row],[Hashtags Used.1]], Posts_Cleaned[[#This Row],[Hashtags Used.2]], Posts_Cleaned[[#This Row],[Hashtags Used.3]])</f>
        <v>#TeslaCoInnovation, #AnytimeIsTeslaTime</v>
      </c>
      <c r="R24" s="2">
        <f>VLOOKUP(Posts_Cleaned[[#This Row],[Campaign_Name]],'Campaign Metadata Dataset '!$A$2:$B$5,2,0)</f>
        <v>45566</v>
      </c>
      <c r="S24" s="2">
        <f>VLOOKUP(Posts_Cleaned[[#This Row],[Campaign_Name]],'Campaign Metadata Dataset '!$A$1:$C$5,3,0)</f>
        <v>45596</v>
      </c>
      <c r="T24" s="1" t="str">
        <f t="shared" si="1"/>
        <v>Before Campaign</v>
      </c>
      <c r="U24" s="1">
        <f>SUM(Posts_Cleaned[[#This Row],[Likes]]+Posts_Cleaned[[#This Row],[Shares]]+Posts_Cleaned[[#This Row],[Comments]]+Posts_Cleaned[[#This Row],[Clicks]])</f>
        <v>2694</v>
      </c>
      <c r="V24" s="1">
        <f ca="1">AVERAGEIF(Posts_Cleaned[[#This Row],[Period]]:T:T,"Before Campaign",Posts_Cleaned[[#This Row],[Engagement Rate ]])</f>
        <v>0.15478525535423998</v>
      </c>
      <c r="W24" s="5">
        <f t="shared" ca="1" si="2"/>
        <v>0.18960705084511481</v>
      </c>
      <c r="X24" s="6">
        <f ca="1">(Posts_Cleaned[[#This Row],[During ]]-Posts_Cleaned[[#This Row],[Before ]])/Posts_Cleaned[[#This Row],[During ]]</f>
        <v>0.18365242925127226</v>
      </c>
      <c r="Y24" s="1">
        <f>IFERROR(VLOOKUP(O24, 'Campaign Metadata Dataset '!$A$1:$G$5,5,0),0)</f>
        <v>200000</v>
      </c>
      <c r="Z24" s="1">
        <f t="shared" si="3"/>
        <v>1.3469999999999999E-2</v>
      </c>
      <c r="AA24" s="1">
        <f t="shared" ca="1" si="0"/>
        <v>0.18365242925127226</v>
      </c>
    </row>
    <row r="25" spans="1:27" x14ac:dyDescent="0.25">
      <c r="A25" t="s">
        <v>73</v>
      </c>
      <c r="B25" s="1" t="s">
        <v>40</v>
      </c>
      <c r="C25" s="2">
        <v>45680</v>
      </c>
      <c r="D25" s="1" t="s">
        <v>60</v>
      </c>
      <c r="E25" s="1" t="s">
        <v>61</v>
      </c>
      <c r="F25">
        <v>3961</v>
      </c>
      <c r="G25">
        <v>761</v>
      </c>
      <c r="H25">
        <v>131</v>
      </c>
      <c r="I25">
        <v>67337</v>
      </c>
      <c r="J25">
        <v>66615</v>
      </c>
      <c r="K25">
        <v>161</v>
      </c>
      <c r="L25" s="1" t="s">
        <v>19</v>
      </c>
      <c r="M25" s="1"/>
      <c r="N25" s="1"/>
      <c r="O25" s="1" t="s">
        <v>31</v>
      </c>
      <c r="P25" s="5">
        <f>IFERROR(((Posts_Cleaned[[#This Row],[Likes]]+Posts_Cleaned[[#This Row],[Shares]]+Posts_Cleaned[[#This Row],[Comments]])/Posts_Cleaned[[#This Row],[Impressions]]),0)</f>
        <v>7.2070332803659209E-2</v>
      </c>
      <c r="Q25" s="3" t="str">
        <f>_xlfn.TEXTJOIN(", ", TRUE, Posts_Cleaned[[#This Row],[Hashtags Used.1]], Posts_Cleaned[[#This Row],[Hashtags Used.2]], Posts_Cleaned[[#This Row],[Hashtags Used.3]])</f>
        <v>#FutureOfDriving</v>
      </c>
      <c r="R25" s="2">
        <f>VLOOKUP(Posts_Cleaned[[#This Row],[Campaign_Name]],'Campaign Metadata Dataset '!$A$2:$B$5,2,0)</f>
        <v>45651</v>
      </c>
      <c r="S25" s="2">
        <f>VLOOKUP(Posts_Cleaned[[#This Row],[Campaign_Name]],'Campaign Metadata Dataset '!$A$1:$C$5,3,0)</f>
        <v>45667</v>
      </c>
      <c r="T25" s="1" t="str">
        <f t="shared" si="1"/>
        <v>Before Campaign</v>
      </c>
      <c r="U25" s="1">
        <f>SUM(Posts_Cleaned[[#This Row],[Likes]]+Posts_Cleaned[[#This Row],[Shares]]+Posts_Cleaned[[#This Row],[Comments]]+Posts_Cleaned[[#This Row],[Clicks]])</f>
        <v>5014</v>
      </c>
      <c r="V25" s="1">
        <f ca="1">AVERAGEIF(Posts_Cleaned[[#This Row],[Period]]:T:T,"Before Campaign",Posts_Cleaned[[#This Row],[Engagement Rate ]])</f>
        <v>0.15728692220813117</v>
      </c>
      <c r="W25" s="5">
        <f t="shared" ca="1" si="2"/>
        <v>0.14645307129982504</v>
      </c>
      <c r="X25" s="6">
        <f ca="1">(Posts_Cleaned[[#This Row],[During ]]-Posts_Cleaned[[#This Row],[Before ]])/Posts_Cleaned[[#This Row],[During ]]</f>
        <v>-7.3974897297487213E-2</v>
      </c>
      <c r="Y25" s="1">
        <f>IFERROR(VLOOKUP(O25, 'Campaign Metadata Dataset '!$A$1:$G$5,5,0),0)</f>
        <v>250000</v>
      </c>
      <c r="Z25" s="1">
        <f t="shared" si="3"/>
        <v>2.0056000000000001E-2</v>
      </c>
      <c r="AA25" s="1">
        <f t="shared" ca="1" si="0"/>
        <v>-7.3974897297487213E-2</v>
      </c>
    </row>
    <row r="26" spans="1:27" x14ac:dyDescent="0.25">
      <c r="A26" t="s">
        <v>74</v>
      </c>
      <c r="B26" s="1" t="s">
        <v>16</v>
      </c>
      <c r="C26" s="2">
        <v>45757</v>
      </c>
      <c r="D26" s="1" t="s">
        <v>41</v>
      </c>
      <c r="E26" s="1" t="s">
        <v>44</v>
      </c>
      <c r="F26">
        <v>3128</v>
      </c>
      <c r="G26">
        <v>211</v>
      </c>
      <c r="H26">
        <v>197</v>
      </c>
      <c r="I26">
        <v>59432</v>
      </c>
      <c r="J26">
        <v>59182</v>
      </c>
      <c r="K26">
        <v>238</v>
      </c>
      <c r="L26" s="1" t="s">
        <v>36</v>
      </c>
      <c r="M26" s="1"/>
      <c r="N26" s="1"/>
      <c r="O26" s="1"/>
      <c r="P26" s="5">
        <f>IFERROR(((Posts_Cleaned[[#This Row],[Likes]]+Posts_Cleaned[[#This Row],[Shares]]+Posts_Cleaned[[#This Row],[Comments]])/Posts_Cleaned[[#This Row],[Impressions]]),0)</f>
        <v>5.9496567505720827E-2</v>
      </c>
      <c r="Q26" s="3" t="str">
        <f>_xlfn.TEXTJOIN(", ", TRUE, Posts_Cleaned[[#This Row],[Hashtags Used.1]], Posts_Cleaned[[#This Row],[Hashtags Used.2]], Posts_Cleaned[[#This Row],[Hashtags Used.3]])</f>
        <v>#EVRevolution</v>
      </c>
      <c r="R26" s="2" t="e">
        <f>VLOOKUP(Posts_Cleaned[[#This Row],[Campaign_Name]],'Campaign Metadata Dataset '!$A$2:$B$5,2,0)</f>
        <v>#N/A</v>
      </c>
      <c r="S26" s="2" t="e">
        <f>VLOOKUP(Posts_Cleaned[[#This Row],[Campaign_Name]],'Campaign Metadata Dataset '!$A$1:$C$5,3,0)</f>
        <v>#N/A</v>
      </c>
      <c r="T26" s="1" t="e">
        <f t="shared" si="1"/>
        <v>#N/A</v>
      </c>
      <c r="U26" s="1">
        <f>SUM(Posts_Cleaned[[#This Row],[Likes]]+Posts_Cleaned[[#This Row],[Shares]]+Posts_Cleaned[[#This Row],[Comments]]+Posts_Cleaned[[#This Row],[Clicks]])</f>
        <v>3774</v>
      </c>
      <c r="V26" s="1">
        <f ca="1">AVERAGEIF(Posts_Cleaned[[#This Row],[Period]]:T:T,"Before Campaign",Posts_Cleaned[[#This Row],[Engagement Rate ]])</f>
        <v>0.14598197781445291</v>
      </c>
      <c r="W26" s="5">
        <f t="shared" ca="1" si="2"/>
        <v>0.10815793782212275</v>
      </c>
      <c r="X26" s="6">
        <f ca="1">(Posts_Cleaned[[#This Row],[During ]]-Posts_Cleaned[[#This Row],[Before ]])/Posts_Cleaned[[#This Row],[During ]]</f>
        <v>-0.34971117935454549</v>
      </c>
      <c r="Y26" s="1">
        <f>IFERROR(VLOOKUP(O26, 'Campaign Metadata Dataset '!$A$1:$G$5,5,0),0)</f>
        <v>0</v>
      </c>
      <c r="Z26" s="1">
        <v>0</v>
      </c>
      <c r="AA26" s="1">
        <f t="shared" ca="1" si="0"/>
        <v>-0.34971117935454549</v>
      </c>
    </row>
    <row r="27" spans="1:27" x14ac:dyDescent="0.25">
      <c r="A27" t="s">
        <v>75</v>
      </c>
      <c r="B27" s="1" t="s">
        <v>29</v>
      </c>
      <c r="C27" s="2">
        <v>45752</v>
      </c>
      <c r="D27" s="1" t="s">
        <v>17</v>
      </c>
      <c r="E27" s="1" t="s">
        <v>30</v>
      </c>
      <c r="F27">
        <v>3009</v>
      </c>
      <c r="G27">
        <v>413</v>
      </c>
      <c r="H27">
        <v>358</v>
      </c>
      <c r="I27">
        <v>42126</v>
      </c>
      <c r="J27">
        <v>41309</v>
      </c>
      <c r="K27">
        <v>211</v>
      </c>
      <c r="L27" s="1" t="s">
        <v>19</v>
      </c>
      <c r="M27" s="1"/>
      <c r="N27" s="1"/>
      <c r="O27" s="1" t="s">
        <v>27</v>
      </c>
      <c r="P27" s="5">
        <f>IFERROR(((Posts_Cleaned[[#This Row],[Likes]]+Posts_Cleaned[[#This Row],[Shares]]+Posts_Cleaned[[#This Row],[Comments]])/Posts_Cleaned[[#This Row],[Impressions]]),0)</f>
        <v>8.9730807577268201E-2</v>
      </c>
      <c r="Q27" s="3" t="str">
        <f>_xlfn.TEXTJOIN(", ", TRUE, Posts_Cleaned[[#This Row],[Hashtags Used.1]], Posts_Cleaned[[#This Row],[Hashtags Used.2]], Posts_Cleaned[[#This Row],[Hashtags Used.3]])</f>
        <v>#FutureOfDriving</v>
      </c>
      <c r="R27" s="2">
        <f>VLOOKUP(Posts_Cleaned[[#This Row],[Campaign_Name]],'Campaign Metadata Dataset '!$A$2:$B$5,2,0)</f>
        <v>45566</v>
      </c>
      <c r="S27" s="2">
        <f>VLOOKUP(Posts_Cleaned[[#This Row],[Campaign_Name]],'Campaign Metadata Dataset '!$A$1:$C$5,3,0)</f>
        <v>45596</v>
      </c>
      <c r="T27" s="1" t="str">
        <f t="shared" si="1"/>
        <v>Before Campaign</v>
      </c>
      <c r="U27" s="1">
        <f>SUM(Posts_Cleaned[[#This Row],[Likes]]+Posts_Cleaned[[#This Row],[Shares]]+Posts_Cleaned[[#This Row],[Comments]]+Posts_Cleaned[[#This Row],[Clicks]])</f>
        <v>3991</v>
      </c>
      <c r="V27" s="1">
        <f ca="1">AVERAGEIF(Posts_Cleaned[[#This Row],[Period]]:T:T,"Before Campaign",Posts_Cleaned[[#This Row],[Engagement Rate ]])</f>
        <v>0.15417875491003452</v>
      </c>
      <c r="W27" s="5">
        <f t="shared" ca="1" si="2"/>
        <v>0.19877261813404887</v>
      </c>
      <c r="X27" s="6">
        <f ca="1">(Posts_Cleaned[[#This Row],[During ]]-Posts_Cleaned[[#This Row],[Before ]])/Posts_Cleaned[[#This Row],[During ]]</f>
        <v>0.22434610784238404</v>
      </c>
      <c r="Y27" s="1">
        <f>IFERROR(VLOOKUP(O27, 'Campaign Metadata Dataset '!$A$1:$G$5,5,0),0)</f>
        <v>200000</v>
      </c>
      <c r="Z27" s="1">
        <f t="shared" si="3"/>
        <v>1.9955000000000001E-2</v>
      </c>
      <c r="AA27" s="1">
        <f t="shared" ca="1" si="0"/>
        <v>0.22434610784238404</v>
      </c>
    </row>
    <row r="28" spans="1:27" x14ac:dyDescent="0.25">
      <c r="A28" t="s">
        <v>76</v>
      </c>
      <c r="B28" s="1" t="s">
        <v>29</v>
      </c>
      <c r="C28" s="2">
        <v>45552</v>
      </c>
      <c r="D28" s="1" t="s">
        <v>23</v>
      </c>
      <c r="E28" s="1" t="s">
        <v>77</v>
      </c>
      <c r="F28">
        <v>2076</v>
      </c>
      <c r="G28">
        <v>195</v>
      </c>
      <c r="H28">
        <v>104</v>
      </c>
      <c r="I28">
        <v>33216</v>
      </c>
      <c r="J28">
        <v>32244</v>
      </c>
      <c r="K28">
        <v>51</v>
      </c>
      <c r="L28" s="1" t="s">
        <v>19</v>
      </c>
      <c r="M28" s="1"/>
      <c r="N28" s="1"/>
      <c r="O28" s="1" t="s">
        <v>37</v>
      </c>
      <c r="P28" s="5">
        <f>IFERROR(((Posts_Cleaned[[#This Row],[Likes]]+Posts_Cleaned[[#This Row],[Shares]]+Posts_Cleaned[[#This Row],[Comments]])/Posts_Cleaned[[#This Row],[Impressions]]),0)</f>
        <v>7.1501685934489398E-2</v>
      </c>
      <c r="Q28" s="3" t="str">
        <f>_xlfn.TEXTJOIN(", ", TRUE, Posts_Cleaned[[#This Row],[Hashtags Used.1]], Posts_Cleaned[[#This Row],[Hashtags Used.2]], Posts_Cleaned[[#This Row],[Hashtags Used.3]])</f>
        <v>#FutureOfDriving</v>
      </c>
      <c r="R28" s="2">
        <f>VLOOKUP(Posts_Cleaned[[#This Row],[Campaign_Name]],'Campaign Metadata Dataset '!$A$2:$B$5,2,0)</f>
        <v>45717</v>
      </c>
      <c r="S28" s="2">
        <f>VLOOKUP(Posts_Cleaned[[#This Row],[Campaign_Name]],'Campaign Metadata Dataset '!$A$1:$C$5,3,0)</f>
        <v>45747</v>
      </c>
      <c r="T28" s="1" t="str">
        <f t="shared" si="1"/>
        <v>Before Campaign</v>
      </c>
      <c r="U28" s="1">
        <f>SUM(Posts_Cleaned[[#This Row],[Likes]]+Posts_Cleaned[[#This Row],[Shares]]+Posts_Cleaned[[#This Row],[Comments]]+Posts_Cleaned[[#This Row],[Clicks]])</f>
        <v>2426</v>
      </c>
      <c r="V28" s="1">
        <f ca="1">AVERAGEIF(Posts_Cleaned[[#This Row],[Period]]:T:T,"Before Campaign",Posts_Cleaned[[#This Row],[Engagement Rate ]])</f>
        <v>0.16356514567425631</v>
      </c>
      <c r="W28" s="5">
        <f t="shared" ca="1" si="2"/>
        <v>0.19829823366204472</v>
      </c>
      <c r="X28" s="6">
        <f ca="1">(Posts_Cleaned[[#This Row],[During ]]-Posts_Cleaned[[#This Row],[Before ]])/Posts_Cleaned[[#This Row],[During ]]</f>
        <v>0.17515581125640906</v>
      </c>
      <c r="Y28" s="1">
        <f>IFERROR(VLOOKUP(O28, 'Campaign Metadata Dataset '!$A$1:$G$5,5,0),0)</f>
        <v>180000</v>
      </c>
      <c r="Z28" s="1">
        <f t="shared" si="3"/>
        <v>1.3477777777777778E-2</v>
      </c>
      <c r="AA28" s="1">
        <f t="shared" ca="1" si="0"/>
        <v>0.17515581125640906</v>
      </c>
    </row>
    <row r="29" spans="1:27" x14ac:dyDescent="0.25">
      <c r="A29" t="s">
        <v>78</v>
      </c>
      <c r="B29" s="1" t="s">
        <v>33</v>
      </c>
      <c r="C29" s="2">
        <v>45720</v>
      </c>
      <c r="D29" s="1" t="s">
        <v>60</v>
      </c>
      <c r="E29" s="1" t="s">
        <v>67</v>
      </c>
      <c r="F29">
        <v>432</v>
      </c>
      <c r="G29">
        <v>624</v>
      </c>
      <c r="H29">
        <v>123</v>
      </c>
      <c r="I29">
        <v>6912</v>
      </c>
      <c r="J29">
        <v>6259</v>
      </c>
      <c r="K29">
        <v>79</v>
      </c>
      <c r="L29" s="1" t="s">
        <v>19</v>
      </c>
      <c r="M29" s="1"/>
      <c r="N29" s="1"/>
      <c r="O29" s="1" t="s">
        <v>37</v>
      </c>
      <c r="P29" s="5">
        <f>IFERROR(((Posts_Cleaned[[#This Row],[Likes]]+Posts_Cleaned[[#This Row],[Shares]]+Posts_Cleaned[[#This Row],[Comments]])/Posts_Cleaned[[#This Row],[Impressions]]),0)</f>
        <v>0.17057291666666666</v>
      </c>
      <c r="Q29" s="3" t="str">
        <f>_xlfn.TEXTJOIN(", ", TRUE, Posts_Cleaned[[#This Row],[Hashtags Used.1]], Posts_Cleaned[[#This Row],[Hashtags Used.2]], Posts_Cleaned[[#This Row],[Hashtags Used.3]])</f>
        <v>#FutureOfDriving</v>
      </c>
      <c r="R29" s="2">
        <f>VLOOKUP(Posts_Cleaned[[#This Row],[Campaign_Name]],'Campaign Metadata Dataset '!$A$2:$B$5,2,0)</f>
        <v>45717</v>
      </c>
      <c r="S29" s="2">
        <f>VLOOKUP(Posts_Cleaned[[#This Row],[Campaign_Name]],'Campaign Metadata Dataset '!$A$1:$C$5,3,0)</f>
        <v>45747</v>
      </c>
      <c r="T29" s="1" t="str">
        <f t="shared" si="1"/>
        <v>During Campaign</v>
      </c>
      <c r="U29" s="1">
        <f>SUM(Posts_Cleaned[[#This Row],[Likes]]+Posts_Cleaned[[#This Row],[Shares]]+Posts_Cleaned[[#This Row],[Comments]]+Posts_Cleaned[[#This Row],[Clicks]])</f>
        <v>1258</v>
      </c>
      <c r="V29" s="1">
        <f ca="1">AVERAGEIF(Posts_Cleaned[[#This Row],[Period]]:T:T,"Before Campaign",Posts_Cleaned[[#This Row],[Engagement Rate ]])</f>
        <v>0.14237468797283384</v>
      </c>
      <c r="W29" s="5">
        <f t="shared" ca="1" si="2"/>
        <v>0.1068443253209018</v>
      </c>
      <c r="X29" s="6">
        <f ca="1">(Posts_Cleaned[[#This Row],[During ]]-Posts_Cleaned[[#This Row],[Before ]])/Posts_Cleaned[[#This Row],[During ]]</f>
        <v>-0.33254328243655717</v>
      </c>
      <c r="Y29" s="1">
        <f>IFERROR(VLOOKUP(O29, 'Campaign Metadata Dataset '!$A$1:$G$5,5,0),0)</f>
        <v>180000</v>
      </c>
      <c r="Z29" s="1">
        <f t="shared" si="3"/>
        <v>6.9888888888888891E-3</v>
      </c>
      <c r="AA29" s="1">
        <f t="shared" ca="1" si="0"/>
        <v>-0.33254328243655717</v>
      </c>
    </row>
    <row r="30" spans="1:27" x14ac:dyDescent="0.25">
      <c r="A30" t="s">
        <v>79</v>
      </c>
      <c r="B30" s="1" t="s">
        <v>33</v>
      </c>
      <c r="C30" s="2">
        <v>45688</v>
      </c>
      <c r="D30" s="1" t="s">
        <v>41</v>
      </c>
      <c r="E30" s="1" t="s">
        <v>69</v>
      </c>
      <c r="F30">
        <v>2566</v>
      </c>
      <c r="G30">
        <v>118</v>
      </c>
      <c r="H30">
        <v>37</v>
      </c>
      <c r="I30">
        <v>12830</v>
      </c>
      <c r="J30">
        <v>12264</v>
      </c>
      <c r="K30">
        <v>221</v>
      </c>
      <c r="L30" s="1" t="s">
        <v>19</v>
      </c>
      <c r="M30" s="1"/>
      <c r="N30" s="1"/>
      <c r="O30" s="1" t="s">
        <v>31</v>
      </c>
      <c r="P30" s="5">
        <f>IFERROR(((Posts_Cleaned[[#This Row],[Likes]]+Posts_Cleaned[[#This Row],[Shares]]+Posts_Cleaned[[#This Row],[Comments]])/Posts_Cleaned[[#This Row],[Impressions]]),0)</f>
        <v>0.21208106001558846</v>
      </c>
      <c r="Q30" s="3" t="str">
        <f>_xlfn.TEXTJOIN(", ", TRUE, Posts_Cleaned[[#This Row],[Hashtags Used.1]], Posts_Cleaned[[#This Row],[Hashtags Used.2]], Posts_Cleaned[[#This Row],[Hashtags Used.3]])</f>
        <v>#FutureOfDriving</v>
      </c>
      <c r="R30" s="2">
        <f>VLOOKUP(Posts_Cleaned[[#This Row],[Campaign_Name]],'Campaign Metadata Dataset '!$A$2:$B$5,2,0)</f>
        <v>45651</v>
      </c>
      <c r="S30" s="2">
        <f>VLOOKUP(Posts_Cleaned[[#This Row],[Campaign_Name]],'Campaign Metadata Dataset '!$A$1:$C$5,3,0)</f>
        <v>45667</v>
      </c>
      <c r="T30" s="1" t="str">
        <f t="shared" si="1"/>
        <v>Before Campaign</v>
      </c>
      <c r="U30" s="1">
        <f>SUM(Posts_Cleaned[[#This Row],[Likes]]+Posts_Cleaned[[#This Row],[Shares]]+Posts_Cleaned[[#This Row],[Comments]]+Posts_Cleaned[[#This Row],[Clicks]])</f>
        <v>2942</v>
      </c>
      <c r="V30" s="1">
        <f ca="1">AVERAGEIF(Posts_Cleaned[[#This Row],[Period]]:T:T,"Before Campaign",Posts_Cleaned[[#This Row],[Engagement Rate ]])</f>
        <v>0.15621541503706643</v>
      </c>
      <c r="W30" s="5">
        <f t="shared" ca="1" si="2"/>
        <v>0.1778944922949344</v>
      </c>
      <c r="X30" s="6">
        <f ca="1">(Posts_Cleaned[[#This Row],[During ]]-Posts_Cleaned[[#This Row],[Before ]])/Posts_Cleaned[[#This Row],[During ]]</f>
        <v>0.12186480299753095</v>
      </c>
      <c r="Y30" s="1">
        <f>IFERROR(VLOOKUP(O30, 'Campaign Metadata Dataset '!$A$1:$G$5,5,0),0)</f>
        <v>250000</v>
      </c>
      <c r="Z30" s="1">
        <f t="shared" si="3"/>
        <v>1.1768000000000001E-2</v>
      </c>
      <c r="AA30" s="1">
        <f t="shared" ca="1" si="0"/>
        <v>0.12186480299753095</v>
      </c>
    </row>
    <row r="31" spans="1:27" x14ac:dyDescent="0.25">
      <c r="A31" t="s">
        <v>80</v>
      </c>
      <c r="B31" s="1" t="s">
        <v>33</v>
      </c>
      <c r="C31" s="2">
        <v>45713</v>
      </c>
      <c r="D31" s="1" t="s">
        <v>60</v>
      </c>
      <c r="E31" s="1" t="s">
        <v>67</v>
      </c>
      <c r="F31">
        <v>3095</v>
      </c>
      <c r="G31">
        <v>39</v>
      </c>
      <c r="H31">
        <v>78</v>
      </c>
      <c r="I31">
        <v>55710</v>
      </c>
      <c r="J31">
        <v>54808</v>
      </c>
      <c r="K31">
        <v>93</v>
      </c>
      <c r="L31" s="1" t="s">
        <v>36</v>
      </c>
      <c r="M31" s="1"/>
      <c r="N31" s="1"/>
      <c r="O31" s="1"/>
      <c r="P31" s="5">
        <f>IFERROR(((Posts_Cleaned[[#This Row],[Likes]]+Posts_Cleaned[[#This Row],[Shares]]+Posts_Cleaned[[#This Row],[Comments]])/Posts_Cleaned[[#This Row],[Impressions]]),0)</f>
        <v>5.7655717106444085E-2</v>
      </c>
      <c r="Q31" s="3" t="str">
        <f>_xlfn.TEXTJOIN(", ", TRUE, Posts_Cleaned[[#This Row],[Hashtags Used.1]], Posts_Cleaned[[#This Row],[Hashtags Used.2]], Posts_Cleaned[[#This Row],[Hashtags Used.3]])</f>
        <v>#EVRevolution</v>
      </c>
      <c r="R31" s="2" t="e">
        <f>VLOOKUP(Posts_Cleaned[[#This Row],[Campaign_Name]],'Campaign Metadata Dataset '!$A$2:$B$5,2,0)</f>
        <v>#N/A</v>
      </c>
      <c r="S31" s="2" t="e">
        <f>VLOOKUP(Posts_Cleaned[[#This Row],[Campaign_Name]],'Campaign Metadata Dataset '!$A$1:$C$5,3,0)</f>
        <v>#N/A</v>
      </c>
      <c r="T31" s="1" t="e">
        <f t="shared" si="1"/>
        <v>#N/A</v>
      </c>
      <c r="U31" s="1">
        <f>SUM(Posts_Cleaned[[#This Row],[Likes]]+Posts_Cleaned[[#This Row],[Shares]]+Posts_Cleaned[[#This Row],[Comments]]+Posts_Cleaned[[#This Row],[Clicks]])</f>
        <v>3305</v>
      </c>
      <c r="V31" s="1">
        <f ca="1">AVERAGEIF(Posts_Cleaned[[#This Row],[Period]]:T:T,"Before Campaign",Posts_Cleaned[[#This Row],[Engagement Rate ]])</f>
        <v>0.14622714906868797</v>
      </c>
      <c r="W31" s="5">
        <f t="shared" ca="1" si="2"/>
        <v>0.14683332321007075</v>
      </c>
      <c r="X31" s="6">
        <f ca="1">(Posts_Cleaned[[#This Row],[During ]]-Posts_Cleaned[[#This Row],[Before ]])/Posts_Cleaned[[#This Row],[During ]]</f>
        <v>4.1283145278646549E-3</v>
      </c>
      <c r="Y31" s="1">
        <f>IFERROR(VLOOKUP(O31, 'Campaign Metadata Dataset '!$A$1:$G$5,5,0),0)</f>
        <v>0</v>
      </c>
      <c r="Z31" s="1">
        <v>0</v>
      </c>
      <c r="AA31" s="1">
        <f t="shared" ca="1" si="0"/>
        <v>4.1283145278646549E-3</v>
      </c>
    </row>
    <row r="32" spans="1:27" x14ac:dyDescent="0.25">
      <c r="A32" t="s">
        <v>81</v>
      </c>
      <c r="B32" s="1" t="s">
        <v>33</v>
      </c>
      <c r="C32" s="2">
        <v>45642</v>
      </c>
      <c r="D32" s="1" t="s">
        <v>23</v>
      </c>
      <c r="E32" s="1" t="s">
        <v>82</v>
      </c>
      <c r="F32">
        <v>438</v>
      </c>
      <c r="G32">
        <v>153</v>
      </c>
      <c r="H32">
        <v>275</v>
      </c>
      <c r="I32">
        <v>3066</v>
      </c>
      <c r="J32">
        <v>2701</v>
      </c>
      <c r="K32">
        <v>282</v>
      </c>
      <c r="L32" s="1" t="s">
        <v>25</v>
      </c>
      <c r="M32" s="1"/>
      <c r="N32" s="1"/>
      <c r="O32" s="1" t="s">
        <v>27</v>
      </c>
      <c r="P32" s="5">
        <f>IFERROR(((Posts_Cleaned[[#This Row],[Likes]]+Posts_Cleaned[[#This Row],[Shares]]+Posts_Cleaned[[#This Row],[Comments]])/Posts_Cleaned[[#This Row],[Impressions]]),0)</f>
        <v>0.28245270711024134</v>
      </c>
      <c r="Q32" s="3" t="str">
        <f>_xlfn.TEXTJOIN(", ", TRUE, Posts_Cleaned[[#This Row],[Hashtags Used.1]], Posts_Cleaned[[#This Row],[Hashtags Used.2]], Posts_Cleaned[[#This Row],[Hashtags Used.3]])</f>
        <v>#TeslaCoInnovation</v>
      </c>
      <c r="R32" s="2">
        <f>VLOOKUP(Posts_Cleaned[[#This Row],[Campaign_Name]],'Campaign Metadata Dataset '!$A$2:$B$5,2,0)</f>
        <v>45566</v>
      </c>
      <c r="S32" s="2">
        <f>VLOOKUP(Posts_Cleaned[[#This Row],[Campaign_Name]],'Campaign Metadata Dataset '!$A$1:$C$5,3,0)</f>
        <v>45596</v>
      </c>
      <c r="T32" s="1" t="str">
        <f t="shared" si="1"/>
        <v>Before Campaign</v>
      </c>
      <c r="U32" s="1">
        <f>SUM(Posts_Cleaned[[#This Row],[Likes]]+Posts_Cleaned[[#This Row],[Shares]]+Posts_Cleaned[[#This Row],[Comments]]+Posts_Cleaned[[#This Row],[Clicks]])</f>
        <v>1148</v>
      </c>
      <c r="V32" s="1">
        <f ca="1">AVERAGEIF(Posts_Cleaned[[#This Row],[Period]]:T:T,"Before Campaign",Posts_Cleaned[[#This Row],[Engagement Rate ]])</f>
        <v>0.1591315424753354</v>
      </c>
      <c r="W32" s="5">
        <f t="shared" ca="1" si="2"/>
        <v>0.18532160020104915</v>
      </c>
      <c r="X32" s="6">
        <f ca="1">(Posts_Cleaned[[#This Row],[During ]]-Posts_Cleaned[[#This Row],[Before ]])/Posts_Cleaned[[#This Row],[During ]]</f>
        <v>0.14132220797414358</v>
      </c>
      <c r="Y32" s="1">
        <f>IFERROR(VLOOKUP(O32, 'Campaign Metadata Dataset '!$A$1:$G$5,5,0),0)</f>
        <v>200000</v>
      </c>
      <c r="Z32" s="1">
        <f t="shared" si="3"/>
        <v>5.7400000000000003E-3</v>
      </c>
      <c r="AA32" s="1">
        <f t="shared" ca="1" si="0"/>
        <v>0.14132220797414358</v>
      </c>
    </row>
    <row r="33" spans="1:27" x14ac:dyDescent="0.25">
      <c r="A33" t="s">
        <v>83</v>
      </c>
      <c r="B33" s="1" t="s">
        <v>16</v>
      </c>
      <c r="C33" s="2">
        <v>45504</v>
      </c>
      <c r="D33" s="1" t="s">
        <v>41</v>
      </c>
      <c r="E33" s="1" t="s">
        <v>44</v>
      </c>
      <c r="F33">
        <v>2278</v>
      </c>
      <c r="G33">
        <v>10</v>
      </c>
      <c r="H33">
        <v>321</v>
      </c>
      <c r="I33">
        <v>13668</v>
      </c>
      <c r="J33">
        <v>12676</v>
      </c>
      <c r="K33">
        <v>275</v>
      </c>
      <c r="L33" s="1" t="s">
        <v>36</v>
      </c>
      <c r="M33" s="1"/>
      <c r="N33" s="1"/>
      <c r="O33" s="1" t="s">
        <v>21</v>
      </c>
      <c r="P33" s="5">
        <f>IFERROR(((Posts_Cleaned[[#This Row],[Likes]]+Posts_Cleaned[[#This Row],[Shares]]+Posts_Cleaned[[#This Row],[Comments]])/Posts_Cleaned[[#This Row],[Impressions]]),0)</f>
        <v>0.19088381621305239</v>
      </c>
      <c r="Q33" s="3" t="str">
        <f>_xlfn.TEXTJOIN(", ", TRUE, Posts_Cleaned[[#This Row],[Hashtags Used.1]], Posts_Cleaned[[#This Row],[Hashtags Used.2]], Posts_Cleaned[[#This Row],[Hashtags Used.3]])</f>
        <v>#EVRevolution</v>
      </c>
      <c r="R33" s="2">
        <f>VLOOKUP(Posts_Cleaned[[#This Row],[Campaign_Name]],'Campaign Metadata Dataset '!$A$2:$B$5,2,0)</f>
        <v>45458</v>
      </c>
      <c r="S33" s="2">
        <f>VLOOKUP(Posts_Cleaned[[#This Row],[Campaign_Name]],'Campaign Metadata Dataset '!$A$1:$C$5,3,0)</f>
        <v>45488</v>
      </c>
      <c r="T33" s="1" t="str">
        <f t="shared" si="1"/>
        <v>Before Campaign</v>
      </c>
      <c r="U33" s="1">
        <f>SUM(Posts_Cleaned[[#This Row],[Likes]]+Posts_Cleaned[[#This Row],[Shares]]+Posts_Cleaned[[#This Row],[Comments]]+Posts_Cleaned[[#This Row],[Clicks]])</f>
        <v>2884</v>
      </c>
      <c r="V33" s="1">
        <f ca="1">AVERAGEIF(Posts_Cleaned[[#This Row],[Period]]:T:T,"Before Campaign",Posts_Cleaned[[#This Row],[Engagement Rate ]])</f>
        <v>0.15445104469954554</v>
      </c>
      <c r="W33" s="5">
        <f t="shared" ca="1" si="2"/>
        <v>0.16862723631736007</v>
      </c>
      <c r="X33" s="6">
        <f ca="1">(Posts_Cleaned[[#This Row],[During ]]-Posts_Cleaned[[#This Row],[Before ]])/Posts_Cleaned[[#This Row],[During ]]</f>
        <v>8.406822010137574E-2</v>
      </c>
      <c r="Y33" s="1">
        <f>IFERROR(VLOOKUP(O33, 'Campaign Metadata Dataset '!$A$1:$G$5,5,0),0)</f>
        <v>150000</v>
      </c>
      <c r="Z33" s="1">
        <f t="shared" si="3"/>
        <v>1.9226666666666666E-2</v>
      </c>
      <c r="AA33" s="1">
        <f t="shared" ca="1" si="0"/>
        <v>8.406822010137574E-2</v>
      </c>
    </row>
    <row r="34" spans="1:27" x14ac:dyDescent="0.25">
      <c r="A34" t="s">
        <v>84</v>
      </c>
      <c r="B34" s="1" t="s">
        <v>40</v>
      </c>
      <c r="C34" s="2">
        <v>45525</v>
      </c>
      <c r="D34" s="1" t="s">
        <v>46</v>
      </c>
      <c r="E34" s="1" t="s">
        <v>51</v>
      </c>
      <c r="F34">
        <v>1407</v>
      </c>
      <c r="G34">
        <v>400</v>
      </c>
      <c r="H34">
        <v>351</v>
      </c>
      <c r="I34">
        <v>16884</v>
      </c>
      <c r="J34">
        <v>15954</v>
      </c>
      <c r="K34">
        <v>113</v>
      </c>
      <c r="L34" s="1" t="s">
        <v>25</v>
      </c>
      <c r="M34" s="1"/>
      <c r="N34" s="1"/>
      <c r="O34" s="1" t="s">
        <v>21</v>
      </c>
      <c r="P34" s="5">
        <f>IFERROR(((Posts_Cleaned[[#This Row],[Likes]]+Posts_Cleaned[[#This Row],[Shares]]+Posts_Cleaned[[#This Row],[Comments]])/Posts_Cleaned[[#This Row],[Impressions]]),0)</f>
        <v>0.12781331438047855</v>
      </c>
      <c r="Q34" s="3" t="str">
        <f>_xlfn.TEXTJOIN(", ", TRUE, Posts_Cleaned[[#This Row],[Hashtags Used.1]], Posts_Cleaned[[#This Row],[Hashtags Used.2]], Posts_Cleaned[[#This Row],[Hashtags Used.3]])</f>
        <v>#TeslaCoInnovation</v>
      </c>
      <c r="R34" s="2">
        <f>VLOOKUP(Posts_Cleaned[[#This Row],[Campaign_Name]],'Campaign Metadata Dataset '!$A$2:$B$5,2,0)</f>
        <v>45458</v>
      </c>
      <c r="S34" s="2">
        <f>VLOOKUP(Posts_Cleaned[[#This Row],[Campaign_Name]],'Campaign Metadata Dataset '!$A$1:$C$5,3,0)</f>
        <v>45488</v>
      </c>
      <c r="T34" s="1" t="str">
        <f t="shared" si="1"/>
        <v>Before Campaign</v>
      </c>
      <c r="U34" s="1">
        <f>SUM(Posts_Cleaned[[#This Row],[Likes]]+Posts_Cleaned[[#This Row],[Shares]]+Posts_Cleaned[[#This Row],[Comments]]+Posts_Cleaned[[#This Row],[Clicks]])</f>
        <v>2271</v>
      </c>
      <c r="V34" s="1">
        <f ca="1">AVERAGEIF(Posts_Cleaned[[#This Row],[Period]]:T:T,"Before Campaign",Posts_Cleaned[[#This Row],[Engagement Rate ]])</f>
        <v>0.15843600313873807</v>
      </c>
      <c r="W34" s="5">
        <f t="shared" ca="1" si="2"/>
        <v>0.14623978650359651</v>
      </c>
      <c r="X34" s="6">
        <f ca="1">(Posts_Cleaned[[#This Row],[During ]]-Posts_Cleaned[[#This Row],[Before ]])/Posts_Cleaned[[#This Row],[During ]]</f>
        <v>-8.3398758482470955E-2</v>
      </c>
      <c r="Y34" s="1">
        <f>IFERROR(VLOOKUP(O34, 'Campaign Metadata Dataset '!$A$1:$G$5,5,0),0)</f>
        <v>150000</v>
      </c>
      <c r="Z34" s="1">
        <f t="shared" si="3"/>
        <v>1.5140000000000001E-2</v>
      </c>
      <c r="AA34" s="1">
        <f t="shared" ca="1" si="0"/>
        <v>-8.3398758482470955E-2</v>
      </c>
    </row>
    <row r="35" spans="1:27" x14ac:dyDescent="0.25">
      <c r="A35" t="s">
        <v>85</v>
      </c>
      <c r="B35" s="1" t="s">
        <v>40</v>
      </c>
      <c r="C35" s="2">
        <v>45742</v>
      </c>
      <c r="D35" s="1" t="s">
        <v>23</v>
      </c>
      <c r="E35" s="1" t="s">
        <v>49</v>
      </c>
      <c r="F35">
        <v>1652</v>
      </c>
      <c r="G35">
        <v>89</v>
      </c>
      <c r="H35">
        <v>357</v>
      </c>
      <c r="I35">
        <v>29736</v>
      </c>
      <c r="J35">
        <v>28771</v>
      </c>
      <c r="K35">
        <v>215</v>
      </c>
      <c r="L35" s="1" t="s">
        <v>25</v>
      </c>
      <c r="M35" s="1"/>
      <c r="N35" s="1"/>
      <c r="O35" s="1" t="s">
        <v>31</v>
      </c>
      <c r="P35" s="5">
        <f>IFERROR(((Posts_Cleaned[[#This Row],[Likes]]+Posts_Cleaned[[#This Row],[Shares]]+Posts_Cleaned[[#This Row],[Comments]])/Posts_Cleaned[[#This Row],[Impressions]]),0)</f>
        <v>7.055421038471886E-2</v>
      </c>
      <c r="Q35" s="3" t="str">
        <f>_xlfn.TEXTJOIN(", ", TRUE, Posts_Cleaned[[#This Row],[Hashtags Used.1]], Posts_Cleaned[[#This Row],[Hashtags Used.2]], Posts_Cleaned[[#This Row],[Hashtags Used.3]])</f>
        <v>#TeslaCoInnovation</v>
      </c>
      <c r="R35" s="2">
        <f>VLOOKUP(Posts_Cleaned[[#This Row],[Campaign_Name]],'Campaign Metadata Dataset '!$A$2:$B$5,2,0)</f>
        <v>45651</v>
      </c>
      <c r="S35" s="2">
        <f>VLOOKUP(Posts_Cleaned[[#This Row],[Campaign_Name]],'Campaign Metadata Dataset '!$A$1:$C$5,3,0)</f>
        <v>45667</v>
      </c>
      <c r="T35" s="1" t="str">
        <f t="shared" si="1"/>
        <v>Before Campaign</v>
      </c>
      <c r="U35" s="1">
        <f>SUM(Posts_Cleaned[[#This Row],[Likes]]+Posts_Cleaned[[#This Row],[Shares]]+Posts_Cleaned[[#This Row],[Comments]]+Posts_Cleaned[[#This Row],[Clicks]])</f>
        <v>2313</v>
      </c>
      <c r="V35" s="1">
        <f ca="1">AVERAGEIF(Posts_Cleaned[[#This Row],[Period]]:T:T,"Before Campaign",Posts_Cleaned[[#This Row],[Engagement Rate ]])</f>
        <v>0.15511747788391347</v>
      </c>
      <c r="W35" s="5">
        <f t="shared" ca="1" si="2"/>
        <v>0.14913571881078738</v>
      </c>
      <c r="X35" s="6">
        <f ca="1">(Posts_Cleaned[[#This Row],[During ]]-Posts_Cleaned[[#This Row],[Before ]])/Posts_Cleaned[[#This Row],[During ]]</f>
        <v>-4.0109499728333456E-2</v>
      </c>
      <c r="Y35" s="1">
        <f>IFERROR(VLOOKUP(O35, 'Campaign Metadata Dataset '!$A$1:$G$5,5,0),0)</f>
        <v>250000</v>
      </c>
      <c r="Z35" s="1">
        <f t="shared" si="3"/>
        <v>9.2519999999999998E-3</v>
      </c>
      <c r="AA35" s="1">
        <f t="shared" ca="1" si="0"/>
        <v>-4.0109499728333456E-2</v>
      </c>
    </row>
    <row r="36" spans="1:27" x14ac:dyDescent="0.25">
      <c r="A36" t="s">
        <v>86</v>
      </c>
      <c r="B36" s="1" t="s">
        <v>33</v>
      </c>
      <c r="C36" s="2">
        <v>45626</v>
      </c>
      <c r="D36" s="1" t="s">
        <v>60</v>
      </c>
      <c r="E36" s="1" t="s">
        <v>67</v>
      </c>
      <c r="F36">
        <v>3775</v>
      </c>
      <c r="G36">
        <v>16</v>
      </c>
      <c r="H36">
        <v>239</v>
      </c>
      <c r="I36">
        <v>33975</v>
      </c>
      <c r="J36">
        <v>33310</v>
      </c>
      <c r="K36">
        <v>271</v>
      </c>
      <c r="L36" s="1" t="s">
        <v>19</v>
      </c>
      <c r="M36" s="1"/>
      <c r="N36" s="1"/>
      <c r="O36" s="1" t="s">
        <v>27</v>
      </c>
      <c r="P36" s="5">
        <f>IFERROR(((Posts_Cleaned[[#This Row],[Likes]]+Posts_Cleaned[[#This Row],[Shares]]+Posts_Cleaned[[#This Row],[Comments]])/Posts_Cleaned[[#This Row],[Impressions]]),0)</f>
        <v>0.11861662987490802</v>
      </c>
      <c r="Q36" s="3" t="str">
        <f>_xlfn.TEXTJOIN(", ", TRUE, Posts_Cleaned[[#This Row],[Hashtags Used.1]], Posts_Cleaned[[#This Row],[Hashtags Used.2]], Posts_Cleaned[[#This Row],[Hashtags Used.3]])</f>
        <v>#FutureOfDriving</v>
      </c>
      <c r="R36" s="2">
        <f>VLOOKUP(Posts_Cleaned[[#This Row],[Campaign_Name]],'Campaign Metadata Dataset '!$A$2:$B$5,2,0)</f>
        <v>45566</v>
      </c>
      <c r="S36" s="2">
        <f>VLOOKUP(Posts_Cleaned[[#This Row],[Campaign_Name]],'Campaign Metadata Dataset '!$A$1:$C$5,3,0)</f>
        <v>45596</v>
      </c>
      <c r="T36" s="1" t="str">
        <f t="shared" si="1"/>
        <v>Before Campaign</v>
      </c>
      <c r="U36" s="1">
        <f>SUM(Posts_Cleaned[[#This Row],[Likes]]+Posts_Cleaned[[#This Row],[Shares]]+Posts_Cleaned[[#This Row],[Comments]]+Posts_Cleaned[[#This Row],[Clicks]])</f>
        <v>4301</v>
      </c>
      <c r="V36" s="1">
        <f ca="1">AVERAGEIF(Posts_Cleaned[[#This Row],[Period]]:T:T,"Before Campaign",Posts_Cleaned[[#This Row],[Engagement Rate ]])</f>
        <v>0.14953215196217076</v>
      </c>
      <c r="W36" s="5">
        <f t="shared" ca="1" si="2"/>
        <v>0.16157666641368709</v>
      </c>
      <c r="X36" s="6">
        <f ca="1">(Posts_Cleaned[[#This Row],[During ]]-Posts_Cleaned[[#This Row],[Before ]])/Posts_Cleaned[[#This Row],[During ]]</f>
        <v>7.4543649889883143E-2</v>
      </c>
      <c r="Y36" s="1">
        <f>IFERROR(VLOOKUP(O36, 'Campaign Metadata Dataset '!$A$1:$G$5,5,0),0)</f>
        <v>200000</v>
      </c>
      <c r="Z36" s="1">
        <f t="shared" si="3"/>
        <v>2.1505E-2</v>
      </c>
      <c r="AA36" s="1">
        <f t="shared" ca="1" si="0"/>
        <v>7.4543649889883143E-2</v>
      </c>
    </row>
    <row r="37" spans="1:27" x14ac:dyDescent="0.25">
      <c r="A37" t="s">
        <v>87</v>
      </c>
      <c r="B37" s="1" t="s">
        <v>33</v>
      </c>
      <c r="C37" s="2">
        <v>45766</v>
      </c>
      <c r="D37" s="1" t="s">
        <v>34</v>
      </c>
      <c r="E37" s="1" t="s">
        <v>35</v>
      </c>
      <c r="F37">
        <v>4518</v>
      </c>
      <c r="G37">
        <v>285</v>
      </c>
      <c r="H37">
        <v>383</v>
      </c>
      <c r="I37">
        <v>67770</v>
      </c>
      <c r="J37">
        <v>67621</v>
      </c>
      <c r="K37">
        <v>31</v>
      </c>
      <c r="L37" s="1" t="s">
        <v>36</v>
      </c>
      <c r="M37" s="1"/>
      <c r="N37" s="1"/>
      <c r="O37" s="1" t="s">
        <v>27</v>
      </c>
      <c r="P37" s="5">
        <f>IFERROR(((Posts_Cleaned[[#This Row],[Likes]]+Posts_Cleaned[[#This Row],[Shares]]+Posts_Cleaned[[#This Row],[Comments]])/Posts_Cleaned[[#This Row],[Impressions]]),0)</f>
        <v>7.6523535487678915E-2</v>
      </c>
      <c r="Q37" s="3" t="str">
        <f>_xlfn.TEXTJOIN(", ", TRUE, Posts_Cleaned[[#This Row],[Hashtags Used.1]], Posts_Cleaned[[#This Row],[Hashtags Used.2]], Posts_Cleaned[[#This Row],[Hashtags Used.3]])</f>
        <v>#EVRevolution</v>
      </c>
      <c r="R37" s="2">
        <f>VLOOKUP(Posts_Cleaned[[#This Row],[Campaign_Name]],'Campaign Metadata Dataset '!$A$2:$B$5,2,0)</f>
        <v>45566</v>
      </c>
      <c r="S37" s="2">
        <f>VLOOKUP(Posts_Cleaned[[#This Row],[Campaign_Name]],'Campaign Metadata Dataset '!$A$1:$C$5,3,0)</f>
        <v>45596</v>
      </c>
      <c r="T37" s="1" t="str">
        <f t="shared" si="1"/>
        <v>Before Campaign</v>
      </c>
      <c r="U37" s="1">
        <f>SUM(Posts_Cleaned[[#This Row],[Likes]]+Posts_Cleaned[[#This Row],[Shares]]+Posts_Cleaned[[#This Row],[Comments]]+Posts_Cleaned[[#This Row],[Clicks]])</f>
        <v>5217</v>
      </c>
      <c r="V37" s="1">
        <f ca="1">AVERAGEIF(Posts_Cleaned[[#This Row],[Period]]:T:T,"Before Campaign",Posts_Cleaned[[#This Row],[Engagement Rate ]])</f>
        <v>0.1522371264495409</v>
      </c>
      <c r="W37" s="5">
        <f t="shared" ca="1" si="2"/>
        <v>0.137053611051415</v>
      </c>
      <c r="X37" s="6">
        <f ca="1">(Posts_Cleaned[[#This Row],[During ]]-Posts_Cleaned[[#This Row],[Before ]])/Posts_Cleaned[[#This Row],[During ]]</f>
        <v>-0.11078522690241178</v>
      </c>
      <c r="Y37" s="1">
        <f>IFERROR(VLOOKUP(O37, 'Campaign Metadata Dataset '!$A$1:$G$5,5,0),0)</f>
        <v>200000</v>
      </c>
      <c r="Z37" s="1">
        <f t="shared" si="3"/>
        <v>2.6085000000000001E-2</v>
      </c>
      <c r="AA37" s="1">
        <f t="shared" ca="1" si="0"/>
        <v>-0.11078522690241178</v>
      </c>
    </row>
    <row r="38" spans="1:27" x14ac:dyDescent="0.25">
      <c r="A38" t="s">
        <v>88</v>
      </c>
      <c r="B38" s="1" t="s">
        <v>40</v>
      </c>
      <c r="C38" s="2">
        <v>45663</v>
      </c>
      <c r="D38" s="1" t="s">
        <v>41</v>
      </c>
      <c r="E38" s="1" t="s">
        <v>42</v>
      </c>
      <c r="F38">
        <v>3024</v>
      </c>
      <c r="G38">
        <v>925</v>
      </c>
      <c r="H38">
        <v>350</v>
      </c>
      <c r="I38">
        <v>24192</v>
      </c>
      <c r="J38">
        <v>23518</v>
      </c>
      <c r="K38">
        <v>36</v>
      </c>
      <c r="L38" s="1" t="s">
        <v>36</v>
      </c>
      <c r="M38" s="1"/>
      <c r="N38" s="1"/>
      <c r="O38" s="1" t="s">
        <v>27</v>
      </c>
      <c r="P38" s="5">
        <f>IFERROR(((Posts_Cleaned[[#This Row],[Likes]]+Posts_Cleaned[[#This Row],[Shares]]+Posts_Cleaned[[#This Row],[Comments]])/Posts_Cleaned[[#This Row],[Impressions]]),0)</f>
        <v>0.17770337301587302</v>
      </c>
      <c r="Q38" s="3" t="str">
        <f>_xlfn.TEXTJOIN(", ", TRUE, Posts_Cleaned[[#This Row],[Hashtags Used.1]], Posts_Cleaned[[#This Row],[Hashtags Used.2]], Posts_Cleaned[[#This Row],[Hashtags Used.3]])</f>
        <v>#EVRevolution</v>
      </c>
      <c r="R38" s="2">
        <f>VLOOKUP(Posts_Cleaned[[#This Row],[Campaign_Name]],'Campaign Metadata Dataset '!$A$2:$B$5,2,0)</f>
        <v>45566</v>
      </c>
      <c r="S38" s="2">
        <f>VLOOKUP(Posts_Cleaned[[#This Row],[Campaign_Name]],'Campaign Metadata Dataset '!$A$1:$C$5,3,0)</f>
        <v>45596</v>
      </c>
      <c r="T38" s="1" t="str">
        <f t="shared" si="1"/>
        <v>Before Campaign</v>
      </c>
      <c r="U38" s="1">
        <f>SUM(Posts_Cleaned[[#This Row],[Likes]]+Posts_Cleaned[[#This Row],[Shares]]+Posts_Cleaned[[#This Row],[Comments]]+Posts_Cleaned[[#This Row],[Clicks]])</f>
        <v>4335</v>
      </c>
      <c r="V38" s="1">
        <f ca="1">AVERAGEIF(Posts_Cleaned[[#This Row],[Period]]:T:T,"Before Campaign",Posts_Cleaned[[#This Row],[Engagement Rate ]])</f>
        <v>0.15360061816901671</v>
      </c>
      <c r="W38" s="5">
        <f t="shared" ca="1" si="2"/>
        <v>0.17518736141859625</v>
      </c>
      <c r="X38" s="6">
        <f ca="1">(Posts_Cleaned[[#This Row],[During ]]-Posts_Cleaned[[#This Row],[Before ]])/Posts_Cleaned[[#This Row],[During ]]</f>
        <v>0.12322089376070765</v>
      </c>
      <c r="Y38" s="1">
        <f>IFERROR(VLOOKUP(O38, 'Campaign Metadata Dataset '!$A$1:$G$5,5,0),0)</f>
        <v>200000</v>
      </c>
      <c r="Z38" s="1">
        <f t="shared" si="3"/>
        <v>2.1675E-2</v>
      </c>
      <c r="AA38" s="1">
        <f t="shared" ca="1" si="0"/>
        <v>0.12322089376070765</v>
      </c>
    </row>
    <row r="39" spans="1:27" x14ac:dyDescent="0.25">
      <c r="A39" t="s">
        <v>89</v>
      </c>
      <c r="B39" s="1" t="s">
        <v>29</v>
      </c>
      <c r="C39" s="2">
        <v>45705</v>
      </c>
      <c r="D39" s="1" t="s">
        <v>17</v>
      </c>
      <c r="E39" s="1" t="s">
        <v>30</v>
      </c>
      <c r="F39">
        <v>3138</v>
      </c>
      <c r="G39">
        <v>123</v>
      </c>
      <c r="H39">
        <v>291</v>
      </c>
      <c r="I39">
        <v>28242</v>
      </c>
      <c r="J39">
        <v>27550</v>
      </c>
      <c r="K39">
        <v>87</v>
      </c>
      <c r="L39" s="1" t="s">
        <v>25</v>
      </c>
      <c r="M39" s="1"/>
      <c r="N39" s="1"/>
      <c r="O39" s="1" t="s">
        <v>37</v>
      </c>
      <c r="P39" s="5">
        <f>IFERROR(((Posts_Cleaned[[#This Row],[Likes]]+Posts_Cleaned[[#This Row],[Shares]]+Posts_Cleaned[[#This Row],[Comments]])/Posts_Cleaned[[#This Row],[Impressions]]),0)</f>
        <v>0.12577012959422137</v>
      </c>
      <c r="Q39" s="3" t="str">
        <f>_xlfn.TEXTJOIN(", ", TRUE, Posts_Cleaned[[#This Row],[Hashtags Used.1]], Posts_Cleaned[[#This Row],[Hashtags Used.2]], Posts_Cleaned[[#This Row],[Hashtags Used.3]])</f>
        <v>#TeslaCoInnovation</v>
      </c>
      <c r="R39" s="2">
        <f>VLOOKUP(Posts_Cleaned[[#This Row],[Campaign_Name]],'Campaign Metadata Dataset '!$A$2:$B$5,2,0)</f>
        <v>45717</v>
      </c>
      <c r="S39" s="2">
        <f>VLOOKUP(Posts_Cleaned[[#This Row],[Campaign_Name]],'Campaign Metadata Dataset '!$A$1:$C$5,3,0)</f>
        <v>45747</v>
      </c>
      <c r="T39" s="1" t="str">
        <f t="shared" si="1"/>
        <v>Before Campaign</v>
      </c>
      <c r="U39" s="1">
        <f>SUM(Posts_Cleaned[[#This Row],[Likes]]+Posts_Cleaned[[#This Row],[Shares]]+Posts_Cleaned[[#This Row],[Comments]]+Posts_Cleaned[[#This Row],[Clicks]])</f>
        <v>3639</v>
      </c>
      <c r="V39" s="1">
        <f ca="1">AVERAGEIF(Posts_Cleaned[[#This Row],[Period]]:T:T,"Before Campaign",Posts_Cleaned[[#This Row],[Engagement Rate ]])</f>
        <v>0.15737338022956393</v>
      </c>
      <c r="W39" s="5">
        <f t="shared" ca="1" si="2"/>
        <v>0.14173192468718387</v>
      </c>
      <c r="X39" s="6">
        <f ca="1">(Posts_Cleaned[[#This Row],[During ]]-Posts_Cleaned[[#This Row],[Before ]])/Posts_Cleaned[[#This Row],[During ]]</f>
        <v>-0.11035943790999994</v>
      </c>
      <c r="Y39" s="1">
        <f>IFERROR(VLOOKUP(O39, 'Campaign Metadata Dataset '!$A$1:$G$5,5,0),0)</f>
        <v>180000</v>
      </c>
      <c r="Z39" s="1">
        <f t="shared" si="3"/>
        <v>2.0216666666666668E-2</v>
      </c>
      <c r="AA39" s="1">
        <f t="shared" ca="1" si="0"/>
        <v>-0.11035943790999994</v>
      </c>
    </row>
    <row r="40" spans="1:27" x14ac:dyDescent="0.25">
      <c r="A40" t="s">
        <v>90</v>
      </c>
      <c r="B40" s="1" t="s">
        <v>40</v>
      </c>
      <c r="C40" s="2">
        <v>45621</v>
      </c>
      <c r="D40" s="1" t="s">
        <v>46</v>
      </c>
      <c r="E40" s="1" t="s">
        <v>51</v>
      </c>
      <c r="F40">
        <v>3564</v>
      </c>
      <c r="G40">
        <v>629</v>
      </c>
      <c r="H40">
        <v>177</v>
      </c>
      <c r="I40">
        <v>60588</v>
      </c>
      <c r="J40">
        <v>59627</v>
      </c>
      <c r="K40">
        <v>92</v>
      </c>
      <c r="L40" s="1" t="s">
        <v>25</v>
      </c>
      <c r="M40" s="1"/>
      <c r="N40" s="1"/>
      <c r="O40" s="1"/>
      <c r="P40" s="5">
        <f>IFERROR(((Posts_Cleaned[[#This Row],[Likes]]+Posts_Cleaned[[#This Row],[Shares]]+Posts_Cleaned[[#This Row],[Comments]])/Posts_Cleaned[[#This Row],[Impressions]]),0)</f>
        <v>7.2126493695121141E-2</v>
      </c>
      <c r="Q40" s="3" t="str">
        <f>_xlfn.TEXTJOIN(", ", TRUE, Posts_Cleaned[[#This Row],[Hashtags Used.1]], Posts_Cleaned[[#This Row],[Hashtags Used.2]], Posts_Cleaned[[#This Row],[Hashtags Used.3]])</f>
        <v>#TeslaCoInnovation</v>
      </c>
      <c r="R40" s="2" t="e">
        <f>VLOOKUP(Posts_Cleaned[[#This Row],[Campaign_Name]],'Campaign Metadata Dataset '!$A$2:$B$5,2,0)</f>
        <v>#N/A</v>
      </c>
      <c r="S40" s="2" t="e">
        <f>VLOOKUP(Posts_Cleaned[[#This Row],[Campaign_Name]],'Campaign Metadata Dataset '!$A$1:$C$5,3,0)</f>
        <v>#N/A</v>
      </c>
      <c r="T40" s="1" t="e">
        <f t="shared" si="1"/>
        <v>#N/A</v>
      </c>
      <c r="U40" s="1">
        <f>SUM(Posts_Cleaned[[#This Row],[Likes]]+Posts_Cleaned[[#This Row],[Shares]]+Posts_Cleaned[[#This Row],[Comments]]+Posts_Cleaned[[#This Row],[Clicks]])</f>
        <v>4462</v>
      </c>
      <c r="V40" s="1">
        <f ca="1">AVERAGEIF(Posts_Cleaned[[#This Row],[Period]]:T:T,"Before Campaign",Posts_Cleaned[[#This Row],[Engagement Rate ]])</f>
        <v>0.16230715657231867</v>
      </c>
      <c r="W40" s="5">
        <f t="shared" ca="1" si="2"/>
        <v>0.14384064132791141</v>
      </c>
      <c r="X40" s="6">
        <f ca="1">(Posts_Cleaned[[#This Row],[During ]]-Posts_Cleaned[[#This Row],[Before ]])/Posts_Cleaned[[#This Row],[During ]]</f>
        <v>-0.12838176383202723</v>
      </c>
      <c r="Y40" s="1">
        <f>IFERROR(VLOOKUP(O40, 'Campaign Metadata Dataset '!$A$1:$G$5,5,0),0)</f>
        <v>0</v>
      </c>
      <c r="Z40" s="1">
        <v>0</v>
      </c>
      <c r="AA40" s="1">
        <f t="shared" ca="1" si="0"/>
        <v>-0.12838176383202723</v>
      </c>
    </row>
    <row r="41" spans="1:27" x14ac:dyDescent="0.25">
      <c r="A41" t="s">
        <v>91</v>
      </c>
      <c r="B41" s="1" t="s">
        <v>16</v>
      </c>
      <c r="C41" s="2">
        <v>45723</v>
      </c>
      <c r="D41" s="1" t="s">
        <v>46</v>
      </c>
      <c r="E41" s="1" t="s">
        <v>92</v>
      </c>
      <c r="F41">
        <v>4750</v>
      </c>
      <c r="G41">
        <v>151</v>
      </c>
      <c r="H41">
        <v>415</v>
      </c>
      <c r="I41">
        <v>38000</v>
      </c>
      <c r="J41">
        <v>37792</v>
      </c>
      <c r="K41">
        <v>299</v>
      </c>
      <c r="L41" s="1" t="s">
        <v>36</v>
      </c>
      <c r="M41" s="1"/>
      <c r="N41" s="1"/>
      <c r="O41" s="1" t="s">
        <v>37</v>
      </c>
      <c r="P41" s="5">
        <f>IFERROR(((Posts_Cleaned[[#This Row],[Likes]]+Posts_Cleaned[[#This Row],[Shares]]+Posts_Cleaned[[#This Row],[Comments]])/Posts_Cleaned[[#This Row],[Impressions]]),0)</f>
        <v>0.13989473684210527</v>
      </c>
      <c r="Q41" s="3" t="str">
        <f>_xlfn.TEXTJOIN(", ", TRUE, Posts_Cleaned[[#This Row],[Hashtags Used.1]], Posts_Cleaned[[#This Row],[Hashtags Used.2]], Posts_Cleaned[[#This Row],[Hashtags Used.3]])</f>
        <v>#EVRevolution</v>
      </c>
      <c r="R41" s="2">
        <f>VLOOKUP(Posts_Cleaned[[#This Row],[Campaign_Name]],'Campaign Metadata Dataset '!$A$2:$B$5,2,0)</f>
        <v>45717</v>
      </c>
      <c r="S41" s="2">
        <f>VLOOKUP(Posts_Cleaned[[#This Row],[Campaign_Name]],'Campaign Metadata Dataset '!$A$1:$C$5,3,0)</f>
        <v>45747</v>
      </c>
      <c r="T41" s="1" t="str">
        <f t="shared" si="1"/>
        <v>During Campaign</v>
      </c>
      <c r="U41" s="1">
        <f>SUM(Posts_Cleaned[[#This Row],[Likes]]+Posts_Cleaned[[#This Row],[Shares]]+Posts_Cleaned[[#This Row],[Comments]]+Posts_Cleaned[[#This Row],[Clicks]])</f>
        <v>5615</v>
      </c>
      <c r="V41" s="1">
        <f ca="1">AVERAGEIF(Posts_Cleaned[[#This Row],[Period]]:T:T,"Before Campaign",Posts_Cleaned[[#This Row],[Engagement Rate ]])</f>
        <v>0.15581347449452082</v>
      </c>
      <c r="W41" s="5">
        <f t="shared" ca="1" si="2"/>
        <v>0.11887872500438079</v>
      </c>
      <c r="X41" s="6">
        <f ca="1">(Posts_Cleaned[[#This Row],[During ]]-Posts_Cleaned[[#This Row],[Before ]])/Posts_Cleaned[[#This Row],[During ]]</f>
        <v>-0.31069267851568017</v>
      </c>
      <c r="Y41" s="1">
        <f>IFERROR(VLOOKUP(O41, 'Campaign Metadata Dataset '!$A$1:$G$5,5,0),0)</f>
        <v>180000</v>
      </c>
      <c r="Z41" s="1">
        <f t="shared" si="3"/>
        <v>3.1194444444444445E-2</v>
      </c>
      <c r="AA41" s="1">
        <f t="shared" ca="1" si="0"/>
        <v>-0.31069267851568017</v>
      </c>
    </row>
    <row r="42" spans="1:27" x14ac:dyDescent="0.25">
      <c r="A42" t="s">
        <v>93</v>
      </c>
      <c r="B42" s="1" t="s">
        <v>33</v>
      </c>
      <c r="C42" s="2">
        <v>45724</v>
      </c>
      <c r="D42" s="1" t="s">
        <v>17</v>
      </c>
      <c r="E42" s="1" t="s">
        <v>65</v>
      </c>
      <c r="F42">
        <v>456</v>
      </c>
      <c r="G42">
        <v>629</v>
      </c>
      <c r="H42">
        <v>428</v>
      </c>
      <c r="I42">
        <v>8208</v>
      </c>
      <c r="J42">
        <v>7377</v>
      </c>
      <c r="K42">
        <v>205</v>
      </c>
      <c r="L42" s="1" t="s">
        <v>19</v>
      </c>
      <c r="M42" s="1"/>
      <c r="N42" s="1"/>
      <c r="O42" s="1" t="s">
        <v>37</v>
      </c>
      <c r="P42" s="5">
        <f>IFERROR(((Posts_Cleaned[[#This Row],[Likes]]+Posts_Cleaned[[#This Row],[Shares]]+Posts_Cleaned[[#This Row],[Comments]])/Posts_Cleaned[[#This Row],[Impressions]]),0)</f>
        <v>0.18433235867446393</v>
      </c>
      <c r="Q42" s="3" t="str">
        <f>_xlfn.TEXTJOIN(", ", TRUE, Posts_Cleaned[[#This Row],[Hashtags Used.1]], Posts_Cleaned[[#This Row],[Hashtags Used.2]], Posts_Cleaned[[#This Row],[Hashtags Used.3]])</f>
        <v>#FutureOfDriving</v>
      </c>
      <c r="R42" s="2">
        <f>VLOOKUP(Posts_Cleaned[[#This Row],[Campaign_Name]],'Campaign Metadata Dataset '!$A$2:$B$5,2,0)</f>
        <v>45717</v>
      </c>
      <c r="S42" s="2">
        <f>VLOOKUP(Posts_Cleaned[[#This Row],[Campaign_Name]],'Campaign Metadata Dataset '!$A$1:$C$5,3,0)</f>
        <v>45747</v>
      </c>
      <c r="T42" s="1" t="str">
        <f t="shared" si="1"/>
        <v>During Campaign</v>
      </c>
      <c r="U42" s="1">
        <f>SUM(Posts_Cleaned[[#This Row],[Likes]]+Posts_Cleaned[[#This Row],[Shares]]+Posts_Cleaned[[#This Row],[Comments]]+Posts_Cleaned[[#This Row],[Clicks]])</f>
        <v>1718</v>
      </c>
      <c r="V42" s="1">
        <f ca="1">AVERAGEIF(Posts_Cleaned[[#This Row],[Period]]:T:T,"Before Campaign",Posts_Cleaned[[#This Row],[Engagement Rate ]])</f>
        <v>0.1477227610592019</v>
      </c>
      <c r="W42" s="5">
        <f t="shared" ca="1" si="2"/>
        <v>0.12824730550974753</v>
      </c>
      <c r="X42" s="6">
        <f ca="1">(Posts_Cleaned[[#This Row],[During ]]-Posts_Cleaned[[#This Row],[Before ]])/Posts_Cleaned[[#This Row],[During ]]</f>
        <v>-0.15185859439342472</v>
      </c>
      <c r="Y42" s="1">
        <f>IFERROR(VLOOKUP(O42, 'Campaign Metadata Dataset '!$A$1:$G$5,5,0),0)</f>
        <v>180000</v>
      </c>
      <c r="Z42" s="1">
        <f t="shared" si="3"/>
        <v>9.5444444444444439E-3</v>
      </c>
      <c r="AA42" s="1">
        <f t="shared" ca="1" si="0"/>
        <v>-0.15185859439342472</v>
      </c>
    </row>
    <row r="43" spans="1:27" x14ac:dyDescent="0.25">
      <c r="A43" t="s">
        <v>94</v>
      </c>
      <c r="B43" s="1" t="s">
        <v>29</v>
      </c>
      <c r="C43" s="2">
        <v>45721</v>
      </c>
      <c r="D43" s="1" t="s">
        <v>17</v>
      </c>
      <c r="E43" s="1" t="s">
        <v>30</v>
      </c>
      <c r="F43">
        <v>1543</v>
      </c>
      <c r="G43">
        <v>820</v>
      </c>
      <c r="H43">
        <v>333</v>
      </c>
      <c r="I43">
        <v>12344</v>
      </c>
      <c r="J43">
        <v>11496</v>
      </c>
      <c r="K43">
        <v>241</v>
      </c>
      <c r="L43" s="1" t="s">
        <v>36</v>
      </c>
      <c r="M43" s="1"/>
      <c r="N43" s="1"/>
      <c r="O43" s="1"/>
      <c r="P43" s="5">
        <f>IFERROR(((Posts_Cleaned[[#This Row],[Likes]]+Posts_Cleaned[[#This Row],[Shares]]+Posts_Cleaned[[#This Row],[Comments]])/Posts_Cleaned[[#This Row],[Impressions]]),0)</f>
        <v>0.21840570317563188</v>
      </c>
      <c r="Q43" s="3" t="str">
        <f>_xlfn.TEXTJOIN(", ", TRUE, Posts_Cleaned[[#This Row],[Hashtags Used.1]], Posts_Cleaned[[#This Row],[Hashtags Used.2]], Posts_Cleaned[[#This Row],[Hashtags Used.3]])</f>
        <v>#EVRevolution</v>
      </c>
      <c r="R43" s="2" t="e">
        <f>VLOOKUP(Posts_Cleaned[[#This Row],[Campaign_Name]],'Campaign Metadata Dataset '!$A$2:$B$5,2,0)</f>
        <v>#N/A</v>
      </c>
      <c r="S43" s="2" t="e">
        <f>VLOOKUP(Posts_Cleaned[[#This Row],[Campaign_Name]],'Campaign Metadata Dataset '!$A$1:$C$5,3,0)</f>
        <v>#N/A</v>
      </c>
      <c r="T43" s="1" t="e">
        <f t="shared" si="1"/>
        <v>#N/A</v>
      </c>
      <c r="U43" s="1">
        <f>SUM(Posts_Cleaned[[#This Row],[Likes]]+Posts_Cleaned[[#This Row],[Shares]]+Posts_Cleaned[[#This Row],[Comments]]+Posts_Cleaned[[#This Row],[Clicks]])</f>
        <v>2937</v>
      </c>
      <c r="V43" s="1">
        <f ca="1">AVERAGEIF(Posts_Cleaned[[#This Row],[Period]]:T:T,"Before Campaign",Posts_Cleaned[[#This Row],[Engagement Rate ]])</f>
        <v>0.15765330890354648</v>
      </c>
      <c r="W43" s="5">
        <f t="shared" ca="1" si="2"/>
        <v>0.14283539572664411</v>
      </c>
      <c r="X43" s="6">
        <f ca="1">(Posts_Cleaned[[#This Row],[During ]]-Posts_Cleaned[[#This Row],[Before ]])/Posts_Cleaned[[#This Row],[During ]]</f>
        <v>-0.10374118474989655</v>
      </c>
      <c r="Y43" s="1">
        <f>IFERROR(VLOOKUP(O43, 'Campaign Metadata Dataset '!$A$1:$G$5,5,0),0)</f>
        <v>0</v>
      </c>
      <c r="Z43" s="1">
        <v>0</v>
      </c>
      <c r="AA43" s="1">
        <f t="shared" ca="1" si="0"/>
        <v>-0.10374118474989655</v>
      </c>
    </row>
    <row r="44" spans="1:27" x14ac:dyDescent="0.25">
      <c r="A44" t="s">
        <v>95</v>
      </c>
      <c r="B44" s="1" t="s">
        <v>33</v>
      </c>
      <c r="C44" s="2">
        <v>45640</v>
      </c>
      <c r="D44" s="1" t="s">
        <v>41</v>
      </c>
      <c r="E44" s="1" t="s">
        <v>69</v>
      </c>
      <c r="F44">
        <v>2174</v>
      </c>
      <c r="G44">
        <v>658</v>
      </c>
      <c r="H44">
        <v>15</v>
      </c>
      <c r="I44">
        <v>13044</v>
      </c>
      <c r="J44">
        <v>12206</v>
      </c>
      <c r="K44">
        <v>137</v>
      </c>
      <c r="L44" s="1" t="s">
        <v>25</v>
      </c>
      <c r="M44" s="1"/>
      <c r="N44" s="1"/>
      <c r="O44" s="1" t="s">
        <v>31</v>
      </c>
      <c r="P44" s="5">
        <f>IFERROR(((Posts_Cleaned[[#This Row],[Likes]]+Posts_Cleaned[[#This Row],[Shares]]+Posts_Cleaned[[#This Row],[Comments]])/Posts_Cleaned[[#This Row],[Impressions]]),0)</f>
        <v>0.21826126954921804</v>
      </c>
      <c r="Q44" s="3" t="str">
        <f>_xlfn.TEXTJOIN(", ", TRUE, Posts_Cleaned[[#This Row],[Hashtags Used.1]], Posts_Cleaned[[#This Row],[Hashtags Used.2]], Posts_Cleaned[[#This Row],[Hashtags Used.3]])</f>
        <v>#TeslaCoInnovation</v>
      </c>
      <c r="R44" s="2">
        <f>VLOOKUP(Posts_Cleaned[[#This Row],[Campaign_Name]],'Campaign Metadata Dataset '!$A$2:$B$5,2,0)</f>
        <v>45651</v>
      </c>
      <c r="S44" s="2">
        <f>VLOOKUP(Posts_Cleaned[[#This Row],[Campaign_Name]],'Campaign Metadata Dataset '!$A$1:$C$5,3,0)</f>
        <v>45667</v>
      </c>
      <c r="T44" s="1" t="str">
        <f t="shared" si="1"/>
        <v>Before Campaign</v>
      </c>
      <c r="U44" s="1">
        <f>SUM(Posts_Cleaned[[#This Row],[Likes]]+Posts_Cleaned[[#This Row],[Shares]]+Posts_Cleaned[[#This Row],[Comments]]+Posts_Cleaned[[#This Row],[Clicks]])</f>
        <v>2984</v>
      </c>
      <c r="V44" s="1">
        <f ca="1">AVERAGEIF(Posts_Cleaned[[#This Row],[Period]]:T:T,"Before Campaign",Posts_Cleaned[[#This Row],[Engagement Rate ]])</f>
        <v>0.1584277923267737</v>
      </c>
      <c r="W44" s="5">
        <f t="shared" ca="1" si="2"/>
        <v>0.15415290324959813</v>
      </c>
      <c r="X44" s="6">
        <f ca="1">(Posts_Cleaned[[#This Row],[During ]]-Posts_Cleaned[[#This Row],[Before ]])/Posts_Cleaned[[#This Row],[During ]]</f>
        <v>-2.7731485992539811E-2</v>
      </c>
      <c r="Y44" s="1">
        <f>IFERROR(VLOOKUP(O44, 'Campaign Metadata Dataset '!$A$1:$G$5,5,0),0)</f>
        <v>250000</v>
      </c>
      <c r="Z44" s="1">
        <f t="shared" si="3"/>
        <v>1.1936E-2</v>
      </c>
      <c r="AA44" s="1">
        <f t="shared" ca="1" si="0"/>
        <v>-2.7731485992539811E-2</v>
      </c>
    </row>
    <row r="45" spans="1:27" x14ac:dyDescent="0.25">
      <c r="A45" t="s">
        <v>96</v>
      </c>
      <c r="B45" s="1" t="s">
        <v>16</v>
      </c>
      <c r="C45" s="2">
        <v>45718</v>
      </c>
      <c r="D45" s="1" t="s">
        <v>46</v>
      </c>
      <c r="E45" s="1" t="s">
        <v>92</v>
      </c>
      <c r="F45">
        <v>2358</v>
      </c>
      <c r="G45">
        <v>784</v>
      </c>
      <c r="H45">
        <v>344</v>
      </c>
      <c r="I45">
        <v>35370</v>
      </c>
      <c r="J45">
        <v>34475</v>
      </c>
      <c r="K45">
        <v>216</v>
      </c>
      <c r="L45" s="1" t="s">
        <v>25</v>
      </c>
      <c r="M45" s="1"/>
      <c r="N45" s="1"/>
      <c r="O45" s="1"/>
      <c r="P45" s="5">
        <f>IFERROR(((Posts_Cleaned[[#This Row],[Likes]]+Posts_Cleaned[[#This Row],[Shares]]+Posts_Cleaned[[#This Row],[Comments]])/Posts_Cleaned[[#This Row],[Impressions]]),0)</f>
        <v>9.8558100084817649E-2</v>
      </c>
      <c r="Q45" s="3" t="str">
        <f>_xlfn.TEXTJOIN(", ", TRUE, Posts_Cleaned[[#This Row],[Hashtags Used.1]], Posts_Cleaned[[#This Row],[Hashtags Used.2]], Posts_Cleaned[[#This Row],[Hashtags Used.3]])</f>
        <v>#TeslaCoInnovation</v>
      </c>
      <c r="R45" s="2" t="e">
        <f>VLOOKUP(Posts_Cleaned[[#This Row],[Campaign_Name]],'Campaign Metadata Dataset '!$A$2:$B$5,2,0)</f>
        <v>#N/A</v>
      </c>
      <c r="S45" s="2" t="e">
        <f>VLOOKUP(Posts_Cleaned[[#This Row],[Campaign_Name]],'Campaign Metadata Dataset '!$A$1:$C$5,3,0)</f>
        <v>#N/A</v>
      </c>
      <c r="T45" s="1" t="e">
        <f t="shared" si="1"/>
        <v>#N/A</v>
      </c>
      <c r="U45" s="1">
        <f>SUM(Posts_Cleaned[[#This Row],[Likes]]+Posts_Cleaned[[#This Row],[Shares]]+Posts_Cleaned[[#This Row],[Comments]]+Posts_Cleaned[[#This Row],[Clicks]])</f>
        <v>3702</v>
      </c>
      <c r="V45" s="1">
        <f ca="1">AVERAGEIF(Posts_Cleaned[[#This Row],[Period]]:T:T,"Before Campaign",Posts_Cleaned[[#This Row],[Engagement Rate ]])</f>
        <v>0.14588871534342732</v>
      </c>
      <c r="W45" s="5">
        <f t="shared" ca="1" si="2"/>
        <v>0.12411016277087748</v>
      </c>
      <c r="X45" s="6">
        <f ca="1">(Posts_Cleaned[[#This Row],[During ]]-Posts_Cleaned[[#This Row],[Before ]])/Posts_Cleaned[[#This Row],[During ]]</f>
        <v>-0.17547759253813647</v>
      </c>
      <c r="Y45" s="1">
        <f>IFERROR(VLOOKUP(O45, 'Campaign Metadata Dataset '!$A$1:$G$5,5,0),0)</f>
        <v>0</v>
      </c>
      <c r="Z45" s="1">
        <v>0</v>
      </c>
      <c r="AA45" s="1">
        <f t="shared" ca="1" si="0"/>
        <v>-0.17547759253813647</v>
      </c>
    </row>
    <row r="46" spans="1:27" x14ac:dyDescent="0.25">
      <c r="A46" t="s">
        <v>97</v>
      </c>
      <c r="B46" s="1" t="s">
        <v>40</v>
      </c>
      <c r="C46" s="2">
        <v>45597</v>
      </c>
      <c r="D46" s="1" t="s">
        <v>60</v>
      </c>
      <c r="E46" s="1" t="s">
        <v>61</v>
      </c>
      <c r="F46">
        <v>3371</v>
      </c>
      <c r="G46">
        <v>106</v>
      </c>
      <c r="H46">
        <v>327</v>
      </c>
      <c r="I46">
        <v>50565</v>
      </c>
      <c r="J46">
        <v>49816</v>
      </c>
      <c r="K46">
        <v>176</v>
      </c>
      <c r="L46" s="1" t="s">
        <v>19</v>
      </c>
      <c r="M46" s="1"/>
      <c r="N46" s="1"/>
      <c r="O46" s="1" t="s">
        <v>21</v>
      </c>
      <c r="P46" s="5">
        <f>IFERROR(((Posts_Cleaned[[#This Row],[Likes]]+Posts_Cleaned[[#This Row],[Shares]]+Posts_Cleaned[[#This Row],[Comments]])/Posts_Cleaned[[#This Row],[Impressions]]),0)</f>
        <v>7.5229902106199939E-2</v>
      </c>
      <c r="Q46" s="3" t="str">
        <f>_xlfn.TEXTJOIN(", ", TRUE, Posts_Cleaned[[#This Row],[Hashtags Used.1]], Posts_Cleaned[[#This Row],[Hashtags Used.2]], Posts_Cleaned[[#This Row],[Hashtags Used.3]])</f>
        <v>#FutureOfDriving</v>
      </c>
      <c r="R46" s="2">
        <f>VLOOKUP(Posts_Cleaned[[#This Row],[Campaign_Name]],'Campaign Metadata Dataset '!$A$2:$B$5,2,0)</f>
        <v>45458</v>
      </c>
      <c r="S46" s="2">
        <f>VLOOKUP(Posts_Cleaned[[#This Row],[Campaign_Name]],'Campaign Metadata Dataset '!$A$1:$C$5,3,0)</f>
        <v>45488</v>
      </c>
      <c r="T46" s="1" t="str">
        <f t="shared" si="1"/>
        <v>Before Campaign</v>
      </c>
      <c r="U46" s="1">
        <f>SUM(Posts_Cleaned[[#This Row],[Likes]]+Posts_Cleaned[[#This Row],[Shares]]+Posts_Cleaned[[#This Row],[Comments]]+Posts_Cleaned[[#This Row],[Clicks]])</f>
        <v>3980</v>
      </c>
      <c r="V46" s="1">
        <f ca="1">AVERAGEIF(Posts_Cleaned[[#This Row],[Period]]:T:T,"Before Campaign",Posts_Cleaned[[#This Row],[Engagement Rate ]])</f>
        <v>0.16268036903590435</v>
      </c>
      <c r="W46" s="5">
        <f t="shared" ca="1" si="2"/>
        <v>0.20863953107681635</v>
      </c>
      <c r="X46" s="6">
        <f ca="1">(Posts_Cleaned[[#This Row],[During ]]-Posts_Cleaned[[#This Row],[Before ]])/Posts_Cleaned[[#This Row],[During ]]</f>
        <v>0.22028022112449472</v>
      </c>
      <c r="Y46" s="1">
        <f>IFERROR(VLOOKUP(O46, 'Campaign Metadata Dataset '!$A$1:$G$5,5,0),0)</f>
        <v>150000</v>
      </c>
      <c r="Z46" s="1">
        <f>(F:F+G:G+H:H+K:K)/Y:Y</f>
        <v>2.6533333333333332E-2</v>
      </c>
      <c r="AA46" s="1">
        <f t="shared" ca="1" si="0"/>
        <v>0.22028022112449472</v>
      </c>
    </row>
    <row r="47" spans="1:27" x14ac:dyDescent="0.25">
      <c r="A47" t="s">
        <v>98</v>
      </c>
      <c r="B47" s="1" t="s">
        <v>16</v>
      </c>
      <c r="C47" s="2">
        <v>45779</v>
      </c>
      <c r="D47" s="1" t="s">
        <v>60</v>
      </c>
      <c r="E47" s="1" t="s">
        <v>99</v>
      </c>
      <c r="F47">
        <v>1108</v>
      </c>
      <c r="G47">
        <v>177</v>
      </c>
      <c r="H47">
        <v>212</v>
      </c>
      <c r="I47">
        <v>8864</v>
      </c>
      <c r="J47">
        <v>8710</v>
      </c>
      <c r="K47">
        <v>97</v>
      </c>
      <c r="L47" s="1" t="s">
        <v>25</v>
      </c>
      <c r="M47" s="1"/>
      <c r="N47" s="1"/>
      <c r="O47" s="1" t="s">
        <v>37</v>
      </c>
      <c r="P47" s="5">
        <f>IFERROR(((Posts_Cleaned[[#This Row],[Likes]]+Posts_Cleaned[[#This Row],[Shares]]+Posts_Cleaned[[#This Row],[Comments]])/Posts_Cleaned[[#This Row],[Impressions]]),0)</f>
        <v>0.16888537906137185</v>
      </c>
      <c r="Q47" s="3" t="str">
        <f>_xlfn.TEXTJOIN(", ", TRUE, Posts_Cleaned[[#This Row],[Hashtags Used.1]], Posts_Cleaned[[#This Row],[Hashtags Used.2]], Posts_Cleaned[[#This Row],[Hashtags Used.3]])</f>
        <v>#TeslaCoInnovation</v>
      </c>
      <c r="R47" s="2">
        <f>VLOOKUP(Posts_Cleaned[[#This Row],[Campaign_Name]],'Campaign Metadata Dataset '!$A$2:$B$5,2,0)</f>
        <v>45717</v>
      </c>
      <c r="S47" s="2">
        <f>VLOOKUP(Posts_Cleaned[[#This Row],[Campaign_Name]],'Campaign Metadata Dataset '!$A$1:$C$5,3,0)</f>
        <v>45747</v>
      </c>
      <c r="T47" s="1" t="str">
        <f t="shared" si="1"/>
        <v>Before Campaign</v>
      </c>
      <c r="U47" s="1">
        <f>SUM(Posts_Cleaned[[#This Row],[Likes]]+Posts_Cleaned[[#This Row],[Shares]]+Posts_Cleaned[[#This Row],[Comments]]+Posts_Cleaned[[#This Row],[Clicks]])</f>
        <v>1594</v>
      </c>
      <c r="V47" s="1">
        <f ca="1">AVERAGEIF(Posts_Cleaned[[#This Row],[Period]]:T:T,"Before Campaign",Posts_Cleaned[[#This Row],[Engagement Rate ]])</f>
        <v>0.15222290169604089</v>
      </c>
      <c r="W47" s="5">
        <f t="shared" ca="1" si="2"/>
        <v>0.12627550539949803</v>
      </c>
      <c r="X47" s="6">
        <f ca="1">(Posts_Cleaned[[#This Row],[During ]]-Posts_Cleaned[[#This Row],[Before ]])/Posts_Cleaned[[#This Row],[During ]]</f>
        <v>-0.20548241889393384</v>
      </c>
      <c r="Y47" s="1">
        <f>IFERROR(VLOOKUP(O47, 'Campaign Metadata Dataset '!$A$1:$G$5,5,0),0)</f>
        <v>180000</v>
      </c>
      <c r="Z47" s="1">
        <f t="shared" si="3"/>
        <v>8.8555555555555557E-3</v>
      </c>
      <c r="AA47" s="1">
        <f t="shared" ca="1" si="0"/>
        <v>-0.20548241889393384</v>
      </c>
    </row>
    <row r="48" spans="1:27" x14ac:dyDescent="0.25">
      <c r="A48" t="s">
        <v>100</v>
      </c>
      <c r="B48" s="1" t="s">
        <v>16</v>
      </c>
      <c r="C48" s="2">
        <v>45712</v>
      </c>
      <c r="D48" s="1" t="s">
        <v>41</v>
      </c>
      <c r="E48" s="1" t="s">
        <v>44</v>
      </c>
      <c r="F48">
        <v>2704</v>
      </c>
      <c r="G48">
        <v>752</v>
      </c>
      <c r="H48">
        <v>153</v>
      </c>
      <c r="I48">
        <v>21632</v>
      </c>
      <c r="J48">
        <v>20792</v>
      </c>
      <c r="K48">
        <v>127</v>
      </c>
      <c r="L48" s="1" t="s">
        <v>19</v>
      </c>
      <c r="M48" s="1"/>
      <c r="N48" s="1"/>
      <c r="O48" s="1"/>
      <c r="P48" s="5">
        <f>IFERROR(((Posts_Cleaned[[#This Row],[Likes]]+Posts_Cleaned[[#This Row],[Shares]]+Posts_Cleaned[[#This Row],[Comments]])/Posts_Cleaned[[#This Row],[Impressions]]),0)</f>
        <v>0.16683616863905326</v>
      </c>
      <c r="Q48" s="3" t="str">
        <f>_xlfn.TEXTJOIN(", ", TRUE, Posts_Cleaned[[#This Row],[Hashtags Used.1]], Posts_Cleaned[[#This Row],[Hashtags Used.2]], Posts_Cleaned[[#This Row],[Hashtags Used.3]])</f>
        <v>#FutureOfDriving</v>
      </c>
      <c r="R48" s="2" t="e">
        <f>VLOOKUP(Posts_Cleaned[[#This Row],[Campaign_Name]],'Campaign Metadata Dataset '!$A$2:$B$5,2,0)</f>
        <v>#N/A</v>
      </c>
      <c r="S48" s="2" t="e">
        <f>VLOOKUP(Posts_Cleaned[[#This Row],[Campaign_Name]],'Campaign Metadata Dataset '!$A$1:$C$5,3,0)</f>
        <v>#N/A</v>
      </c>
      <c r="T48" s="1" t="e">
        <f t="shared" si="1"/>
        <v>#N/A</v>
      </c>
      <c r="U48" s="1">
        <f>SUM(Posts_Cleaned[[#This Row],[Likes]]+Posts_Cleaned[[#This Row],[Shares]]+Posts_Cleaned[[#This Row],[Comments]]+Posts_Cleaned[[#This Row],[Clicks]])</f>
        <v>3736</v>
      </c>
      <c r="V48" s="1">
        <f ca="1">AVERAGEIF(Posts_Cleaned[[#This Row],[Period]]:T:T,"Before Campaign",Posts_Cleaned[[#This Row],[Engagement Rate ]])</f>
        <v>0.15109608499196628</v>
      </c>
      <c r="W48" s="5">
        <f t="shared" ca="1" si="2"/>
        <v>0.11098926788239183</v>
      </c>
      <c r="X48" s="6">
        <f ca="1">(Posts_Cleaned[[#This Row],[During ]]-Posts_Cleaned[[#This Row],[Before ]])/Posts_Cleaned[[#This Row],[During ]]</f>
        <v>-0.36135761479274786</v>
      </c>
      <c r="Y48" s="1">
        <f>IFERROR(VLOOKUP(O48, 'Campaign Metadata Dataset '!$A$1:$G$5,5,0),0)</f>
        <v>0</v>
      </c>
      <c r="Z48" s="1">
        <v>0</v>
      </c>
      <c r="AA48" s="1">
        <f t="shared" ca="1" si="0"/>
        <v>-0.36135761479274786</v>
      </c>
    </row>
    <row r="49" spans="1:27" x14ac:dyDescent="0.25">
      <c r="A49" t="s">
        <v>101</v>
      </c>
      <c r="B49" s="1" t="s">
        <v>16</v>
      </c>
      <c r="C49" s="2">
        <v>45727</v>
      </c>
      <c r="D49" s="1" t="s">
        <v>34</v>
      </c>
      <c r="E49" s="1" t="s">
        <v>102</v>
      </c>
      <c r="F49">
        <v>1950</v>
      </c>
      <c r="G49">
        <v>295</v>
      </c>
      <c r="H49">
        <v>478</v>
      </c>
      <c r="I49">
        <v>37050</v>
      </c>
      <c r="J49">
        <v>36272</v>
      </c>
      <c r="K49">
        <v>119</v>
      </c>
      <c r="L49" s="1" t="s">
        <v>25</v>
      </c>
      <c r="M49" s="1"/>
      <c r="N49" s="1"/>
      <c r="O49" s="1"/>
      <c r="P49" s="5">
        <f>IFERROR(((Posts_Cleaned[[#This Row],[Likes]]+Posts_Cleaned[[#This Row],[Shares]]+Posts_Cleaned[[#This Row],[Comments]])/Posts_Cleaned[[#This Row],[Impressions]]),0)</f>
        <v>7.349527665317139E-2</v>
      </c>
      <c r="Q49" s="3" t="str">
        <f>_xlfn.TEXTJOIN(", ", TRUE, Posts_Cleaned[[#This Row],[Hashtags Used.1]], Posts_Cleaned[[#This Row],[Hashtags Used.2]], Posts_Cleaned[[#This Row],[Hashtags Used.3]])</f>
        <v>#TeslaCoInnovation</v>
      </c>
      <c r="R49" s="2" t="e">
        <f>VLOOKUP(Posts_Cleaned[[#This Row],[Campaign_Name]],'Campaign Metadata Dataset '!$A$2:$B$5,2,0)</f>
        <v>#N/A</v>
      </c>
      <c r="S49" s="2" t="e">
        <f>VLOOKUP(Posts_Cleaned[[#This Row],[Campaign_Name]],'Campaign Metadata Dataset '!$A$1:$C$5,3,0)</f>
        <v>#N/A</v>
      </c>
      <c r="T49" s="1" t="e">
        <f t="shared" si="1"/>
        <v>#N/A</v>
      </c>
      <c r="U49" s="1">
        <f>SUM(Posts_Cleaned[[#This Row],[Likes]]+Posts_Cleaned[[#This Row],[Shares]]+Posts_Cleaned[[#This Row],[Comments]]+Posts_Cleaned[[#This Row],[Clicks]])</f>
        <v>2842</v>
      </c>
      <c r="V49" s="1">
        <f ca="1">AVERAGEIF(Posts_Cleaned[[#This Row],[Period]]:T:T,"Before Campaign",Posts_Cleaned[[#This Row],[Engagement Rate ]])</f>
        <v>0.16166996151515853</v>
      </c>
      <c r="W49" s="5">
        <f t="shared" ca="1" si="2"/>
        <v>0.1225237317428059</v>
      </c>
      <c r="X49" s="6">
        <f ca="1">(Posts_Cleaned[[#This Row],[During ]]-Posts_Cleaned[[#This Row],[Before ]])/Posts_Cleaned[[#This Row],[During ]]</f>
        <v>-0.31949916326843464</v>
      </c>
      <c r="Y49" s="1">
        <f>IFERROR(VLOOKUP(O49, 'Campaign Metadata Dataset '!$A$1:$G$5,5,0),0)</f>
        <v>0</v>
      </c>
      <c r="Z49" s="1">
        <v>0</v>
      </c>
      <c r="AA49" s="1">
        <f t="shared" ca="1" si="0"/>
        <v>-0.31949916326843464</v>
      </c>
    </row>
    <row r="50" spans="1:27" x14ac:dyDescent="0.25">
      <c r="A50" t="s">
        <v>103</v>
      </c>
      <c r="B50" s="1" t="s">
        <v>16</v>
      </c>
      <c r="C50" s="2">
        <v>45453</v>
      </c>
      <c r="D50" s="1" t="s">
        <v>34</v>
      </c>
      <c r="E50" s="1" t="s">
        <v>102</v>
      </c>
      <c r="F50">
        <v>2164</v>
      </c>
      <c r="G50">
        <v>549</v>
      </c>
      <c r="H50">
        <v>274</v>
      </c>
      <c r="I50">
        <v>28132</v>
      </c>
      <c r="J50">
        <v>27361</v>
      </c>
      <c r="K50">
        <v>177</v>
      </c>
      <c r="L50" s="1" t="s">
        <v>25</v>
      </c>
      <c r="M50" s="1"/>
      <c r="N50" s="1"/>
      <c r="O50" s="1" t="s">
        <v>37</v>
      </c>
      <c r="P50" s="5">
        <f>IFERROR(((Posts_Cleaned[[#This Row],[Likes]]+Posts_Cleaned[[#This Row],[Shares]]+Posts_Cleaned[[#This Row],[Comments]])/Posts_Cleaned[[#This Row],[Impressions]]),0)</f>
        <v>0.10617801791554102</v>
      </c>
      <c r="Q50" s="3" t="str">
        <f>_xlfn.TEXTJOIN(", ", TRUE, Posts_Cleaned[[#This Row],[Hashtags Used.1]], Posts_Cleaned[[#This Row],[Hashtags Used.2]], Posts_Cleaned[[#This Row],[Hashtags Used.3]])</f>
        <v>#TeslaCoInnovation</v>
      </c>
      <c r="R50" s="2">
        <f>VLOOKUP(Posts_Cleaned[[#This Row],[Campaign_Name]],'Campaign Metadata Dataset '!$A$2:$B$5,2,0)</f>
        <v>45717</v>
      </c>
      <c r="S50" s="2">
        <f>VLOOKUP(Posts_Cleaned[[#This Row],[Campaign_Name]],'Campaign Metadata Dataset '!$A$1:$C$5,3,0)</f>
        <v>45747</v>
      </c>
      <c r="T50" s="1" t="str">
        <f t="shared" si="1"/>
        <v>Before Campaign</v>
      </c>
      <c r="U50" s="1">
        <f>SUM(Posts_Cleaned[[#This Row],[Likes]]+Posts_Cleaned[[#This Row],[Shares]]+Posts_Cleaned[[#This Row],[Comments]]+Posts_Cleaned[[#This Row],[Clicks]])</f>
        <v>3164</v>
      </c>
      <c r="V50" s="1">
        <f ca="1">AVERAGEIF(Posts_Cleaned[[#This Row],[Period]]:T:T,"Before Campaign",Posts_Cleaned[[#This Row],[Engagement Rate ]])</f>
        <v>0.15956623872637313</v>
      </c>
      <c r="W50" s="5">
        <f t="shared" ca="1" si="2"/>
        <v>0.14220971441622213</v>
      </c>
      <c r="X50" s="6">
        <f ca="1">(Posts_Cleaned[[#This Row],[During ]]-Posts_Cleaned[[#This Row],[Before ]])/Posts_Cleaned[[#This Row],[During ]]</f>
        <v>-0.12204879519940243</v>
      </c>
      <c r="Y50" s="1">
        <f>IFERROR(VLOOKUP(O50, 'Campaign Metadata Dataset '!$A$1:$G$5,5,0),0)</f>
        <v>180000</v>
      </c>
      <c r="Z50" s="1">
        <f t="shared" si="3"/>
        <v>1.7577777777777779E-2</v>
      </c>
      <c r="AA50" s="1">
        <f t="shared" ca="1" si="0"/>
        <v>-0.12204879519940243</v>
      </c>
    </row>
    <row r="51" spans="1:27" x14ac:dyDescent="0.25">
      <c r="A51" t="s">
        <v>104</v>
      </c>
      <c r="B51" s="1" t="s">
        <v>29</v>
      </c>
      <c r="C51" s="2">
        <v>45476</v>
      </c>
      <c r="D51" s="1" t="s">
        <v>34</v>
      </c>
      <c r="E51" s="1" t="s">
        <v>105</v>
      </c>
      <c r="F51">
        <v>2754</v>
      </c>
      <c r="G51">
        <v>130</v>
      </c>
      <c r="H51">
        <v>90</v>
      </c>
      <c r="I51">
        <v>22032</v>
      </c>
      <c r="J51">
        <v>21288</v>
      </c>
      <c r="K51">
        <v>112</v>
      </c>
      <c r="L51" s="1" t="s">
        <v>25</v>
      </c>
      <c r="M51" s="1"/>
      <c r="N51" s="1"/>
      <c r="O51" s="1" t="s">
        <v>31</v>
      </c>
      <c r="P51" s="5">
        <f>IFERROR(((Posts_Cleaned[[#This Row],[Likes]]+Posts_Cleaned[[#This Row],[Shares]]+Posts_Cleaned[[#This Row],[Comments]])/Posts_Cleaned[[#This Row],[Impressions]]),0)</f>
        <v>0.13498547567175018</v>
      </c>
      <c r="Q51" s="3" t="str">
        <f>_xlfn.TEXTJOIN(", ", TRUE, Posts_Cleaned[[#This Row],[Hashtags Used.1]], Posts_Cleaned[[#This Row],[Hashtags Used.2]], Posts_Cleaned[[#This Row],[Hashtags Used.3]])</f>
        <v>#TeslaCoInnovation</v>
      </c>
      <c r="R51" s="2">
        <f>VLOOKUP(Posts_Cleaned[[#This Row],[Campaign_Name]],'Campaign Metadata Dataset '!$A$2:$B$5,2,0)</f>
        <v>45651</v>
      </c>
      <c r="S51" s="2">
        <f>VLOOKUP(Posts_Cleaned[[#This Row],[Campaign_Name]],'Campaign Metadata Dataset '!$A$1:$C$5,3,0)</f>
        <v>45667</v>
      </c>
      <c r="T51" s="1" t="str">
        <f t="shared" si="1"/>
        <v>Before Campaign</v>
      </c>
      <c r="U51" s="1">
        <f>SUM(Posts_Cleaned[[#This Row],[Likes]]+Posts_Cleaned[[#This Row],[Shares]]+Posts_Cleaned[[#This Row],[Comments]]+Posts_Cleaned[[#This Row],[Clicks]])</f>
        <v>3086</v>
      </c>
      <c r="V51" s="1">
        <f ca="1">AVERAGEIF(Posts_Cleaned[[#This Row],[Period]]:T:T,"Before Campaign",Posts_Cleaned[[#This Row],[Engagement Rate ]])</f>
        <v>0.16460660545055267</v>
      </c>
      <c r="W51" s="5">
        <f t="shared" ca="1" si="2"/>
        <v>0.1298949964746125</v>
      </c>
      <c r="X51" s="6">
        <f ca="1">(Posts_Cleaned[[#This Row],[During ]]-Posts_Cleaned[[#This Row],[Before ]])/Posts_Cleaned[[#This Row],[During ]]</f>
        <v>-0.2672282221642342</v>
      </c>
      <c r="Y51" s="1">
        <f>IFERROR(VLOOKUP(O51, 'Campaign Metadata Dataset '!$A$1:$G$5,5,0),0)</f>
        <v>250000</v>
      </c>
      <c r="Z51" s="1">
        <f t="shared" si="3"/>
        <v>1.2344000000000001E-2</v>
      </c>
      <c r="AA51" s="1">
        <f t="shared" ca="1" si="0"/>
        <v>-0.2672282221642342</v>
      </c>
    </row>
    <row r="52" spans="1:27" x14ac:dyDescent="0.25">
      <c r="A52" t="s">
        <v>106</v>
      </c>
      <c r="B52" s="1" t="s">
        <v>40</v>
      </c>
      <c r="C52" s="2">
        <v>45456</v>
      </c>
      <c r="D52" s="1" t="s">
        <v>41</v>
      </c>
      <c r="E52" s="1" t="s">
        <v>42</v>
      </c>
      <c r="F52">
        <v>2200</v>
      </c>
      <c r="G52">
        <v>504</v>
      </c>
      <c r="H52">
        <v>239</v>
      </c>
      <c r="I52">
        <v>37400</v>
      </c>
      <c r="J52">
        <v>36938</v>
      </c>
      <c r="K52">
        <v>225</v>
      </c>
      <c r="L52" s="1" t="s">
        <v>19</v>
      </c>
      <c r="M52" s="1"/>
      <c r="N52" s="1"/>
      <c r="O52" s="1" t="s">
        <v>27</v>
      </c>
      <c r="P52" s="5">
        <f>IFERROR(((Posts_Cleaned[[#This Row],[Likes]]+Posts_Cleaned[[#This Row],[Shares]]+Posts_Cleaned[[#This Row],[Comments]])/Posts_Cleaned[[#This Row],[Impressions]]),0)</f>
        <v>7.8689839572192513E-2</v>
      </c>
      <c r="Q52" s="3" t="str">
        <f>_xlfn.TEXTJOIN(", ", TRUE, Posts_Cleaned[[#This Row],[Hashtags Used.1]], Posts_Cleaned[[#This Row],[Hashtags Used.2]], Posts_Cleaned[[#This Row],[Hashtags Used.3]])</f>
        <v>#FutureOfDriving</v>
      </c>
      <c r="R52" s="2">
        <f>VLOOKUP(Posts_Cleaned[[#This Row],[Campaign_Name]],'Campaign Metadata Dataset '!$A$2:$B$5,2,0)</f>
        <v>45566</v>
      </c>
      <c r="S52" s="2">
        <f>VLOOKUP(Posts_Cleaned[[#This Row],[Campaign_Name]],'Campaign Metadata Dataset '!$A$1:$C$5,3,0)</f>
        <v>45596</v>
      </c>
      <c r="T52" s="1" t="str">
        <f t="shared" si="1"/>
        <v>Before Campaign</v>
      </c>
      <c r="U52" s="1">
        <f>SUM(Posts_Cleaned[[#This Row],[Likes]]+Posts_Cleaned[[#This Row],[Shares]]+Posts_Cleaned[[#This Row],[Comments]]+Posts_Cleaned[[#This Row],[Clicks]])</f>
        <v>3168</v>
      </c>
      <c r="V52" s="1">
        <f ca="1">AVERAGEIF(Posts_Cleaned[[#This Row],[Period]]:T:T,"Before Campaign",Posts_Cleaned[[#This Row],[Engagement Rate ]])</f>
        <v>0.16650184809869623</v>
      </c>
      <c r="W52" s="5">
        <f t="shared" ca="1" si="2"/>
        <v>0.11491681534766203</v>
      </c>
      <c r="X52" s="6">
        <f ca="1">(Posts_Cleaned[[#This Row],[During ]]-Posts_Cleaned[[#This Row],[Before ]])/Posts_Cleaned[[#This Row],[During ]]</f>
        <v>-0.44889020457947881</v>
      </c>
      <c r="Y52" s="1">
        <f>IFERROR(VLOOKUP(O52, 'Campaign Metadata Dataset '!$A$1:$G$5,5,0),0)</f>
        <v>200000</v>
      </c>
      <c r="Z52" s="1">
        <f t="shared" si="3"/>
        <v>1.584E-2</v>
      </c>
      <c r="AA52" s="1">
        <f t="shared" ca="1" si="0"/>
        <v>-0.44889020457947881</v>
      </c>
    </row>
    <row r="53" spans="1:27" x14ac:dyDescent="0.25">
      <c r="A53" t="s">
        <v>107</v>
      </c>
      <c r="B53" s="1" t="s">
        <v>40</v>
      </c>
      <c r="C53" s="2">
        <v>45660</v>
      </c>
      <c r="D53" s="1" t="s">
        <v>46</v>
      </c>
      <c r="E53" s="1" t="s">
        <v>51</v>
      </c>
      <c r="F53">
        <v>947</v>
      </c>
      <c r="G53">
        <v>338</v>
      </c>
      <c r="H53">
        <v>350</v>
      </c>
      <c r="I53">
        <v>10417</v>
      </c>
      <c r="J53">
        <v>9730</v>
      </c>
      <c r="K53">
        <v>34</v>
      </c>
      <c r="L53" s="1" t="s">
        <v>25</v>
      </c>
      <c r="M53" s="1"/>
      <c r="N53" s="1"/>
      <c r="O53" s="1" t="s">
        <v>37</v>
      </c>
      <c r="P53" s="5">
        <f>IFERROR(((Posts_Cleaned[[#This Row],[Likes]]+Posts_Cleaned[[#This Row],[Shares]]+Posts_Cleaned[[#This Row],[Comments]])/Posts_Cleaned[[#This Row],[Impressions]]),0)</f>
        <v>0.1569549774407219</v>
      </c>
      <c r="Q53" s="3" t="str">
        <f>_xlfn.TEXTJOIN(", ", TRUE, Posts_Cleaned[[#This Row],[Hashtags Used.1]], Posts_Cleaned[[#This Row],[Hashtags Used.2]], Posts_Cleaned[[#This Row],[Hashtags Used.3]])</f>
        <v>#TeslaCoInnovation</v>
      </c>
      <c r="R53" s="2">
        <f>VLOOKUP(Posts_Cleaned[[#This Row],[Campaign_Name]],'Campaign Metadata Dataset '!$A$2:$B$5,2,0)</f>
        <v>45717</v>
      </c>
      <c r="S53" s="2">
        <f>VLOOKUP(Posts_Cleaned[[#This Row],[Campaign_Name]],'Campaign Metadata Dataset '!$A$1:$C$5,3,0)</f>
        <v>45747</v>
      </c>
      <c r="T53" s="1" t="str">
        <f t="shared" si="1"/>
        <v>Before Campaign</v>
      </c>
      <c r="U53" s="1">
        <f>SUM(Posts_Cleaned[[#This Row],[Likes]]+Posts_Cleaned[[#This Row],[Shares]]+Posts_Cleaned[[#This Row],[Comments]]+Posts_Cleaned[[#This Row],[Clicks]])</f>
        <v>1669</v>
      </c>
      <c r="V53" s="1">
        <f ca="1">AVERAGEIF(Posts_Cleaned[[#This Row],[Period]]:T:T,"Before Campaign",Posts_Cleaned[[#This Row],[Engagement Rate ]])</f>
        <v>0.15046994034581876</v>
      </c>
      <c r="W53" s="5">
        <f t="shared" ca="1" si="2"/>
        <v>0.12820401308018789</v>
      </c>
      <c r="X53" s="6">
        <f ca="1">(Posts_Cleaned[[#This Row],[During ]]-Posts_Cleaned[[#This Row],[Before ]])/Posts_Cleaned[[#This Row],[During ]]</f>
        <v>-0.17367574329911326</v>
      </c>
      <c r="Y53" s="1">
        <f>IFERROR(VLOOKUP(O53, 'Campaign Metadata Dataset '!$A$1:$G$5,5,0),0)</f>
        <v>180000</v>
      </c>
      <c r="Z53" s="1">
        <f t="shared" si="3"/>
        <v>9.2722222222222216E-3</v>
      </c>
      <c r="AA53" s="1">
        <f t="shared" ca="1" si="0"/>
        <v>-0.17367574329911326</v>
      </c>
    </row>
    <row r="54" spans="1:27" x14ac:dyDescent="0.25">
      <c r="A54" t="s">
        <v>108</v>
      </c>
      <c r="B54" s="1" t="s">
        <v>29</v>
      </c>
      <c r="C54" s="2">
        <v>45712</v>
      </c>
      <c r="D54" s="1" t="s">
        <v>41</v>
      </c>
      <c r="E54" s="1" t="s">
        <v>56</v>
      </c>
      <c r="F54">
        <v>804</v>
      </c>
      <c r="G54">
        <v>639</v>
      </c>
      <c r="H54">
        <v>43</v>
      </c>
      <c r="I54">
        <v>4020</v>
      </c>
      <c r="J54">
        <v>3144</v>
      </c>
      <c r="K54">
        <v>11</v>
      </c>
      <c r="L54" s="1" t="s">
        <v>36</v>
      </c>
      <c r="M54" s="1" t="s">
        <v>26</v>
      </c>
      <c r="N54" s="1"/>
      <c r="O54" s="1"/>
      <c r="P54" s="5">
        <f>IFERROR(((Posts_Cleaned[[#This Row],[Likes]]+Posts_Cleaned[[#This Row],[Shares]]+Posts_Cleaned[[#This Row],[Comments]])/Posts_Cleaned[[#This Row],[Impressions]]),0)</f>
        <v>0.36965174129353234</v>
      </c>
      <c r="Q54" s="3" t="str">
        <f>_xlfn.TEXTJOIN(", ", TRUE, Posts_Cleaned[[#This Row],[Hashtags Used.1]], Posts_Cleaned[[#This Row],[Hashtags Used.2]], Posts_Cleaned[[#This Row],[Hashtags Used.3]])</f>
        <v>#EVRevolution, #BetterWithTesla</v>
      </c>
      <c r="R54" s="2" t="e">
        <f>VLOOKUP(Posts_Cleaned[[#This Row],[Campaign_Name]],'Campaign Metadata Dataset '!$A$2:$B$5,2,0)</f>
        <v>#N/A</v>
      </c>
      <c r="S54" s="2" t="e">
        <f>VLOOKUP(Posts_Cleaned[[#This Row],[Campaign_Name]],'Campaign Metadata Dataset '!$A$1:$C$5,3,0)</f>
        <v>#N/A</v>
      </c>
      <c r="T54" s="1" t="e">
        <f t="shared" si="1"/>
        <v>#N/A</v>
      </c>
      <c r="U54" s="1">
        <f>SUM(Posts_Cleaned[[#This Row],[Likes]]+Posts_Cleaned[[#This Row],[Shares]]+Posts_Cleaned[[#This Row],[Comments]]+Posts_Cleaned[[#This Row],[Clicks]])</f>
        <v>1497</v>
      </c>
      <c r="V54" s="1">
        <f ca="1">AVERAGEIF(Posts_Cleaned[[#This Row],[Period]]:T:T,"Before Campaign",Posts_Cleaned[[#This Row],[Engagement Rate ]])</f>
        <v>0.14851811907836254</v>
      </c>
      <c r="W54" s="5">
        <f t="shared" ca="1" si="2"/>
        <v>0.17219158915056296</v>
      </c>
      <c r="X54" s="6">
        <f ca="1">(Posts_Cleaned[[#This Row],[During ]]-Posts_Cleaned[[#This Row],[Before ]])/Posts_Cleaned[[#This Row],[During ]]</f>
        <v>0.13748331256470675</v>
      </c>
      <c r="Y54" s="1">
        <f>IFERROR(VLOOKUP(O54, 'Campaign Metadata Dataset '!$A$1:$G$5,5,0),0)</f>
        <v>0</v>
      </c>
      <c r="Z54" s="1">
        <v>0</v>
      </c>
      <c r="AA54" s="1">
        <f t="shared" ca="1" si="0"/>
        <v>0.13748331256470675</v>
      </c>
    </row>
    <row r="55" spans="1:27" x14ac:dyDescent="0.25">
      <c r="A55" t="s">
        <v>109</v>
      </c>
      <c r="B55" s="1" t="s">
        <v>29</v>
      </c>
      <c r="C55" s="2">
        <v>45729</v>
      </c>
      <c r="D55" s="1" t="s">
        <v>41</v>
      </c>
      <c r="E55" s="1" t="s">
        <v>56</v>
      </c>
      <c r="F55">
        <v>1686</v>
      </c>
      <c r="G55">
        <v>904</v>
      </c>
      <c r="H55">
        <v>472</v>
      </c>
      <c r="I55">
        <v>18546</v>
      </c>
      <c r="J55">
        <v>18171</v>
      </c>
      <c r="K55">
        <v>52</v>
      </c>
      <c r="L55" s="1" t="s">
        <v>19</v>
      </c>
      <c r="M55" s="1"/>
      <c r="N55" s="1"/>
      <c r="O55" s="1" t="s">
        <v>27</v>
      </c>
      <c r="P55" s="5">
        <f>IFERROR(((Posts_Cleaned[[#This Row],[Likes]]+Posts_Cleaned[[#This Row],[Shares]]+Posts_Cleaned[[#This Row],[Comments]])/Posts_Cleaned[[#This Row],[Impressions]]),0)</f>
        <v>0.16510298716704411</v>
      </c>
      <c r="Q55" s="3" t="str">
        <f>_xlfn.TEXTJOIN(", ", TRUE, Posts_Cleaned[[#This Row],[Hashtags Used.1]], Posts_Cleaned[[#This Row],[Hashtags Used.2]], Posts_Cleaned[[#This Row],[Hashtags Used.3]])</f>
        <v>#FutureOfDriving</v>
      </c>
      <c r="R55" s="2">
        <f>VLOOKUP(Posts_Cleaned[[#This Row],[Campaign_Name]],'Campaign Metadata Dataset '!$A$2:$B$5,2,0)</f>
        <v>45566</v>
      </c>
      <c r="S55" s="2">
        <f>VLOOKUP(Posts_Cleaned[[#This Row],[Campaign_Name]],'Campaign Metadata Dataset '!$A$1:$C$5,3,0)</f>
        <v>45596</v>
      </c>
      <c r="T55" s="1" t="str">
        <f t="shared" si="1"/>
        <v>Before Campaign</v>
      </c>
      <c r="U55" s="1">
        <f>SUM(Posts_Cleaned[[#This Row],[Likes]]+Posts_Cleaned[[#This Row],[Shares]]+Posts_Cleaned[[#This Row],[Comments]]+Posts_Cleaned[[#This Row],[Clicks]])</f>
        <v>3114</v>
      </c>
      <c r="V55" s="1">
        <f ca="1">AVERAGEIF(Posts_Cleaned[[#This Row],[Period]]:T:T,"Before Campaign",Posts_Cleaned[[#This Row],[Engagement Rate ]])</f>
        <v>0.1518908201018743</v>
      </c>
      <c r="W55" s="5">
        <f t="shared" ca="1" si="2"/>
        <v>0.18151689816542171</v>
      </c>
      <c r="X55" s="6">
        <f ca="1">(Posts_Cleaned[[#This Row],[During ]]-Posts_Cleaned[[#This Row],[Before ]])/Posts_Cleaned[[#This Row],[During ]]</f>
        <v>0.16321388456378477</v>
      </c>
      <c r="Y55" s="1">
        <f>IFERROR(VLOOKUP(O55, 'Campaign Metadata Dataset '!$A$1:$G$5,5,0),0)</f>
        <v>200000</v>
      </c>
      <c r="Z55" s="1">
        <f t="shared" si="3"/>
        <v>1.5570000000000001E-2</v>
      </c>
      <c r="AA55" s="1">
        <f t="shared" ca="1" si="0"/>
        <v>0.16321388456378477</v>
      </c>
    </row>
    <row r="56" spans="1:27" x14ac:dyDescent="0.25">
      <c r="A56" t="s">
        <v>110</v>
      </c>
      <c r="B56" s="1" t="s">
        <v>40</v>
      </c>
      <c r="C56" s="2">
        <v>45460</v>
      </c>
      <c r="D56" s="1" t="s">
        <v>46</v>
      </c>
      <c r="E56" s="1" t="s">
        <v>51</v>
      </c>
      <c r="F56">
        <v>1226</v>
      </c>
      <c r="G56">
        <v>119</v>
      </c>
      <c r="H56">
        <v>7</v>
      </c>
      <c r="I56">
        <v>14712</v>
      </c>
      <c r="J56">
        <v>14049</v>
      </c>
      <c r="K56">
        <v>123</v>
      </c>
      <c r="L56" s="1" t="s">
        <v>36</v>
      </c>
      <c r="M56" s="1"/>
      <c r="N56" s="1"/>
      <c r="O56" s="1" t="s">
        <v>37</v>
      </c>
      <c r="P56" s="5">
        <f>IFERROR(((Posts_Cleaned[[#This Row],[Likes]]+Posts_Cleaned[[#This Row],[Shares]]+Posts_Cleaned[[#This Row],[Comments]])/Posts_Cleaned[[#This Row],[Impressions]]),0)</f>
        <v>9.1897770527460579E-2</v>
      </c>
      <c r="Q56" s="3" t="str">
        <f>_xlfn.TEXTJOIN(", ", TRUE, Posts_Cleaned[[#This Row],[Hashtags Used.1]], Posts_Cleaned[[#This Row],[Hashtags Used.2]], Posts_Cleaned[[#This Row],[Hashtags Used.3]])</f>
        <v>#EVRevolution</v>
      </c>
      <c r="R56" s="2">
        <f>VLOOKUP(Posts_Cleaned[[#This Row],[Campaign_Name]],'Campaign Metadata Dataset '!$A$2:$B$5,2,0)</f>
        <v>45717</v>
      </c>
      <c r="S56" s="2">
        <f>VLOOKUP(Posts_Cleaned[[#This Row],[Campaign_Name]],'Campaign Metadata Dataset '!$A$1:$C$5,3,0)</f>
        <v>45747</v>
      </c>
      <c r="T56" s="1" t="str">
        <f t="shared" si="1"/>
        <v>Before Campaign</v>
      </c>
      <c r="U56" s="1">
        <f>SUM(Posts_Cleaned[[#This Row],[Likes]]+Posts_Cleaned[[#This Row],[Shares]]+Posts_Cleaned[[#This Row],[Comments]]+Posts_Cleaned[[#This Row],[Clicks]])</f>
        <v>1475</v>
      </c>
      <c r="V56" s="1">
        <f ca="1">AVERAGEIF(Posts_Cleaned[[#This Row],[Period]]:T:T,"Before Campaign",Posts_Cleaned[[#This Row],[Engagement Rate ]])</f>
        <v>0.16246514100177162</v>
      </c>
      <c r="W56" s="5">
        <f t="shared" ca="1" si="2"/>
        <v>0.14176501361849561</v>
      </c>
      <c r="X56" s="6">
        <f ca="1">(Posts_Cleaned[[#This Row],[During ]]-Posts_Cleaned[[#This Row],[Before ]])/Posts_Cleaned[[#This Row],[During ]]</f>
        <v>-0.14601717909739143</v>
      </c>
      <c r="Y56" s="1">
        <f>IFERROR(VLOOKUP(O56, 'Campaign Metadata Dataset '!$A$1:$G$5,5,0),0)</f>
        <v>180000</v>
      </c>
      <c r="Z56" s="1">
        <f t="shared" si="3"/>
        <v>8.1944444444444452E-3</v>
      </c>
      <c r="AA56" s="1">
        <f t="shared" ca="1" si="0"/>
        <v>-0.14601717909739143</v>
      </c>
    </row>
    <row r="57" spans="1:27" x14ac:dyDescent="0.25">
      <c r="A57" t="s">
        <v>111</v>
      </c>
      <c r="B57" s="1" t="s">
        <v>40</v>
      </c>
      <c r="C57" s="2">
        <v>45644</v>
      </c>
      <c r="D57" s="1" t="s">
        <v>41</v>
      </c>
      <c r="E57" s="1" t="s">
        <v>42</v>
      </c>
      <c r="F57">
        <v>2946</v>
      </c>
      <c r="G57">
        <v>498</v>
      </c>
      <c r="H57">
        <v>367</v>
      </c>
      <c r="I57">
        <v>29460</v>
      </c>
      <c r="J57">
        <v>28527</v>
      </c>
      <c r="K57">
        <v>60</v>
      </c>
      <c r="L57" s="1" t="s">
        <v>19</v>
      </c>
      <c r="M57" s="1"/>
      <c r="N57" s="1"/>
      <c r="O57" s="1" t="s">
        <v>31</v>
      </c>
      <c r="P57" s="5">
        <f>IFERROR(((Posts_Cleaned[[#This Row],[Likes]]+Posts_Cleaned[[#This Row],[Shares]]+Posts_Cleaned[[#This Row],[Comments]])/Posts_Cleaned[[#This Row],[Impressions]]),0)</f>
        <v>0.12936184657162253</v>
      </c>
      <c r="Q57" s="3" t="str">
        <f>_xlfn.TEXTJOIN(", ", TRUE, Posts_Cleaned[[#This Row],[Hashtags Used.1]], Posts_Cleaned[[#This Row],[Hashtags Used.2]], Posts_Cleaned[[#This Row],[Hashtags Used.3]])</f>
        <v>#FutureOfDriving</v>
      </c>
      <c r="R57" s="2">
        <f>VLOOKUP(Posts_Cleaned[[#This Row],[Campaign_Name]],'Campaign Metadata Dataset '!$A$2:$B$5,2,0)</f>
        <v>45651</v>
      </c>
      <c r="S57" s="2">
        <f>VLOOKUP(Posts_Cleaned[[#This Row],[Campaign_Name]],'Campaign Metadata Dataset '!$A$1:$C$5,3,0)</f>
        <v>45667</v>
      </c>
      <c r="T57" s="1" t="str">
        <f t="shared" si="1"/>
        <v>Before Campaign</v>
      </c>
      <c r="U57" s="1">
        <f>SUM(Posts_Cleaned[[#This Row],[Likes]]+Posts_Cleaned[[#This Row],[Shares]]+Posts_Cleaned[[#This Row],[Comments]]+Posts_Cleaned[[#This Row],[Clicks]])</f>
        <v>3871</v>
      </c>
      <c r="V57" s="1">
        <f ca="1">AVERAGEIF(Posts_Cleaned[[#This Row],[Period]]:T:T,"Before Campaign",Posts_Cleaned[[#This Row],[Engagement Rate ]])</f>
        <v>0.15046161083030735</v>
      </c>
      <c r="W57" s="5">
        <f t="shared" ca="1" si="2"/>
        <v>0.13794411593474576</v>
      </c>
      <c r="X57" s="6">
        <f ca="1">(Posts_Cleaned[[#This Row],[During ]]-Posts_Cleaned[[#This Row],[Before ]])/Posts_Cleaned[[#This Row],[During ]]</f>
        <v>-9.0743231856898976E-2</v>
      </c>
      <c r="Y57" s="1">
        <f>IFERROR(VLOOKUP(O57, 'Campaign Metadata Dataset '!$A$1:$G$5,5,0),0)</f>
        <v>250000</v>
      </c>
      <c r="Z57" s="1">
        <f t="shared" si="3"/>
        <v>1.5484E-2</v>
      </c>
      <c r="AA57" s="1">
        <f t="shared" ca="1" si="0"/>
        <v>-9.0743231856898976E-2</v>
      </c>
    </row>
    <row r="58" spans="1:27" x14ac:dyDescent="0.25">
      <c r="A58" t="s">
        <v>112</v>
      </c>
      <c r="B58" s="1" t="s">
        <v>16</v>
      </c>
      <c r="C58" s="2">
        <v>45586</v>
      </c>
      <c r="D58" s="1" t="s">
        <v>60</v>
      </c>
      <c r="E58" s="1" t="s">
        <v>99</v>
      </c>
      <c r="F58">
        <v>2825</v>
      </c>
      <c r="G58">
        <v>535</v>
      </c>
      <c r="H58">
        <v>295</v>
      </c>
      <c r="I58">
        <v>45200</v>
      </c>
      <c r="J58">
        <v>44739</v>
      </c>
      <c r="K58">
        <v>169</v>
      </c>
      <c r="L58" s="1" t="s">
        <v>25</v>
      </c>
      <c r="M58" s="1"/>
      <c r="N58" s="1"/>
      <c r="O58" s="1" t="s">
        <v>21</v>
      </c>
      <c r="P58" s="5">
        <f>IFERROR(((Posts_Cleaned[[#This Row],[Likes]]+Posts_Cleaned[[#This Row],[Shares]]+Posts_Cleaned[[#This Row],[Comments]])/Posts_Cleaned[[#This Row],[Impressions]]),0)</f>
        <v>8.0862831858407078E-2</v>
      </c>
      <c r="Q58" s="3" t="str">
        <f>_xlfn.TEXTJOIN(", ", TRUE, Posts_Cleaned[[#This Row],[Hashtags Used.1]], Posts_Cleaned[[#This Row],[Hashtags Used.2]], Posts_Cleaned[[#This Row],[Hashtags Used.3]])</f>
        <v>#TeslaCoInnovation</v>
      </c>
      <c r="R58" s="2">
        <f>VLOOKUP(Posts_Cleaned[[#This Row],[Campaign_Name]],'Campaign Metadata Dataset '!$A$2:$B$5,2,0)</f>
        <v>45458</v>
      </c>
      <c r="S58" s="2">
        <f>VLOOKUP(Posts_Cleaned[[#This Row],[Campaign_Name]],'Campaign Metadata Dataset '!$A$1:$C$5,3,0)</f>
        <v>45488</v>
      </c>
      <c r="T58" s="1" t="str">
        <f t="shared" si="1"/>
        <v>Before Campaign</v>
      </c>
      <c r="U58" s="1">
        <f>SUM(Posts_Cleaned[[#This Row],[Likes]]+Posts_Cleaned[[#This Row],[Shares]]+Posts_Cleaned[[#This Row],[Comments]]+Posts_Cleaned[[#This Row],[Clicks]])</f>
        <v>3824</v>
      </c>
      <c r="V58" s="1">
        <f ca="1">AVERAGEIF(Posts_Cleaned[[#This Row],[Period]]:T:T,"Before Campaign",Posts_Cleaned[[#This Row],[Engagement Rate ]])</f>
        <v>0.15396292626968666</v>
      </c>
      <c r="W58" s="5">
        <f t="shared" ca="1" si="2"/>
        <v>0.20245449049129813</v>
      </c>
      <c r="X58" s="6">
        <f ca="1">(Posts_Cleaned[[#This Row],[During ]]-Posts_Cleaned[[#This Row],[Before ]])/Posts_Cleaned[[#This Row],[During ]]</f>
        <v>0.23951834362348076</v>
      </c>
      <c r="Y58" s="1">
        <f>IFERROR(VLOOKUP(O58, 'Campaign Metadata Dataset '!$A$1:$G$5,5,0),0)</f>
        <v>150000</v>
      </c>
      <c r="Z58" s="1">
        <f t="shared" si="3"/>
        <v>2.5493333333333333E-2</v>
      </c>
      <c r="AA58" s="1">
        <f t="shared" ca="1" si="0"/>
        <v>0.23951834362348076</v>
      </c>
    </row>
    <row r="59" spans="1:27" x14ac:dyDescent="0.25">
      <c r="A59" t="s">
        <v>113</v>
      </c>
      <c r="B59" s="1" t="s">
        <v>33</v>
      </c>
      <c r="C59" s="2">
        <v>45762</v>
      </c>
      <c r="D59" s="1" t="s">
        <v>17</v>
      </c>
      <c r="E59" s="1" t="s">
        <v>65</v>
      </c>
      <c r="F59">
        <v>103</v>
      </c>
      <c r="G59">
        <v>770</v>
      </c>
      <c r="H59">
        <v>19</v>
      </c>
      <c r="I59">
        <v>1030</v>
      </c>
      <c r="J59">
        <v>410</v>
      </c>
      <c r="K59">
        <v>262</v>
      </c>
      <c r="L59" s="1" t="s">
        <v>25</v>
      </c>
      <c r="M59" s="1"/>
      <c r="N59" s="1"/>
      <c r="O59" s="1" t="s">
        <v>37</v>
      </c>
      <c r="P59" s="5">
        <f>IFERROR(((Posts_Cleaned[[#This Row],[Likes]]+Posts_Cleaned[[#This Row],[Shares]]+Posts_Cleaned[[#This Row],[Comments]])/Posts_Cleaned[[#This Row],[Impressions]]),0)</f>
        <v>0.86601941747572819</v>
      </c>
      <c r="Q59" s="3" t="str">
        <f>_xlfn.TEXTJOIN(", ", TRUE, Posts_Cleaned[[#This Row],[Hashtags Used.1]], Posts_Cleaned[[#This Row],[Hashtags Used.2]], Posts_Cleaned[[#This Row],[Hashtags Used.3]])</f>
        <v>#TeslaCoInnovation</v>
      </c>
      <c r="R59" s="2">
        <f>VLOOKUP(Posts_Cleaned[[#This Row],[Campaign_Name]],'Campaign Metadata Dataset '!$A$2:$B$5,2,0)</f>
        <v>45717</v>
      </c>
      <c r="S59" s="2">
        <f>VLOOKUP(Posts_Cleaned[[#This Row],[Campaign_Name]],'Campaign Metadata Dataset '!$A$1:$C$5,3,0)</f>
        <v>45747</v>
      </c>
      <c r="T59" s="1" t="str">
        <f t="shared" si="1"/>
        <v>Before Campaign</v>
      </c>
      <c r="U59" s="1">
        <f>SUM(Posts_Cleaned[[#This Row],[Likes]]+Posts_Cleaned[[#This Row],[Shares]]+Posts_Cleaned[[#This Row],[Comments]]+Posts_Cleaned[[#This Row],[Clicks]])</f>
        <v>1154</v>
      </c>
      <c r="V59" s="1">
        <f ca="1">AVERAGEIF(Posts_Cleaned[[#This Row],[Period]]:T:T,"Before Campaign",Posts_Cleaned[[#This Row],[Engagement Rate ]])</f>
        <v>0.14329599382048425</v>
      </c>
      <c r="W59" s="5">
        <f t="shared" ca="1" si="2"/>
        <v>0.18471899853443713</v>
      </c>
      <c r="X59" s="6">
        <f ca="1">(Posts_Cleaned[[#This Row],[During ]]-Posts_Cleaned[[#This Row],[Before ]])/Posts_Cleaned[[#This Row],[During ]]</f>
        <v>0.22424875103591685</v>
      </c>
      <c r="Y59" s="1">
        <f>IFERROR(VLOOKUP(O59, 'Campaign Metadata Dataset '!$A$1:$G$5,5,0),0)</f>
        <v>180000</v>
      </c>
      <c r="Z59" s="1">
        <f t="shared" si="3"/>
        <v>6.4111111111111114E-3</v>
      </c>
      <c r="AA59" s="1">
        <f t="shared" ca="1" si="0"/>
        <v>0.22424875103591685</v>
      </c>
    </row>
    <row r="60" spans="1:27" x14ac:dyDescent="0.25">
      <c r="A60" t="s">
        <v>114</v>
      </c>
      <c r="B60" s="1" t="s">
        <v>33</v>
      </c>
      <c r="C60" s="2">
        <v>45465</v>
      </c>
      <c r="D60" s="1" t="s">
        <v>23</v>
      </c>
      <c r="E60" s="1" t="s">
        <v>82</v>
      </c>
      <c r="F60">
        <v>2180</v>
      </c>
      <c r="G60">
        <v>263</v>
      </c>
      <c r="H60">
        <v>387</v>
      </c>
      <c r="I60">
        <v>30520</v>
      </c>
      <c r="J60">
        <v>30059</v>
      </c>
      <c r="K60">
        <v>174</v>
      </c>
      <c r="L60" s="1" t="s">
        <v>36</v>
      </c>
      <c r="M60" s="1"/>
      <c r="N60" s="1"/>
      <c r="O60" s="1"/>
      <c r="P60" s="5">
        <f>IFERROR(((Posts_Cleaned[[#This Row],[Likes]]+Posts_Cleaned[[#This Row],[Shares]]+Posts_Cleaned[[#This Row],[Comments]])/Posts_Cleaned[[#This Row],[Impressions]]),0)</f>
        <v>9.2726081258191345E-2</v>
      </c>
      <c r="Q60" s="3" t="str">
        <f>_xlfn.TEXTJOIN(", ", TRUE, Posts_Cleaned[[#This Row],[Hashtags Used.1]], Posts_Cleaned[[#This Row],[Hashtags Used.2]], Posts_Cleaned[[#This Row],[Hashtags Used.3]])</f>
        <v>#EVRevolution</v>
      </c>
      <c r="R60" s="2" t="e">
        <f>VLOOKUP(Posts_Cleaned[[#This Row],[Campaign_Name]],'Campaign Metadata Dataset '!$A$2:$B$5,2,0)</f>
        <v>#N/A</v>
      </c>
      <c r="S60" s="2" t="e">
        <f>VLOOKUP(Posts_Cleaned[[#This Row],[Campaign_Name]],'Campaign Metadata Dataset '!$A$1:$C$5,3,0)</f>
        <v>#N/A</v>
      </c>
      <c r="T60" s="1" t="e">
        <f t="shared" si="1"/>
        <v>#N/A</v>
      </c>
      <c r="U60" s="1">
        <f>SUM(Posts_Cleaned[[#This Row],[Likes]]+Posts_Cleaned[[#This Row],[Shares]]+Posts_Cleaned[[#This Row],[Comments]]+Posts_Cleaned[[#This Row],[Clicks]])</f>
        <v>3004</v>
      </c>
      <c r="V60" s="1">
        <f ca="1">AVERAGEIF(Posts_Cleaned[[#This Row],[Period]]:T:T,"Before Campaign",Posts_Cleaned[[#This Row],[Engagement Rate ]])</f>
        <v>0.1540076663844252</v>
      </c>
      <c r="W60" s="5">
        <f t="shared" ca="1" si="2"/>
        <v>0.14206849345591277</v>
      </c>
      <c r="X60" s="6">
        <f ca="1">(Posts_Cleaned[[#This Row],[During ]]-Posts_Cleaned[[#This Row],[Before ]])/Posts_Cleaned[[#This Row],[During ]]</f>
        <v>-8.4038146939436925E-2</v>
      </c>
      <c r="Y60" s="1">
        <f>IFERROR(VLOOKUP(O60, 'Campaign Metadata Dataset '!$A$1:$G$5,5,0),0)</f>
        <v>0</v>
      </c>
      <c r="Z60" s="1">
        <v>0</v>
      </c>
      <c r="AA60" s="1">
        <f t="shared" ca="1" si="0"/>
        <v>-8.4038146939436925E-2</v>
      </c>
    </row>
    <row r="61" spans="1:27" x14ac:dyDescent="0.25">
      <c r="A61" t="s">
        <v>115</v>
      </c>
      <c r="B61" s="1" t="s">
        <v>33</v>
      </c>
      <c r="C61" s="2">
        <v>45685</v>
      </c>
      <c r="D61" s="1" t="s">
        <v>60</v>
      </c>
      <c r="E61" s="1" t="s">
        <v>67</v>
      </c>
      <c r="F61">
        <v>904</v>
      </c>
      <c r="G61">
        <v>973</v>
      </c>
      <c r="H61">
        <v>63</v>
      </c>
      <c r="I61">
        <v>11752</v>
      </c>
      <c r="J61">
        <v>11580</v>
      </c>
      <c r="K61">
        <v>84</v>
      </c>
      <c r="L61" s="1" t="s">
        <v>36</v>
      </c>
      <c r="M61" s="1" t="s">
        <v>25</v>
      </c>
      <c r="N61" s="1" t="s">
        <v>20</v>
      </c>
      <c r="O61" s="1" t="s">
        <v>31</v>
      </c>
      <c r="P61" s="5">
        <f>IFERROR(((Posts_Cleaned[[#This Row],[Likes]]+Posts_Cleaned[[#This Row],[Shares]]+Posts_Cleaned[[#This Row],[Comments]])/Posts_Cleaned[[#This Row],[Impressions]]),0)</f>
        <v>0.1650782845473111</v>
      </c>
      <c r="Q61" s="3" t="str">
        <f>_xlfn.TEXTJOIN(", ", TRUE, Posts_Cleaned[[#This Row],[Hashtags Used.1]], Posts_Cleaned[[#This Row],[Hashtags Used.2]], Posts_Cleaned[[#This Row],[Hashtags Used.3]])</f>
        <v>#EVRevolution, #TeslaCoInnovation, #AnytimeIsTeslaTime</v>
      </c>
      <c r="R61" s="2">
        <f>VLOOKUP(Posts_Cleaned[[#This Row],[Campaign_Name]],'Campaign Metadata Dataset '!$A$2:$B$5,2,0)</f>
        <v>45651</v>
      </c>
      <c r="S61" s="2">
        <f>VLOOKUP(Posts_Cleaned[[#This Row],[Campaign_Name]],'Campaign Metadata Dataset '!$A$1:$C$5,3,0)</f>
        <v>45667</v>
      </c>
      <c r="T61" s="1" t="str">
        <f t="shared" si="1"/>
        <v>Before Campaign</v>
      </c>
      <c r="U61" s="1">
        <f>SUM(Posts_Cleaned[[#This Row],[Likes]]+Posts_Cleaned[[#This Row],[Shares]]+Posts_Cleaned[[#This Row],[Comments]]+Posts_Cleaned[[#This Row],[Clicks]])</f>
        <v>2024</v>
      </c>
      <c r="V61" s="1">
        <f ca="1">AVERAGEIF(Posts_Cleaned[[#This Row],[Period]]:T:T,"Before Campaign",Posts_Cleaned[[#This Row],[Engagement Rate ]])</f>
        <v>0.14828397456829345</v>
      </c>
      <c r="W61" s="5">
        <f t="shared" ca="1" si="2"/>
        <v>0.1387981308044815</v>
      </c>
      <c r="X61" s="6">
        <f ca="1">(Posts_Cleaned[[#This Row],[During ]]-Posts_Cleaned[[#This Row],[Before ]])/Posts_Cleaned[[#This Row],[During ]]</f>
        <v>-6.8342734220061083E-2</v>
      </c>
      <c r="Y61" s="1">
        <f>IFERROR(VLOOKUP(O61, 'Campaign Metadata Dataset '!$A$1:$G$5,5,0),0)</f>
        <v>250000</v>
      </c>
      <c r="Z61" s="1">
        <f t="shared" si="3"/>
        <v>8.0960000000000008E-3</v>
      </c>
      <c r="AA61" s="1">
        <f t="shared" ca="1" si="0"/>
        <v>-6.8342734220061083E-2</v>
      </c>
    </row>
    <row r="62" spans="1:27" x14ac:dyDescent="0.25">
      <c r="A62" t="s">
        <v>116</v>
      </c>
      <c r="B62" s="1" t="s">
        <v>16</v>
      </c>
      <c r="C62" s="2">
        <v>45540</v>
      </c>
      <c r="D62" s="1" t="s">
        <v>60</v>
      </c>
      <c r="E62" s="1" t="s">
        <v>99</v>
      </c>
      <c r="F62">
        <v>4886</v>
      </c>
      <c r="G62">
        <v>983</v>
      </c>
      <c r="H62">
        <v>409</v>
      </c>
      <c r="I62">
        <v>43974</v>
      </c>
      <c r="J62">
        <v>43239</v>
      </c>
      <c r="K62">
        <v>65</v>
      </c>
      <c r="L62" s="1" t="s">
        <v>25</v>
      </c>
      <c r="M62" s="1"/>
      <c r="N62" s="1"/>
      <c r="O62" s="1" t="s">
        <v>21</v>
      </c>
      <c r="P62" s="5">
        <f>IFERROR(((Posts_Cleaned[[#This Row],[Likes]]+Posts_Cleaned[[#This Row],[Shares]]+Posts_Cleaned[[#This Row],[Comments]])/Posts_Cleaned[[#This Row],[Impressions]]),0)</f>
        <v>0.14276618001546368</v>
      </c>
      <c r="Q62" s="3" t="str">
        <f>_xlfn.TEXTJOIN(", ", TRUE, Posts_Cleaned[[#This Row],[Hashtags Used.1]], Posts_Cleaned[[#This Row],[Hashtags Used.2]], Posts_Cleaned[[#This Row],[Hashtags Used.3]])</f>
        <v>#TeslaCoInnovation</v>
      </c>
      <c r="R62" s="2">
        <f>VLOOKUP(Posts_Cleaned[[#This Row],[Campaign_Name]],'Campaign Metadata Dataset '!$A$2:$B$5,2,0)</f>
        <v>45458</v>
      </c>
      <c r="S62" s="2">
        <f>VLOOKUP(Posts_Cleaned[[#This Row],[Campaign_Name]],'Campaign Metadata Dataset '!$A$1:$C$5,3,0)</f>
        <v>45488</v>
      </c>
      <c r="T62" s="1" t="str">
        <f t="shared" si="1"/>
        <v>Before Campaign</v>
      </c>
      <c r="U62" s="1">
        <f>SUM(Posts_Cleaned[[#This Row],[Likes]]+Posts_Cleaned[[#This Row],[Shares]]+Posts_Cleaned[[#This Row],[Comments]]+Posts_Cleaned[[#This Row],[Clicks]])</f>
        <v>6343</v>
      </c>
      <c r="V62" s="1">
        <f ca="1">AVERAGEIF(Posts_Cleaned[[#This Row],[Period]]:T:T,"Before Campaign",Posts_Cleaned[[#This Row],[Engagement Rate ]])</f>
        <v>0.15769276659384276</v>
      </c>
      <c r="W62" s="5">
        <f t="shared" ca="1" si="2"/>
        <v>0.13547714331099264</v>
      </c>
      <c r="X62" s="6">
        <f ca="1">(Posts_Cleaned[[#This Row],[During ]]-Posts_Cleaned[[#This Row],[Before ]])/Posts_Cleaned[[#This Row],[During ]]</f>
        <v>-0.16398060026888345</v>
      </c>
      <c r="Y62" s="1">
        <f>IFERROR(VLOOKUP(O62, 'Campaign Metadata Dataset '!$A$1:$G$5,5,0),0)</f>
        <v>150000</v>
      </c>
      <c r="Z62" s="1">
        <f t="shared" si="3"/>
        <v>4.2286666666666667E-2</v>
      </c>
      <c r="AA62" s="1">
        <f t="shared" ca="1" si="0"/>
        <v>-0.16398060026888345</v>
      </c>
    </row>
    <row r="63" spans="1:27" x14ac:dyDescent="0.25">
      <c r="A63" t="s">
        <v>117</v>
      </c>
      <c r="B63" s="1" t="s">
        <v>16</v>
      </c>
      <c r="C63" s="2">
        <v>45618</v>
      </c>
      <c r="D63" s="1" t="s">
        <v>41</v>
      </c>
      <c r="E63" s="1" t="s">
        <v>44</v>
      </c>
      <c r="F63">
        <v>53</v>
      </c>
      <c r="G63">
        <v>81</v>
      </c>
      <c r="H63">
        <v>379</v>
      </c>
      <c r="I63">
        <v>954</v>
      </c>
      <c r="J63">
        <v>7</v>
      </c>
      <c r="K63">
        <v>148</v>
      </c>
      <c r="L63" s="1" t="s">
        <v>25</v>
      </c>
      <c r="M63" s="1"/>
      <c r="N63" s="1"/>
      <c r="O63" s="1" t="s">
        <v>31</v>
      </c>
      <c r="P63" s="5">
        <f>IFERROR(((Posts_Cleaned[[#This Row],[Likes]]+Posts_Cleaned[[#This Row],[Shares]]+Posts_Cleaned[[#This Row],[Comments]])/Posts_Cleaned[[#This Row],[Impressions]]),0)</f>
        <v>0.53773584905660377</v>
      </c>
      <c r="Q63" s="3" t="str">
        <f>_xlfn.TEXTJOIN(", ", TRUE, Posts_Cleaned[[#This Row],[Hashtags Used.1]], Posts_Cleaned[[#This Row],[Hashtags Used.2]], Posts_Cleaned[[#This Row],[Hashtags Used.3]])</f>
        <v>#TeslaCoInnovation</v>
      </c>
      <c r="R63" s="2">
        <f>VLOOKUP(Posts_Cleaned[[#This Row],[Campaign_Name]],'Campaign Metadata Dataset '!$A$2:$B$5,2,0)</f>
        <v>45651</v>
      </c>
      <c r="S63" s="2">
        <f>VLOOKUP(Posts_Cleaned[[#This Row],[Campaign_Name]],'Campaign Metadata Dataset '!$A$1:$C$5,3,0)</f>
        <v>45667</v>
      </c>
      <c r="T63" s="1" t="str">
        <f t="shared" si="1"/>
        <v>Before Campaign</v>
      </c>
      <c r="U63" s="1">
        <f>SUM(Posts_Cleaned[[#This Row],[Likes]]+Posts_Cleaned[[#This Row],[Shares]]+Posts_Cleaned[[#This Row],[Comments]]+Posts_Cleaned[[#This Row],[Clicks]])</f>
        <v>661</v>
      </c>
      <c r="V63" s="1">
        <f ca="1">AVERAGEIF(Posts_Cleaned[[#This Row],[Period]]:T:T,"Before Campaign",Posts_Cleaned[[#This Row],[Engagement Rate ]])</f>
        <v>0.15386860607335659</v>
      </c>
      <c r="W63" s="5">
        <f t="shared" ca="1" si="2"/>
        <v>0.1727258691441716</v>
      </c>
      <c r="X63" s="6">
        <f ca="1">(Posts_Cleaned[[#This Row],[During ]]-Posts_Cleaned[[#This Row],[Before ]])/Posts_Cleaned[[#This Row],[During ]]</f>
        <v>0.10917451545764197</v>
      </c>
      <c r="Y63" s="1">
        <f>IFERROR(VLOOKUP(O63, 'Campaign Metadata Dataset '!$A$1:$G$5,5,0),0)</f>
        <v>250000</v>
      </c>
      <c r="Z63" s="1">
        <f t="shared" si="3"/>
        <v>2.6440000000000001E-3</v>
      </c>
      <c r="AA63" s="1">
        <f t="shared" ca="1" si="0"/>
        <v>0.10917451545764197</v>
      </c>
    </row>
    <row r="64" spans="1:27" x14ac:dyDescent="0.25">
      <c r="A64" t="s">
        <v>118</v>
      </c>
      <c r="B64" s="1" t="s">
        <v>16</v>
      </c>
      <c r="C64" s="2">
        <v>45504</v>
      </c>
      <c r="D64" s="1" t="s">
        <v>41</v>
      </c>
      <c r="E64" s="1" t="s">
        <v>44</v>
      </c>
      <c r="F64">
        <v>4507</v>
      </c>
      <c r="G64">
        <v>217</v>
      </c>
      <c r="H64">
        <v>13</v>
      </c>
      <c r="I64">
        <v>90140</v>
      </c>
      <c r="J64">
        <v>89591</v>
      </c>
      <c r="K64">
        <v>125</v>
      </c>
      <c r="L64" s="1" t="s">
        <v>19</v>
      </c>
      <c r="M64" s="1"/>
      <c r="N64" s="1"/>
      <c r="O64" s="1" t="s">
        <v>31</v>
      </c>
      <c r="P64" s="5">
        <f>IFERROR(((Posts_Cleaned[[#This Row],[Likes]]+Posts_Cleaned[[#This Row],[Shares]]+Posts_Cleaned[[#This Row],[Comments]])/Posts_Cleaned[[#This Row],[Impressions]]),0)</f>
        <v>5.2551586421122697E-2</v>
      </c>
      <c r="Q64" s="3" t="str">
        <f>_xlfn.TEXTJOIN(", ", TRUE, Posts_Cleaned[[#This Row],[Hashtags Used.1]], Posts_Cleaned[[#This Row],[Hashtags Used.2]], Posts_Cleaned[[#This Row],[Hashtags Used.3]])</f>
        <v>#FutureOfDriving</v>
      </c>
      <c r="R64" s="2">
        <f>VLOOKUP(Posts_Cleaned[[#This Row],[Campaign_Name]],'Campaign Metadata Dataset '!$A$2:$B$5,2,0)</f>
        <v>45651</v>
      </c>
      <c r="S64" s="2">
        <f>VLOOKUP(Posts_Cleaned[[#This Row],[Campaign_Name]],'Campaign Metadata Dataset '!$A$1:$C$5,3,0)</f>
        <v>45667</v>
      </c>
      <c r="T64" s="1" t="str">
        <f t="shared" si="1"/>
        <v>Before Campaign</v>
      </c>
      <c r="U64" s="1">
        <f>SUM(Posts_Cleaned[[#This Row],[Likes]]+Posts_Cleaned[[#This Row],[Shares]]+Posts_Cleaned[[#This Row],[Comments]]+Posts_Cleaned[[#This Row],[Clicks]])</f>
        <v>4862</v>
      </c>
      <c r="V64" s="1">
        <f ca="1">AVERAGEIF(Posts_Cleaned[[#This Row],[Period]]:T:T,"Before Campaign",Posts_Cleaned[[#This Row],[Engagement Rate ]])</f>
        <v>0.15246490178352995</v>
      </c>
      <c r="W64" s="5">
        <f t="shared" ca="1" si="2"/>
        <v>0.15456754867012806</v>
      </c>
      <c r="X64" s="6">
        <f ca="1">(Posts_Cleaned[[#This Row],[During ]]-Posts_Cleaned[[#This Row],[Before ]])/Posts_Cleaned[[#This Row],[During ]]</f>
        <v>1.3603417435864884E-2</v>
      </c>
      <c r="Y64" s="1">
        <f>IFERROR(VLOOKUP(O64, 'Campaign Metadata Dataset '!$A$1:$G$5,5,0),0)</f>
        <v>250000</v>
      </c>
      <c r="Z64" s="1">
        <f t="shared" si="3"/>
        <v>1.9448E-2</v>
      </c>
      <c r="AA64" s="1">
        <f t="shared" ca="1" si="0"/>
        <v>1.3603417435864884E-2</v>
      </c>
    </row>
    <row r="65" spans="1:27" x14ac:dyDescent="0.25">
      <c r="A65" t="s">
        <v>119</v>
      </c>
      <c r="B65" s="1" t="s">
        <v>40</v>
      </c>
      <c r="C65" s="2">
        <v>45521</v>
      </c>
      <c r="D65" s="1" t="s">
        <v>46</v>
      </c>
      <c r="E65" s="1" t="s">
        <v>51</v>
      </c>
      <c r="F65">
        <v>2878</v>
      </c>
      <c r="G65">
        <v>248</v>
      </c>
      <c r="H65">
        <v>416</v>
      </c>
      <c r="I65">
        <v>43170</v>
      </c>
      <c r="J65">
        <v>42667</v>
      </c>
      <c r="K65">
        <v>75</v>
      </c>
      <c r="L65" s="1" t="s">
        <v>19</v>
      </c>
      <c r="M65" s="1"/>
      <c r="N65" s="1"/>
      <c r="O65" s="1" t="s">
        <v>31</v>
      </c>
      <c r="P65" s="5">
        <f>IFERROR(((Posts_Cleaned[[#This Row],[Likes]]+Posts_Cleaned[[#This Row],[Shares]]+Posts_Cleaned[[#This Row],[Comments]])/Posts_Cleaned[[#This Row],[Impressions]]),0)</f>
        <v>8.2047718322909427E-2</v>
      </c>
      <c r="Q65" s="3" t="str">
        <f>_xlfn.TEXTJOIN(", ", TRUE, Posts_Cleaned[[#This Row],[Hashtags Used.1]], Posts_Cleaned[[#This Row],[Hashtags Used.2]], Posts_Cleaned[[#This Row],[Hashtags Used.3]])</f>
        <v>#FutureOfDriving</v>
      </c>
      <c r="R65" s="2">
        <f>VLOOKUP(Posts_Cleaned[[#This Row],[Campaign_Name]],'Campaign Metadata Dataset '!$A$2:$B$5,2,0)</f>
        <v>45651</v>
      </c>
      <c r="S65" s="2">
        <f>VLOOKUP(Posts_Cleaned[[#This Row],[Campaign_Name]],'Campaign Metadata Dataset '!$A$1:$C$5,3,0)</f>
        <v>45667</v>
      </c>
      <c r="T65" s="1" t="str">
        <f t="shared" si="1"/>
        <v>Before Campaign</v>
      </c>
      <c r="U65" s="1">
        <f>SUM(Posts_Cleaned[[#This Row],[Likes]]+Posts_Cleaned[[#This Row],[Shares]]+Posts_Cleaned[[#This Row],[Comments]]+Posts_Cleaned[[#This Row],[Clicks]])</f>
        <v>3617</v>
      </c>
      <c r="V65" s="1">
        <f ca="1">AVERAGEIF(Posts_Cleaned[[#This Row],[Period]]:T:T,"Before Campaign",Posts_Cleaned[[#This Row],[Engagement Rate ]])</f>
        <v>0.14447585947753111</v>
      </c>
      <c r="W65" s="5">
        <f t="shared" ca="1" si="2"/>
        <v>0.14962319091977277</v>
      </c>
      <c r="X65" s="6">
        <f ca="1">(Posts_Cleaned[[#This Row],[During ]]-Posts_Cleaned[[#This Row],[Before ]])/Posts_Cleaned[[#This Row],[During ]]</f>
        <v>3.4401962761251625E-2</v>
      </c>
      <c r="Y65" s="1">
        <f>IFERROR(VLOOKUP(O65, 'Campaign Metadata Dataset '!$A$1:$G$5,5,0),0)</f>
        <v>250000</v>
      </c>
      <c r="Z65" s="1">
        <f t="shared" si="3"/>
        <v>1.4468E-2</v>
      </c>
      <c r="AA65" s="1">
        <f t="shared" ca="1" si="0"/>
        <v>3.4401962761251625E-2</v>
      </c>
    </row>
    <row r="66" spans="1:27" x14ac:dyDescent="0.25">
      <c r="A66" t="s">
        <v>120</v>
      </c>
      <c r="B66" s="1" t="s">
        <v>33</v>
      </c>
      <c r="C66" s="2">
        <v>45744</v>
      </c>
      <c r="D66" s="1" t="s">
        <v>34</v>
      </c>
      <c r="E66" s="1" t="s">
        <v>35</v>
      </c>
      <c r="F66">
        <v>1881</v>
      </c>
      <c r="G66">
        <v>501</v>
      </c>
      <c r="H66">
        <v>99</v>
      </c>
      <c r="I66">
        <v>20691</v>
      </c>
      <c r="J66">
        <v>19987</v>
      </c>
      <c r="K66">
        <v>289</v>
      </c>
      <c r="L66" s="1" t="s">
        <v>36</v>
      </c>
      <c r="M66" s="1"/>
      <c r="N66" s="1"/>
      <c r="O66" s="1"/>
      <c r="P66" s="5">
        <f>IFERROR(((Posts_Cleaned[[#This Row],[Likes]]+Posts_Cleaned[[#This Row],[Shares]]+Posts_Cleaned[[#This Row],[Comments]])/Posts_Cleaned[[#This Row],[Impressions]]),0)</f>
        <v>0.11990720603160794</v>
      </c>
      <c r="Q66" s="3" t="str">
        <f>_xlfn.TEXTJOIN(", ", TRUE, Posts_Cleaned[[#This Row],[Hashtags Used.1]], Posts_Cleaned[[#This Row],[Hashtags Used.2]], Posts_Cleaned[[#This Row],[Hashtags Used.3]])</f>
        <v>#EVRevolution</v>
      </c>
      <c r="R66" s="2" t="e">
        <f>VLOOKUP(Posts_Cleaned[[#This Row],[Campaign_Name]],'Campaign Metadata Dataset '!$A$2:$B$5,2,0)</f>
        <v>#N/A</v>
      </c>
      <c r="S66" s="2" t="e">
        <f>VLOOKUP(Posts_Cleaned[[#This Row],[Campaign_Name]],'Campaign Metadata Dataset '!$A$1:$C$5,3,0)</f>
        <v>#N/A</v>
      </c>
      <c r="T66" s="1" t="e">
        <f t="shared" ref="T66:T129" si="4">IF(AND(C66&gt;R66, C66&lt;=S66),"During Campaign","Before Campaign")</f>
        <v>#N/A</v>
      </c>
      <c r="U66" s="1">
        <f>SUM(Posts_Cleaned[[#This Row],[Likes]]+Posts_Cleaned[[#This Row],[Shares]]+Posts_Cleaned[[#This Row],[Comments]]+Posts_Cleaned[[#This Row],[Clicks]])</f>
        <v>2770</v>
      </c>
      <c r="V66" s="1">
        <f ca="1">AVERAGEIF(Posts_Cleaned[[#This Row],[Period]]:T:T,"Before Campaign",Posts_Cleaned[[#This Row],[Engagement Rate ]])</f>
        <v>0.15266477689280536</v>
      </c>
      <c r="W66" s="5">
        <f t="shared" ca="1" si="2"/>
        <v>0.23702734895721295</v>
      </c>
      <c r="X66" s="6">
        <f ca="1">(Posts_Cleaned[[#This Row],[During ]]-Posts_Cleaned[[#This Row],[Before ]])/Posts_Cleaned[[#This Row],[During ]]</f>
        <v>0.35591914787705076</v>
      </c>
      <c r="Y66" s="1">
        <f>IFERROR(VLOOKUP(O66, 'Campaign Metadata Dataset '!$A$1:$G$5,5,0),0)</f>
        <v>0</v>
      </c>
      <c r="Z66" s="1">
        <v>0</v>
      </c>
      <c r="AA66" s="1">
        <f t="shared" ref="AA66:AA129" ca="1" si="5">(W:W-V:V)/W:W</f>
        <v>0.35591914787705076</v>
      </c>
    </row>
    <row r="67" spans="1:27" x14ac:dyDescent="0.25">
      <c r="A67" t="s">
        <v>121</v>
      </c>
      <c r="B67" s="1" t="s">
        <v>16</v>
      </c>
      <c r="C67" s="2">
        <v>45499</v>
      </c>
      <c r="D67" s="1" t="s">
        <v>41</v>
      </c>
      <c r="E67" s="1" t="s">
        <v>44</v>
      </c>
      <c r="F67">
        <v>432</v>
      </c>
      <c r="G67">
        <v>171</v>
      </c>
      <c r="H67">
        <v>280</v>
      </c>
      <c r="I67">
        <v>3024</v>
      </c>
      <c r="J67">
        <v>2285</v>
      </c>
      <c r="K67">
        <v>184</v>
      </c>
      <c r="L67" s="1" t="s">
        <v>36</v>
      </c>
      <c r="M67" s="1"/>
      <c r="N67" s="1"/>
      <c r="O67" s="1" t="s">
        <v>21</v>
      </c>
      <c r="P67" s="5">
        <f>IFERROR(((Posts_Cleaned[[#This Row],[Likes]]+Posts_Cleaned[[#This Row],[Shares]]+Posts_Cleaned[[#This Row],[Comments]])/Posts_Cleaned[[#This Row],[Impressions]]),0)</f>
        <v>0.29199735449735448</v>
      </c>
      <c r="Q67" s="3" t="str">
        <f>_xlfn.TEXTJOIN(", ", TRUE, Posts_Cleaned[[#This Row],[Hashtags Used.1]], Posts_Cleaned[[#This Row],[Hashtags Used.2]], Posts_Cleaned[[#This Row],[Hashtags Used.3]])</f>
        <v>#EVRevolution</v>
      </c>
      <c r="R67" s="2">
        <f>VLOOKUP(Posts_Cleaned[[#This Row],[Campaign_Name]],'Campaign Metadata Dataset '!$A$2:$B$5,2,0)</f>
        <v>45458</v>
      </c>
      <c r="S67" s="2">
        <f>VLOOKUP(Posts_Cleaned[[#This Row],[Campaign_Name]],'Campaign Metadata Dataset '!$A$1:$C$5,3,0)</f>
        <v>45488</v>
      </c>
      <c r="T67" s="1" t="str">
        <f t="shared" si="4"/>
        <v>Before Campaign</v>
      </c>
      <c r="U67" s="1">
        <f>SUM(Posts_Cleaned[[#This Row],[Likes]]+Posts_Cleaned[[#This Row],[Shares]]+Posts_Cleaned[[#This Row],[Comments]]+Posts_Cleaned[[#This Row],[Clicks]])</f>
        <v>1067</v>
      </c>
      <c r="V67" s="1">
        <f ca="1">AVERAGEIF(Posts_Cleaned[[#This Row],[Period]]:T:T,"Before Campaign",Posts_Cleaned[[#This Row],[Engagement Rate ]])</f>
        <v>0.15850944285263149</v>
      </c>
      <c r="W67" s="5">
        <f t="shared" ref="W67:W130" ca="1" si="6">AVERAGEIF($T$2:$T$302,"During Campaign",P67)</f>
        <v>0.16301140224175917</v>
      </c>
      <c r="X67" s="6">
        <f ca="1">(Posts_Cleaned[[#This Row],[During ]]-Posts_Cleaned[[#This Row],[Before ]])/Posts_Cleaned[[#This Row],[During ]]</f>
        <v>2.7617450848321044E-2</v>
      </c>
      <c r="Y67" s="1">
        <f>IFERROR(VLOOKUP(O67, 'Campaign Metadata Dataset '!$A$1:$G$5,5,0),0)</f>
        <v>150000</v>
      </c>
      <c r="Z67" s="1">
        <f t="shared" ref="Z67:Z128" si="7">(F:F+G:G+H:H+K:K)/Y:Y</f>
        <v>7.1133333333333335E-3</v>
      </c>
      <c r="AA67" s="1">
        <f t="shared" ca="1" si="5"/>
        <v>2.7617450848321044E-2</v>
      </c>
    </row>
    <row r="68" spans="1:27" x14ac:dyDescent="0.25">
      <c r="A68" t="s">
        <v>122</v>
      </c>
      <c r="B68" s="1" t="s">
        <v>40</v>
      </c>
      <c r="C68" s="2">
        <v>45745</v>
      </c>
      <c r="D68" s="1" t="s">
        <v>41</v>
      </c>
      <c r="E68" s="1" t="s">
        <v>42</v>
      </c>
      <c r="F68">
        <v>4712</v>
      </c>
      <c r="G68">
        <v>568</v>
      </c>
      <c r="H68">
        <v>127</v>
      </c>
      <c r="I68">
        <v>84816</v>
      </c>
      <c r="J68">
        <v>84691</v>
      </c>
      <c r="K68">
        <v>100</v>
      </c>
      <c r="L68" s="1" t="s">
        <v>36</v>
      </c>
      <c r="M68" s="1"/>
      <c r="N68" s="1"/>
      <c r="O68" s="1" t="s">
        <v>31</v>
      </c>
      <c r="P68" s="5">
        <f>IFERROR(((Posts_Cleaned[[#This Row],[Likes]]+Posts_Cleaned[[#This Row],[Shares]]+Posts_Cleaned[[#This Row],[Comments]])/Posts_Cleaned[[#This Row],[Impressions]]),0)</f>
        <v>6.3749764195434822E-2</v>
      </c>
      <c r="Q68" s="3" t="str">
        <f>_xlfn.TEXTJOIN(", ", TRUE, Posts_Cleaned[[#This Row],[Hashtags Used.1]], Posts_Cleaned[[#This Row],[Hashtags Used.2]], Posts_Cleaned[[#This Row],[Hashtags Used.3]])</f>
        <v>#EVRevolution</v>
      </c>
      <c r="R68" s="2">
        <f>VLOOKUP(Posts_Cleaned[[#This Row],[Campaign_Name]],'Campaign Metadata Dataset '!$A$2:$B$5,2,0)</f>
        <v>45651</v>
      </c>
      <c r="S68" s="2">
        <f>VLOOKUP(Posts_Cleaned[[#This Row],[Campaign_Name]],'Campaign Metadata Dataset '!$A$1:$C$5,3,0)</f>
        <v>45667</v>
      </c>
      <c r="T68" s="1" t="str">
        <f t="shared" si="4"/>
        <v>Before Campaign</v>
      </c>
      <c r="U68" s="1">
        <f>SUM(Posts_Cleaned[[#This Row],[Likes]]+Posts_Cleaned[[#This Row],[Shares]]+Posts_Cleaned[[#This Row],[Comments]]+Posts_Cleaned[[#This Row],[Clicks]])</f>
        <v>5507</v>
      </c>
      <c r="V68" s="1">
        <f ca="1">AVERAGEIF(Posts_Cleaned[[#This Row],[Period]]:T:T,"Before Campaign",Posts_Cleaned[[#This Row],[Engagement Rate ]])</f>
        <v>0.14998345047341574</v>
      </c>
      <c r="W68" s="5">
        <f t="shared" ca="1" si="6"/>
        <v>0.11820758606946029</v>
      </c>
      <c r="X68" s="6">
        <f ca="1">(Posts_Cleaned[[#This Row],[During ]]-Posts_Cleaned[[#This Row],[Before ]])/Posts_Cleaned[[#This Row],[During ]]</f>
        <v>-0.26881408766171361</v>
      </c>
      <c r="Y68" s="1">
        <f>IFERROR(VLOOKUP(O68, 'Campaign Metadata Dataset '!$A$1:$G$5,5,0),0)</f>
        <v>250000</v>
      </c>
      <c r="Z68" s="1">
        <f t="shared" si="7"/>
        <v>2.2027999999999999E-2</v>
      </c>
      <c r="AA68" s="1">
        <f t="shared" ca="1" si="5"/>
        <v>-0.26881408766171361</v>
      </c>
    </row>
    <row r="69" spans="1:27" x14ac:dyDescent="0.25">
      <c r="A69" t="s">
        <v>123</v>
      </c>
      <c r="B69" s="1" t="s">
        <v>33</v>
      </c>
      <c r="C69" s="2">
        <v>45634</v>
      </c>
      <c r="D69" s="1" t="s">
        <v>34</v>
      </c>
      <c r="E69" s="1" t="s">
        <v>35</v>
      </c>
      <c r="F69">
        <v>2610</v>
      </c>
      <c r="G69">
        <v>126</v>
      </c>
      <c r="H69">
        <v>288</v>
      </c>
      <c r="I69">
        <v>15660</v>
      </c>
      <c r="J69">
        <v>15145</v>
      </c>
      <c r="K69">
        <v>73</v>
      </c>
      <c r="L69" s="1" t="s">
        <v>36</v>
      </c>
      <c r="M69" s="1"/>
      <c r="N69" s="1"/>
      <c r="O69" s="1"/>
      <c r="P69" s="5">
        <f>IFERROR(((Posts_Cleaned[[#This Row],[Likes]]+Posts_Cleaned[[#This Row],[Shares]]+Posts_Cleaned[[#This Row],[Comments]])/Posts_Cleaned[[#This Row],[Impressions]]),0)</f>
        <v>0.19310344827586207</v>
      </c>
      <c r="Q69" s="3" t="str">
        <f>_xlfn.TEXTJOIN(", ", TRUE, Posts_Cleaned[[#This Row],[Hashtags Used.1]], Posts_Cleaned[[#This Row],[Hashtags Used.2]], Posts_Cleaned[[#This Row],[Hashtags Used.3]])</f>
        <v>#EVRevolution</v>
      </c>
      <c r="R69" s="2" t="e">
        <f>VLOOKUP(Posts_Cleaned[[#This Row],[Campaign_Name]],'Campaign Metadata Dataset '!$A$2:$B$5,2,0)</f>
        <v>#N/A</v>
      </c>
      <c r="S69" s="2" t="e">
        <f>VLOOKUP(Posts_Cleaned[[#This Row],[Campaign_Name]],'Campaign Metadata Dataset '!$A$1:$C$5,3,0)</f>
        <v>#N/A</v>
      </c>
      <c r="T69" s="1" t="e">
        <f t="shared" si="4"/>
        <v>#N/A</v>
      </c>
      <c r="U69" s="1">
        <f>SUM(Posts_Cleaned[[#This Row],[Likes]]+Posts_Cleaned[[#This Row],[Shares]]+Posts_Cleaned[[#This Row],[Comments]]+Posts_Cleaned[[#This Row],[Clicks]])</f>
        <v>3097</v>
      </c>
      <c r="V69" s="1">
        <f ca="1">AVERAGEIF(Posts_Cleaned[[#This Row],[Period]]:T:T,"Before Campaign",Posts_Cleaned[[#This Row],[Engagement Rate ]])</f>
        <v>0.15264070605642985</v>
      </c>
      <c r="W69" s="5">
        <f t="shared" ca="1" si="6"/>
        <v>0.20558691193796735</v>
      </c>
      <c r="X69" s="6">
        <f ca="1">(Posts_Cleaned[[#This Row],[During ]]-Posts_Cleaned[[#This Row],[Before ]])/Posts_Cleaned[[#This Row],[During ]]</f>
        <v>0.25753685087459849</v>
      </c>
      <c r="Y69" s="1">
        <f>IFERROR(VLOOKUP(O69, 'Campaign Metadata Dataset '!$A$1:$G$5,5,0),0)</f>
        <v>0</v>
      </c>
      <c r="Z69" s="1">
        <v>0</v>
      </c>
      <c r="AA69" s="1">
        <f t="shared" ca="1" si="5"/>
        <v>0.25753685087459849</v>
      </c>
    </row>
    <row r="70" spans="1:27" x14ac:dyDescent="0.25">
      <c r="A70" t="s">
        <v>124</v>
      </c>
      <c r="B70" s="1" t="s">
        <v>16</v>
      </c>
      <c r="C70" s="2">
        <v>45724</v>
      </c>
      <c r="D70" s="1" t="s">
        <v>23</v>
      </c>
      <c r="E70" s="1" t="s">
        <v>24</v>
      </c>
      <c r="F70">
        <v>1292</v>
      </c>
      <c r="G70">
        <v>626</v>
      </c>
      <c r="H70">
        <v>496</v>
      </c>
      <c r="I70">
        <v>25840</v>
      </c>
      <c r="J70">
        <v>24916</v>
      </c>
      <c r="K70">
        <v>149</v>
      </c>
      <c r="L70" s="1" t="s">
        <v>19</v>
      </c>
      <c r="M70" s="1"/>
      <c r="N70" s="1"/>
      <c r="O70" s="1" t="s">
        <v>31</v>
      </c>
      <c r="P70" s="5">
        <f>IFERROR(((Posts_Cleaned[[#This Row],[Likes]]+Posts_Cleaned[[#This Row],[Shares]]+Posts_Cleaned[[#This Row],[Comments]])/Posts_Cleaned[[#This Row],[Impressions]]),0)</f>
        <v>9.3421052631578946E-2</v>
      </c>
      <c r="Q70" s="3" t="str">
        <f>_xlfn.TEXTJOIN(", ", TRUE, Posts_Cleaned[[#This Row],[Hashtags Used.1]], Posts_Cleaned[[#This Row],[Hashtags Used.2]], Posts_Cleaned[[#This Row],[Hashtags Used.3]])</f>
        <v>#FutureOfDriving</v>
      </c>
      <c r="R70" s="2">
        <f>VLOOKUP(Posts_Cleaned[[#This Row],[Campaign_Name]],'Campaign Metadata Dataset '!$A$2:$B$5,2,0)</f>
        <v>45651</v>
      </c>
      <c r="S70" s="2">
        <f>VLOOKUP(Posts_Cleaned[[#This Row],[Campaign_Name]],'Campaign Metadata Dataset '!$A$1:$C$5,3,0)</f>
        <v>45667</v>
      </c>
      <c r="T70" s="1" t="str">
        <f t="shared" si="4"/>
        <v>Before Campaign</v>
      </c>
      <c r="U70" s="1">
        <f>SUM(Posts_Cleaned[[#This Row],[Likes]]+Posts_Cleaned[[#This Row],[Shares]]+Posts_Cleaned[[#This Row],[Comments]]+Posts_Cleaned[[#This Row],[Clicks]])</f>
        <v>2563</v>
      </c>
      <c r="V70" s="1">
        <f ca="1">AVERAGEIF(Posts_Cleaned[[#This Row],[Period]]:T:T,"Before Campaign",Posts_Cleaned[[#This Row],[Engagement Rate ]])</f>
        <v>0.157273136060433</v>
      </c>
      <c r="W70" s="5">
        <f t="shared" ca="1" si="6"/>
        <v>0.15249123274599879</v>
      </c>
      <c r="X70" s="6">
        <f ca="1">(Posts_Cleaned[[#This Row],[During ]]-Posts_Cleaned[[#This Row],[Before ]])/Posts_Cleaned[[#This Row],[During ]]</f>
        <v>-3.1358545854234865E-2</v>
      </c>
      <c r="Y70" s="1">
        <f>IFERROR(VLOOKUP(O70, 'Campaign Metadata Dataset '!$A$1:$G$5,5,0),0)</f>
        <v>250000</v>
      </c>
      <c r="Z70" s="1">
        <f t="shared" si="7"/>
        <v>1.0252000000000001E-2</v>
      </c>
      <c r="AA70" s="1">
        <f t="shared" ca="1" si="5"/>
        <v>-3.1358545854234865E-2</v>
      </c>
    </row>
    <row r="71" spans="1:27" x14ac:dyDescent="0.25">
      <c r="A71" t="s">
        <v>125</v>
      </c>
      <c r="B71" s="1" t="s">
        <v>40</v>
      </c>
      <c r="C71" s="2">
        <v>45749</v>
      </c>
      <c r="D71" s="1" t="s">
        <v>60</v>
      </c>
      <c r="E71" s="1" t="s">
        <v>61</v>
      </c>
      <c r="F71">
        <v>199</v>
      </c>
      <c r="G71">
        <v>772</v>
      </c>
      <c r="H71">
        <v>400</v>
      </c>
      <c r="I71">
        <v>3582</v>
      </c>
      <c r="J71">
        <v>2988</v>
      </c>
      <c r="K71">
        <v>43</v>
      </c>
      <c r="L71" s="1" t="s">
        <v>25</v>
      </c>
      <c r="M71" s="1"/>
      <c r="N71" s="1"/>
      <c r="O71" s="1"/>
      <c r="P71" s="5">
        <f>IFERROR(((Posts_Cleaned[[#This Row],[Likes]]+Posts_Cleaned[[#This Row],[Shares]]+Posts_Cleaned[[#This Row],[Comments]])/Posts_Cleaned[[#This Row],[Impressions]]),0)</f>
        <v>0.38274706867671693</v>
      </c>
      <c r="Q71" s="3" t="str">
        <f>_xlfn.TEXTJOIN(", ", TRUE, Posts_Cleaned[[#This Row],[Hashtags Used.1]], Posts_Cleaned[[#This Row],[Hashtags Used.2]], Posts_Cleaned[[#This Row],[Hashtags Used.3]])</f>
        <v>#TeslaCoInnovation</v>
      </c>
      <c r="R71" s="2" t="e">
        <f>VLOOKUP(Posts_Cleaned[[#This Row],[Campaign_Name]],'Campaign Metadata Dataset '!$A$2:$B$5,2,0)</f>
        <v>#N/A</v>
      </c>
      <c r="S71" s="2" t="e">
        <f>VLOOKUP(Posts_Cleaned[[#This Row],[Campaign_Name]],'Campaign Metadata Dataset '!$A$1:$C$5,3,0)</f>
        <v>#N/A</v>
      </c>
      <c r="T71" s="1" t="e">
        <f t="shared" si="4"/>
        <v>#N/A</v>
      </c>
      <c r="U71" s="1">
        <f>SUM(Posts_Cleaned[[#This Row],[Likes]]+Posts_Cleaned[[#This Row],[Shares]]+Posts_Cleaned[[#This Row],[Comments]]+Posts_Cleaned[[#This Row],[Clicks]])</f>
        <v>1414</v>
      </c>
      <c r="V71" s="1">
        <f ca="1">AVERAGEIF(Posts_Cleaned[[#This Row],[Period]]:T:T,"Before Campaign",Posts_Cleaned[[#This Row],[Engagement Rate ]])</f>
        <v>0.15438680235437016</v>
      </c>
      <c r="W71" s="5">
        <f t="shared" ca="1" si="6"/>
        <v>0.13508739652926482</v>
      </c>
      <c r="X71" s="6">
        <f ca="1">(Posts_Cleaned[[#This Row],[During ]]-Posts_Cleaned[[#This Row],[Before ]])/Posts_Cleaned[[#This Row],[During ]]</f>
        <v>-0.14286607278662289</v>
      </c>
      <c r="Y71" s="1">
        <f>IFERROR(VLOOKUP(O71, 'Campaign Metadata Dataset '!$A$1:$G$5,5,0),0)</f>
        <v>0</v>
      </c>
      <c r="Z71" s="1">
        <v>0</v>
      </c>
      <c r="AA71" s="1">
        <f t="shared" ca="1" si="5"/>
        <v>-0.14286607278662289</v>
      </c>
    </row>
    <row r="72" spans="1:27" x14ac:dyDescent="0.25">
      <c r="A72" t="s">
        <v>126</v>
      </c>
      <c r="B72" s="1" t="s">
        <v>29</v>
      </c>
      <c r="C72" s="2">
        <v>45537</v>
      </c>
      <c r="D72" s="1" t="s">
        <v>41</v>
      </c>
      <c r="E72" s="1" t="s">
        <v>56</v>
      </c>
      <c r="F72">
        <v>2551</v>
      </c>
      <c r="G72">
        <v>915</v>
      </c>
      <c r="H72">
        <v>205</v>
      </c>
      <c r="I72">
        <v>30612</v>
      </c>
      <c r="J72">
        <v>30360</v>
      </c>
      <c r="K72">
        <v>227</v>
      </c>
      <c r="L72" s="1" t="s">
        <v>25</v>
      </c>
      <c r="M72" s="1"/>
      <c r="N72" s="1"/>
      <c r="O72" s="1" t="s">
        <v>27</v>
      </c>
      <c r="P72" s="5">
        <f>IFERROR(((Posts_Cleaned[[#This Row],[Likes]]+Posts_Cleaned[[#This Row],[Shares]]+Posts_Cleaned[[#This Row],[Comments]])/Posts_Cleaned[[#This Row],[Impressions]]),0)</f>
        <v>0.1199202926956749</v>
      </c>
      <c r="Q72" s="3" t="str">
        <f>_xlfn.TEXTJOIN(", ", TRUE, Posts_Cleaned[[#This Row],[Hashtags Used.1]], Posts_Cleaned[[#This Row],[Hashtags Used.2]], Posts_Cleaned[[#This Row],[Hashtags Used.3]])</f>
        <v>#TeslaCoInnovation</v>
      </c>
      <c r="R72" s="2">
        <f>VLOOKUP(Posts_Cleaned[[#This Row],[Campaign_Name]],'Campaign Metadata Dataset '!$A$2:$B$5,2,0)</f>
        <v>45566</v>
      </c>
      <c r="S72" s="2">
        <f>VLOOKUP(Posts_Cleaned[[#This Row],[Campaign_Name]],'Campaign Metadata Dataset '!$A$1:$C$5,3,0)</f>
        <v>45596</v>
      </c>
      <c r="T72" s="1" t="str">
        <f t="shared" si="4"/>
        <v>Before Campaign</v>
      </c>
      <c r="U72" s="1">
        <f>SUM(Posts_Cleaned[[#This Row],[Likes]]+Posts_Cleaned[[#This Row],[Shares]]+Posts_Cleaned[[#This Row],[Comments]]+Posts_Cleaned[[#This Row],[Clicks]])</f>
        <v>3898</v>
      </c>
      <c r="V72" s="1">
        <f ca="1">AVERAGEIF(Posts_Cleaned[[#This Row],[Period]]:T:T,"Before Campaign",Posts_Cleaned[[#This Row],[Engagement Rate ]])</f>
        <v>0.14480893864461211</v>
      </c>
      <c r="W72" s="5">
        <f t="shared" ca="1" si="6"/>
        <v>0.13114639567320616</v>
      </c>
      <c r="X72" s="6">
        <f ca="1">(Posts_Cleaned[[#This Row],[During ]]-Posts_Cleaned[[#This Row],[Before ]])/Posts_Cleaned[[#This Row],[During ]]</f>
        <v>-0.10417779994084335</v>
      </c>
      <c r="Y72" s="1">
        <f>IFERROR(VLOOKUP(O72, 'Campaign Metadata Dataset '!$A$1:$G$5,5,0),0)</f>
        <v>200000</v>
      </c>
      <c r="Z72" s="1">
        <f t="shared" si="7"/>
        <v>1.949E-2</v>
      </c>
      <c r="AA72" s="1">
        <f t="shared" ca="1" si="5"/>
        <v>-0.10417779994084335</v>
      </c>
    </row>
    <row r="73" spans="1:27" x14ac:dyDescent="0.25">
      <c r="A73" t="s">
        <v>127</v>
      </c>
      <c r="B73" s="1" t="s">
        <v>29</v>
      </c>
      <c r="C73" s="2">
        <v>45719</v>
      </c>
      <c r="D73" s="1" t="s">
        <v>17</v>
      </c>
      <c r="E73" s="1" t="s">
        <v>30</v>
      </c>
      <c r="F73">
        <v>296</v>
      </c>
      <c r="G73">
        <v>60</v>
      </c>
      <c r="H73">
        <v>141</v>
      </c>
      <c r="I73">
        <v>5624</v>
      </c>
      <c r="J73">
        <v>5239</v>
      </c>
      <c r="K73">
        <v>88</v>
      </c>
      <c r="L73" s="1" t="s">
        <v>36</v>
      </c>
      <c r="M73" s="1"/>
      <c r="N73" s="1"/>
      <c r="O73" s="1" t="s">
        <v>27</v>
      </c>
      <c r="P73" s="5">
        <f>IFERROR(((Posts_Cleaned[[#This Row],[Likes]]+Posts_Cleaned[[#This Row],[Shares]]+Posts_Cleaned[[#This Row],[Comments]])/Posts_Cleaned[[#This Row],[Impressions]]),0)</f>
        <v>8.837126600284495E-2</v>
      </c>
      <c r="Q73" s="3" t="str">
        <f>_xlfn.TEXTJOIN(", ", TRUE, Posts_Cleaned[[#This Row],[Hashtags Used.1]], Posts_Cleaned[[#This Row],[Hashtags Used.2]], Posts_Cleaned[[#This Row],[Hashtags Used.3]])</f>
        <v>#EVRevolution</v>
      </c>
      <c r="R73" s="2">
        <f>VLOOKUP(Posts_Cleaned[[#This Row],[Campaign_Name]],'Campaign Metadata Dataset '!$A$2:$B$5,2,0)</f>
        <v>45566</v>
      </c>
      <c r="S73" s="2">
        <f>VLOOKUP(Posts_Cleaned[[#This Row],[Campaign_Name]],'Campaign Metadata Dataset '!$A$1:$C$5,3,0)</f>
        <v>45596</v>
      </c>
      <c r="T73" s="1" t="str">
        <f t="shared" si="4"/>
        <v>Before Campaign</v>
      </c>
      <c r="U73" s="1">
        <f>SUM(Posts_Cleaned[[#This Row],[Likes]]+Posts_Cleaned[[#This Row],[Shares]]+Posts_Cleaned[[#This Row],[Comments]]+Posts_Cleaned[[#This Row],[Clicks]])</f>
        <v>585</v>
      </c>
      <c r="V73" s="1">
        <f ca="1">AVERAGEIF(Posts_Cleaned[[#This Row],[Period]]:T:T,"Before Campaign",Posts_Cleaned[[#This Row],[Engagement Rate ]])</f>
        <v>0.14938127742878529</v>
      </c>
      <c r="W73" s="5">
        <f t="shared" ca="1" si="6"/>
        <v>0.22308303585649009</v>
      </c>
      <c r="X73" s="6">
        <f ca="1">(Posts_Cleaned[[#This Row],[During ]]-Posts_Cleaned[[#This Row],[Before ]])/Posts_Cleaned[[#This Row],[During ]]</f>
        <v>0.33037813989189807</v>
      </c>
      <c r="Y73" s="1">
        <f>IFERROR(VLOOKUP(O73, 'Campaign Metadata Dataset '!$A$1:$G$5,5,0),0)</f>
        <v>200000</v>
      </c>
      <c r="Z73" s="1">
        <f t="shared" si="7"/>
        <v>2.9250000000000001E-3</v>
      </c>
      <c r="AA73" s="1">
        <f t="shared" ca="1" si="5"/>
        <v>0.33037813989189807</v>
      </c>
    </row>
    <row r="74" spans="1:27" x14ac:dyDescent="0.25">
      <c r="A74" t="s">
        <v>128</v>
      </c>
      <c r="B74" s="1" t="s">
        <v>40</v>
      </c>
      <c r="C74" s="2">
        <v>45583</v>
      </c>
      <c r="D74" s="1" t="s">
        <v>34</v>
      </c>
      <c r="E74" s="1" t="s">
        <v>58</v>
      </c>
      <c r="F74">
        <v>4126</v>
      </c>
      <c r="G74">
        <v>426</v>
      </c>
      <c r="H74">
        <v>486</v>
      </c>
      <c r="I74">
        <v>78394</v>
      </c>
      <c r="J74">
        <v>77798</v>
      </c>
      <c r="K74">
        <v>88</v>
      </c>
      <c r="L74" s="1" t="s">
        <v>19</v>
      </c>
      <c r="M74" s="1"/>
      <c r="N74" s="1"/>
      <c r="O74" s="1" t="s">
        <v>37</v>
      </c>
      <c r="P74" s="5">
        <f>IFERROR(((Posts_Cleaned[[#This Row],[Likes]]+Posts_Cleaned[[#This Row],[Shares]]+Posts_Cleaned[[#This Row],[Comments]])/Posts_Cleaned[[#This Row],[Impressions]]),0)</f>
        <v>6.4265122330790625E-2</v>
      </c>
      <c r="Q74" s="3" t="str">
        <f>_xlfn.TEXTJOIN(", ", TRUE, Posts_Cleaned[[#This Row],[Hashtags Used.1]], Posts_Cleaned[[#This Row],[Hashtags Used.2]], Posts_Cleaned[[#This Row],[Hashtags Used.3]])</f>
        <v>#FutureOfDriving</v>
      </c>
      <c r="R74" s="2">
        <f>VLOOKUP(Posts_Cleaned[[#This Row],[Campaign_Name]],'Campaign Metadata Dataset '!$A$2:$B$5,2,0)</f>
        <v>45717</v>
      </c>
      <c r="S74" s="2">
        <f>VLOOKUP(Posts_Cleaned[[#This Row],[Campaign_Name]],'Campaign Metadata Dataset '!$A$1:$C$5,3,0)</f>
        <v>45747</v>
      </c>
      <c r="T74" s="1" t="str">
        <f t="shared" si="4"/>
        <v>Before Campaign</v>
      </c>
      <c r="U74" s="1">
        <f>SUM(Posts_Cleaned[[#This Row],[Likes]]+Posts_Cleaned[[#This Row],[Shares]]+Posts_Cleaned[[#This Row],[Comments]]+Posts_Cleaned[[#This Row],[Clicks]])</f>
        <v>5126</v>
      </c>
      <c r="V74" s="1">
        <f ca="1">AVERAGEIF(Posts_Cleaned[[#This Row],[Period]]:T:T,"Before Campaign",Posts_Cleaned[[#This Row],[Engagement Rate ]])</f>
        <v>0.14173388630284131</v>
      </c>
      <c r="W74" s="5">
        <f t="shared" ca="1" si="6"/>
        <v>0.14783480420758527</v>
      </c>
      <c r="X74" s="6">
        <f ca="1">(Posts_Cleaned[[#This Row],[During ]]-Posts_Cleaned[[#This Row],[Before ]])/Posts_Cleaned[[#This Row],[During ]]</f>
        <v>4.126848165048623E-2</v>
      </c>
      <c r="Y74" s="1">
        <f>IFERROR(VLOOKUP(O74, 'Campaign Metadata Dataset '!$A$1:$G$5,5,0),0)</f>
        <v>180000</v>
      </c>
      <c r="Z74" s="1">
        <f t="shared" si="7"/>
        <v>2.8477777777777779E-2</v>
      </c>
      <c r="AA74" s="1">
        <f t="shared" ca="1" si="5"/>
        <v>4.126848165048623E-2</v>
      </c>
    </row>
    <row r="75" spans="1:27" x14ac:dyDescent="0.25">
      <c r="A75" t="s">
        <v>129</v>
      </c>
      <c r="B75" s="1" t="s">
        <v>29</v>
      </c>
      <c r="C75" s="2">
        <v>45593</v>
      </c>
      <c r="D75" s="1" t="s">
        <v>17</v>
      </c>
      <c r="E75" s="1" t="s">
        <v>30</v>
      </c>
      <c r="F75">
        <v>1855</v>
      </c>
      <c r="G75">
        <v>200</v>
      </c>
      <c r="H75">
        <v>174</v>
      </c>
      <c r="I75">
        <v>16695</v>
      </c>
      <c r="J75">
        <v>16330</v>
      </c>
      <c r="K75">
        <v>123</v>
      </c>
      <c r="L75" s="1" t="s">
        <v>25</v>
      </c>
      <c r="M75" s="1"/>
      <c r="N75" s="1"/>
      <c r="O75" s="1" t="s">
        <v>31</v>
      </c>
      <c r="P75" s="5">
        <f>IFERROR(((Posts_Cleaned[[#This Row],[Likes]]+Posts_Cleaned[[#This Row],[Shares]]+Posts_Cleaned[[#This Row],[Comments]])/Posts_Cleaned[[#This Row],[Impressions]]),0)</f>
        <v>0.13351302785265048</v>
      </c>
      <c r="Q75" s="3" t="str">
        <f>_xlfn.TEXTJOIN(", ", TRUE, Posts_Cleaned[[#This Row],[Hashtags Used.1]], Posts_Cleaned[[#This Row],[Hashtags Used.2]], Posts_Cleaned[[#This Row],[Hashtags Used.3]])</f>
        <v>#TeslaCoInnovation</v>
      </c>
      <c r="R75" s="2">
        <f>VLOOKUP(Posts_Cleaned[[#This Row],[Campaign_Name]],'Campaign Metadata Dataset '!$A$2:$B$5,2,0)</f>
        <v>45651</v>
      </c>
      <c r="S75" s="2">
        <f>VLOOKUP(Posts_Cleaned[[#This Row],[Campaign_Name]],'Campaign Metadata Dataset '!$A$1:$C$5,3,0)</f>
        <v>45667</v>
      </c>
      <c r="T75" s="1" t="str">
        <f t="shared" si="4"/>
        <v>Before Campaign</v>
      </c>
      <c r="U75" s="1">
        <f>SUM(Posts_Cleaned[[#This Row],[Likes]]+Posts_Cleaned[[#This Row],[Shares]]+Posts_Cleaned[[#This Row],[Comments]]+Posts_Cleaned[[#This Row],[Clicks]])</f>
        <v>2352</v>
      </c>
      <c r="V75" s="1">
        <f ca="1">AVERAGEIF(Posts_Cleaned[[#This Row],[Period]]:T:T,"Before Campaign",Posts_Cleaned[[#This Row],[Engagement Rate ]])</f>
        <v>0.14706871261657947</v>
      </c>
      <c r="W75" s="5">
        <f t="shared" ca="1" si="6"/>
        <v>0.2075952412174619</v>
      </c>
      <c r="X75" s="6">
        <f ca="1">(Posts_Cleaned[[#This Row],[During ]]-Posts_Cleaned[[#This Row],[Before ]])/Posts_Cleaned[[#This Row],[During ]]</f>
        <v>0.29156028936847916</v>
      </c>
      <c r="Y75" s="1">
        <f>IFERROR(VLOOKUP(O75, 'Campaign Metadata Dataset '!$A$1:$G$5,5,0),0)</f>
        <v>250000</v>
      </c>
      <c r="Z75" s="1">
        <f t="shared" si="7"/>
        <v>9.4079999999999997E-3</v>
      </c>
      <c r="AA75" s="1">
        <f t="shared" ca="1" si="5"/>
        <v>0.29156028936847916</v>
      </c>
    </row>
    <row r="76" spans="1:27" x14ac:dyDescent="0.25">
      <c r="A76" t="s">
        <v>130</v>
      </c>
      <c r="B76" s="1" t="s">
        <v>33</v>
      </c>
      <c r="C76" s="2">
        <v>45505</v>
      </c>
      <c r="D76" s="1" t="s">
        <v>17</v>
      </c>
      <c r="E76" s="1" t="s">
        <v>65</v>
      </c>
      <c r="F76">
        <v>1674</v>
      </c>
      <c r="G76">
        <v>929</v>
      </c>
      <c r="H76">
        <v>37</v>
      </c>
      <c r="I76">
        <v>21762</v>
      </c>
      <c r="J76">
        <v>20998</v>
      </c>
      <c r="K76">
        <v>255</v>
      </c>
      <c r="L76" s="1" t="s">
        <v>25</v>
      </c>
      <c r="M76" s="1"/>
      <c r="N76" s="1"/>
      <c r="O76" s="1" t="s">
        <v>37</v>
      </c>
      <c r="P76" s="5">
        <f>IFERROR(((Posts_Cleaned[[#This Row],[Likes]]+Posts_Cleaned[[#This Row],[Shares]]+Posts_Cleaned[[#This Row],[Comments]])/Posts_Cleaned[[#This Row],[Impressions]]),0)</f>
        <v>0.12131237937689551</v>
      </c>
      <c r="Q76" s="3" t="str">
        <f>_xlfn.TEXTJOIN(", ", TRUE, Posts_Cleaned[[#This Row],[Hashtags Used.1]], Posts_Cleaned[[#This Row],[Hashtags Used.2]], Posts_Cleaned[[#This Row],[Hashtags Used.3]])</f>
        <v>#TeslaCoInnovation</v>
      </c>
      <c r="R76" s="2">
        <f>VLOOKUP(Posts_Cleaned[[#This Row],[Campaign_Name]],'Campaign Metadata Dataset '!$A$2:$B$5,2,0)</f>
        <v>45717</v>
      </c>
      <c r="S76" s="2">
        <f>VLOOKUP(Posts_Cleaned[[#This Row],[Campaign_Name]],'Campaign Metadata Dataset '!$A$1:$C$5,3,0)</f>
        <v>45747</v>
      </c>
      <c r="T76" s="1" t="str">
        <f t="shared" si="4"/>
        <v>Before Campaign</v>
      </c>
      <c r="U76" s="1">
        <f>SUM(Posts_Cleaned[[#This Row],[Likes]]+Posts_Cleaned[[#This Row],[Shares]]+Posts_Cleaned[[#This Row],[Comments]]+Posts_Cleaned[[#This Row],[Clicks]])</f>
        <v>2895</v>
      </c>
      <c r="V76" s="1">
        <f ca="1">AVERAGEIF(Posts_Cleaned[[#This Row],[Period]]:T:T,"Before Campaign",Posts_Cleaned[[#This Row],[Engagement Rate ]])</f>
        <v>0.15598415350458716</v>
      </c>
      <c r="W76" s="5">
        <f t="shared" ca="1" si="6"/>
        <v>0.11285203919132442</v>
      </c>
      <c r="X76" s="6">
        <f ca="1">(Posts_Cleaned[[#This Row],[During ]]-Posts_Cleaned[[#This Row],[Before ]])/Posts_Cleaned[[#This Row],[During ]]</f>
        <v>-0.38220057539357749</v>
      </c>
      <c r="Y76" s="1">
        <f>IFERROR(VLOOKUP(O76, 'Campaign Metadata Dataset '!$A$1:$G$5,5,0),0)</f>
        <v>180000</v>
      </c>
      <c r="Z76" s="1">
        <f t="shared" si="7"/>
        <v>1.6083333333333335E-2</v>
      </c>
      <c r="AA76" s="1">
        <f t="shared" ca="1" si="5"/>
        <v>-0.38220057539357749</v>
      </c>
    </row>
    <row r="77" spans="1:27" x14ac:dyDescent="0.25">
      <c r="A77" t="s">
        <v>131</v>
      </c>
      <c r="B77" s="1" t="s">
        <v>16</v>
      </c>
      <c r="C77" s="2">
        <v>45603</v>
      </c>
      <c r="D77" s="1" t="s">
        <v>34</v>
      </c>
      <c r="E77" s="1" t="s">
        <v>102</v>
      </c>
      <c r="F77">
        <v>1121</v>
      </c>
      <c r="G77">
        <v>135</v>
      </c>
      <c r="H77">
        <v>18</v>
      </c>
      <c r="I77">
        <v>15694</v>
      </c>
      <c r="J77">
        <v>14957</v>
      </c>
      <c r="K77">
        <v>99</v>
      </c>
      <c r="L77" s="1" t="s">
        <v>25</v>
      </c>
      <c r="M77" s="1"/>
      <c r="N77" s="1"/>
      <c r="O77" s="1" t="s">
        <v>37</v>
      </c>
      <c r="P77" s="5">
        <f>IFERROR(((Posts_Cleaned[[#This Row],[Likes]]+Posts_Cleaned[[#This Row],[Shares]]+Posts_Cleaned[[#This Row],[Comments]])/Posts_Cleaned[[#This Row],[Impressions]]),0)</f>
        <v>8.1177520071364848E-2</v>
      </c>
      <c r="Q77" s="3" t="str">
        <f>_xlfn.TEXTJOIN(", ", TRUE, Posts_Cleaned[[#This Row],[Hashtags Used.1]], Posts_Cleaned[[#This Row],[Hashtags Used.2]], Posts_Cleaned[[#This Row],[Hashtags Used.3]])</f>
        <v>#TeslaCoInnovation</v>
      </c>
      <c r="R77" s="2">
        <f>VLOOKUP(Posts_Cleaned[[#This Row],[Campaign_Name]],'Campaign Metadata Dataset '!$A$2:$B$5,2,0)</f>
        <v>45717</v>
      </c>
      <c r="S77" s="2">
        <f>VLOOKUP(Posts_Cleaned[[#This Row],[Campaign_Name]],'Campaign Metadata Dataset '!$A$1:$C$5,3,0)</f>
        <v>45747</v>
      </c>
      <c r="T77" s="1" t="str">
        <f t="shared" si="4"/>
        <v>Before Campaign</v>
      </c>
      <c r="U77" s="1">
        <f>SUM(Posts_Cleaned[[#This Row],[Likes]]+Posts_Cleaned[[#This Row],[Shares]]+Posts_Cleaned[[#This Row],[Comments]]+Posts_Cleaned[[#This Row],[Clicks]])</f>
        <v>1373</v>
      </c>
      <c r="V77" s="1">
        <f ca="1">AVERAGEIF(Posts_Cleaned[[#This Row],[Period]]:T:T,"Before Campaign",Posts_Cleaned[[#This Row],[Engagement Rate ]])</f>
        <v>0.15686427850978299</v>
      </c>
      <c r="W77" s="5">
        <f t="shared" ca="1" si="6"/>
        <v>0.11959170801074651</v>
      </c>
      <c r="X77" s="6">
        <f ca="1">(Posts_Cleaned[[#This Row],[During ]]-Posts_Cleaned[[#This Row],[Before ]])/Posts_Cleaned[[#This Row],[During ]]</f>
        <v>-0.31166517410795047</v>
      </c>
      <c r="Y77" s="1">
        <f>IFERROR(VLOOKUP(O77, 'Campaign Metadata Dataset '!$A$1:$G$5,5,0),0)</f>
        <v>180000</v>
      </c>
      <c r="Z77" s="1">
        <f t="shared" si="7"/>
        <v>7.6277777777777776E-3</v>
      </c>
      <c r="AA77" s="1">
        <f t="shared" ca="1" si="5"/>
        <v>-0.31166517410795047</v>
      </c>
    </row>
    <row r="78" spans="1:27" x14ac:dyDescent="0.25">
      <c r="A78" t="s">
        <v>132</v>
      </c>
      <c r="B78" s="1" t="s">
        <v>40</v>
      </c>
      <c r="C78" s="2">
        <v>45720</v>
      </c>
      <c r="D78" s="1" t="s">
        <v>34</v>
      </c>
      <c r="E78" s="1" t="s">
        <v>58</v>
      </c>
      <c r="F78">
        <v>1249</v>
      </c>
      <c r="G78">
        <v>116</v>
      </c>
      <c r="H78">
        <v>420</v>
      </c>
      <c r="I78">
        <v>8743</v>
      </c>
      <c r="J78">
        <v>8538</v>
      </c>
      <c r="K78">
        <v>63</v>
      </c>
      <c r="L78" s="1" t="s">
        <v>25</v>
      </c>
      <c r="M78" s="1"/>
      <c r="N78" s="1"/>
      <c r="O78" s="1"/>
      <c r="P78" s="5">
        <f>IFERROR(((Posts_Cleaned[[#This Row],[Likes]]+Posts_Cleaned[[#This Row],[Shares]]+Posts_Cleaned[[#This Row],[Comments]])/Posts_Cleaned[[#This Row],[Impressions]]),0)</f>
        <v>0.20416333066453163</v>
      </c>
      <c r="Q78" s="3" t="str">
        <f>_xlfn.TEXTJOIN(", ", TRUE, Posts_Cleaned[[#This Row],[Hashtags Used.1]], Posts_Cleaned[[#This Row],[Hashtags Used.2]], Posts_Cleaned[[#This Row],[Hashtags Used.3]])</f>
        <v>#TeslaCoInnovation</v>
      </c>
      <c r="R78" s="2" t="e">
        <f>VLOOKUP(Posts_Cleaned[[#This Row],[Campaign_Name]],'Campaign Metadata Dataset '!$A$2:$B$5,2,0)</f>
        <v>#N/A</v>
      </c>
      <c r="S78" s="2" t="e">
        <f>VLOOKUP(Posts_Cleaned[[#This Row],[Campaign_Name]],'Campaign Metadata Dataset '!$A$1:$C$5,3,0)</f>
        <v>#N/A</v>
      </c>
      <c r="T78" s="1" t="e">
        <f t="shared" si="4"/>
        <v>#N/A</v>
      </c>
      <c r="U78" s="1">
        <f>SUM(Posts_Cleaned[[#This Row],[Likes]]+Posts_Cleaned[[#This Row],[Shares]]+Posts_Cleaned[[#This Row],[Comments]]+Posts_Cleaned[[#This Row],[Clicks]])</f>
        <v>1848</v>
      </c>
      <c r="V78" s="1">
        <f ca="1">AVERAGEIF(Posts_Cleaned[[#This Row],[Period]]:T:T,"Before Campaign",Posts_Cleaned[[#This Row],[Engagement Rate ]])</f>
        <v>0.15145748264154887</v>
      </c>
      <c r="W78" s="5">
        <f t="shared" ca="1" si="6"/>
        <v>0.1507621434687044</v>
      </c>
      <c r="X78" s="6">
        <f ca="1">(Posts_Cleaned[[#This Row],[During ]]-Posts_Cleaned[[#This Row],[Before ]])/Posts_Cleaned[[#This Row],[During ]]</f>
        <v>-4.6121602999682635E-3</v>
      </c>
      <c r="Y78" s="1">
        <f>IFERROR(VLOOKUP(O78, 'Campaign Metadata Dataset '!$A$1:$G$5,5,0),0)</f>
        <v>0</v>
      </c>
      <c r="Z78" s="1">
        <v>0</v>
      </c>
      <c r="AA78" s="1">
        <f t="shared" ca="1" si="5"/>
        <v>-4.6121602999682635E-3</v>
      </c>
    </row>
    <row r="79" spans="1:27" x14ac:dyDescent="0.25">
      <c r="A79" t="s">
        <v>133</v>
      </c>
      <c r="B79" s="1" t="s">
        <v>16</v>
      </c>
      <c r="C79" s="2">
        <v>45460</v>
      </c>
      <c r="D79" s="1" t="s">
        <v>46</v>
      </c>
      <c r="E79" s="1" t="s">
        <v>92</v>
      </c>
      <c r="F79">
        <v>954</v>
      </c>
      <c r="G79">
        <v>324</v>
      </c>
      <c r="H79">
        <v>288</v>
      </c>
      <c r="I79">
        <v>19080</v>
      </c>
      <c r="J79">
        <v>18859</v>
      </c>
      <c r="K79">
        <v>21</v>
      </c>
      <c r="L79" s="1" t="s">
        <v>19</v>
      </c>
      <c r="M79" s="1"/>
      <c r="N79" s="1"/>
      <c r="O79" s="1" t="s">
        <v>37</v>
      </c>
      <c r="P79" s="5">
        <f>IFERROR(((Posts_Cleaned[[#This Row],[Likes]]+Posts_Cleaned[[#This Row],[Shares]]+Posts_Cleaned[[#This Row],[Comments]])/Posts_Cleaned[[#This Row],[Impressions]]),0)</f>
        <v>8.2075471698113203E-2</v>
      </c>
      <c r="Q79" s="3" t="str">
        <f>_xlfn.TEXTJOIN(", ", TRUE, Posts_Cleaned[[#This Row],[Hashtags Used.1]], Posts_Cleaned[[#This Row],[Hashtags Used.2]], Posts_Cleaned[[#This Row],[Hashtags Used.3]])</f>
        <v>#FutureOfDriving</v>
      </c>
      <c r="R79" s="2">
        <f>VLOOKUP(Posts_Cleaned[[#This Row],[Campaign_Name]],'Campaign Metadata Dataset '!$A$2:$B$5,2,0)</f>
        <v>45717</v>
      </c>
      <c r="S79" s="2">
        <f>VLOOKUP(Posts_Cleaned[[#This Row],[Campaign_Name]],'Campaign Metadata Dataset '!$A$1:$C$5,3,0)</f>
        <v>45747</v>
      </c>
      <c r="T79" s="1" t="str">
        <f t="shared" si="4"/>
        <v>Before Campaign</v>
      </c>
      <c r="U79" s="1">
        <f>SUM(Posts_Cleaned[[#This Row],[Likes]]+Posts_Cleaned[[#This Row],[Shares]]+Posts_Cleaned[[#This Row],[Comments]]+Posts_Cleaned[[#This Row],[Clicks]])</f>
        <v>1587</v>
      </c>
      <c r="V79" s="1">
        <f ca="1">AVERAGEIF(Posts_Cleaned[[#This Row],[Period]]:T:T,"Before Campaign",Posts_Cleaned[[#This Row],[Engagement Rate ]])</f>
        <v>0.1425775139120728</v>
      </c>
      <c r="W79" s="5">
        <f t="shared" ca="1" si="6"/>
        <v>0.13024980964711405</v>
      </c>
      <c r="X79" s="6">
        <f ca="1">(Posts_Cleaned[[#This Row],[During ]]-Posts_Cleaned[[#This Row],[Before ]])/Posts_Cleaned[[#This Row],[During ]]</f>
        <v>-9.4646620201274817E-2</v>
      </c>
      <c r="Y79" s="1">
        <f>IFERROR(VLOOKUP(O79, 'Campaign Metadata Dataset '!$A$1:$G$5,5,0),0)</f>
        <v>180000</v>
      </c>
      <c r="Z79" s="1">
        <f t="shared" si="7"/>
        <v>8.8166666666666671E-3</v>
      </c>
      <c r="AA79" s="1">
        <f t="shared" ca="1" si="5"/>
        <v>-9.4646620201274817E-2</v>
      </c>
    </row>
    <row r="80" spans="1:27" x14ac:dyDescent="0.25">
      <c r="A80" t="s">
        <v>134</v>
      </c>
      <c r="B80" s="1" t="s">
        <v>33</v>
      </c>
      <c r="C80" s="2">
        <v>45574</v>
      </c>
      <c r="D80" s="1" t="s">
        <v>41</v>
      </c>
      <c r="E80" s="1" t="s">
        <v>69</v>
      </c>
      <c r="F80">
        <v>3068</v>
      </c>
      <c r="G80">
        <v>137</v>
      </c>
      <c r="H80">
        <v>329</v>
      </c>
      <c r="I80">
        <v>39884</v>
      </c>
      <c r="J80">
        <v>39404</v>
      </c>
      <c r="K80">
        <v>266</v>
      </c>
      <c r="L80" s="1" t="s">
        <v>36</v>
      </c>
      <c r="M80" s="1"/>
      <c r="N80" s="1"/>
      <c r="O80" s="1" t="s">
        <v>27</v>
      </c>
      <c r="P80" s="5">
        <f>IFERROR(((Posts_Cleaned[[#This Row],[Likes]]+Posts_Cleaned[[#This Row],[Shares]]+Posts_Cleaned[[#This Row],[Comments]])/Posts_Cleaned[[#This Row],[Impressions]]),0)</f>
        <v>8.860696018453515E-2</v>
      </c>
      <c r="Q80" s="3" t="str">
        <f>_xlfn.TEXTJOIN(", ", TRUE, Posts_Cleaned[[#This Row],[Hashtags Used.1]], Posts_Cleaned[[#This Row],[Hashtags Used.2]], Posts_Cleaned[[#This Row],[Hashtags Used.3]])</f>
        <v>#EVRevolution</v>
      </c>
      <c r="R80" s="2">
        <f>VLOOKUP(Posts_Cleaned[[#This Row],[Campaign_Name]],'Campaign Metadata Dataset '!$A$2:$B$5,2,0)</f>
        <v>45566</v>
      </c>
      <c r="S80" s="2">
        <f>VLOOKUP(Posts_Cleaned[[#This Row],[Campaign_Name]],'Campaign Metadata Dataset '!$A$1:$C$5,3,0)</f>
        <v>45596</v>
      </c>
      <c r="T80" s="1" t="str">
        <f t="shared" si="4"/>
        <v>During Campaign</v>
      </c>
      <c r="U80" s="1">
        <f>SUM(Posts_Cleaned[[#This Row],[Likes]]+Posts_Cleaned[[#This Row],[Shares]]+Posts_Cleaned[[#This Row],[Comments]]+Posts_Cleaned[[#This Row],[Clicks]])</f>
        <v>3800</v>
      </c>
      <c r="V80" s="1">
        <f ca="1">AVERAGEIF(Posts_Cleaned[[#This Row],[Period]]:T:T,"Before Campaign",Posts_Cleaned[[#This Row],[Engagement Rate ]])</f>
        <v>0.13665711938826289</v>
      </c>
      <c r="W80" s="5">
        <f t="shared" ca="1" si="6"/>
        <v>0.22007490111837899</v>
      </c>
      <c r="X80" s="6">
        <f ca="1">(Posts_Cleaned[[#This Row],[During ]]-Posts_Cleaned[[#This Row],[Before ]])/Posts_Cleaned[[#This Row],[During ]]</f>
        <v>0.37904268640450467</v>
      </c>
      <c r="Y80" s="1">
        <f>IFERROR(VLOOKUP(O80, 'Campaign Metadata Dataset '!$A$1:$G$5,5,0),0)</f>
        <v>200000</v>
      </c>
      <c r="Z80" s="1">
        <f t="shared" si="7"/>
        <v>1.9E-2</v>
      </c>
      <c r="AA80" s="1">
        <f t="shared" ca="1" si="5"/>
        <v>0.37904268640450467</v>
      </c>
    </row>
    <row r="81" spans="1:27" x14ac:dyDescent="0.25">
      <c r="A81" t="s">
        <v>135</v>
      </c>
      <c r="B81" s="1" t="s">
        <v>33</v>
      </c>
      <c r="C81" s="2">
        <v>45456</v>
      </c>
      <c r="D81" s="1" t="s">
        <v>34</v>
      </c>
      <c r="E81" s="1" t="s">
        <v>35</v>
      </c>
      <c r="F81">
        <v>2103</v>
      </c>
      <c r="G81">
        <v>892</v>
      </c>
      <c r="H81">
        <v>103</v>
      </c>
      <c r="I81">
        <v>39957</v>
      </c>
      <c r="J81">
        <v>39466</v>
      </c>
      <c r="K81">
        <v>28</v>
      </c>
      <c r="L81" s="1" t="s">
        <v>19</v>
      </c>
      <c r="M81" s="1"/>
      <c r="N81" s="1"/>
      <c r="O81" s="1"/>
      <c r="P81" s="5">
        <f>IFERROR(((Posts_Cleaned[[#This Row],[Likes]]+Posts_Cleaned[[#This Row],[Shares]]+Posts_Cleaned[[#This Row],[Comments]])/Posts_Cleaned[[#This Row],[Impressions]]),0)</f>
        <v>7.7533348349475686E-2</v>
      </c>
      <c r="Q81" s="3" t="str">
        <f>_xlfn.TEXTJOIN(", ", TRUE, Posts_Cleaned[[#This Row],[Hashtags Used.1]], Posts_Cleaned[[#This Row],[Hashtags Used.2]], Posts_Cleaned[[#This Row],[Hashtags Used.3]])</f>
        <v>#FutureOfDriving</v>
      </c>
      <c r="R81" s="2" t="e">
        <f>VLOOKUP(Posts_Cleaned[[#This Row],[Campaign_Name]],'Campaign Metadata Dataset '!$A$2:$B$5,2,0)</f>
        <v>#N/A</v>
      </c>
      <c r="S81" s="2" t="e">
        <f>VLOOKUP(Posts_Cleaned[[#This Row],[Campaign_Name]],'Campaign Metadata Dataset '!$A$1:$C$5,3,0)</f>
        <v>#N/A</v>
      </c>
      <c r="T81" s="1" t="e">
        <f t="shared" si="4"/>
        <v>#N/A</v>
      </c>
      <c r="U81" s="1">
        <f>SUM(Posts_Cleaned[[#This Row],[Likes]]+Posts_Cleaned[[#This Row],[Shares]]+Posts_Cleaned[[#This Row],[Comments]]+Posts_Cleaned[[#This Row],[Clicks]])</f>
        <v>3126</v>
      </c>
      <c r="V81" s="1">
        <f ca="1">AVERAGEIF(Posts_Cleaned[[#This Row],[Period]]:T:T,"Before Campaign",Posts_Cleaned[[#This Row],[Engagement Rate ]])</f>
        <v>0.15766969650656065</v>
      </c>
      <c r="W81" s="5">
        <f t="shared" ca="1" si="6"/>
        <v>0.17126951519950637</v>
      </c>
      <c r="X81" s="6">
        <f ca="1">(Posts_Cleaned[[#This Row],[During ]]-Posts_Cleaned[[#This Row],[Before ]])/Posts_Cleaned[[#This Row],[During ]]</f>
        <v>7.9405950773573E-2</v>
      </c>
      <c r="Y81" s="1">
        <f>IFERROR(VLOOKUP(O81, 'Campaign Metadata Dataset '!$A$1:$G$5,5,0),0)</f>
        <v>0</v>
      </c>
      <c r="Z81" s="1">
        <v>0</v>
      </c>
      <c r="AA81" s="1">
        <f t="shared" ca="1" si="5"/>
        <v>7.9405950773573E-2</v>
      </c>
    </row>
    <row r="82" spans="1:27" x14ac:dyDescent="0.25">
      <c r="A82" t="s">
        <v>136</v>
      </c>
      <c r="B82" s="1" t="s">
        <v>33</v>
      </c>
      <c r="C82" s="2">
        <v>45584</v>
      </c>
      <c r="D82" s="1" t="s">
        <v>34</v>
      </c>
      <c r="E82" s="1" t="s">
        <v>35</v>
      </c>
      <c r="F82">
        <v>1816</v>
      </c>
      <c r="G82">
        <v>29</v>
      </c>
      <c r="H82">
        <v>41</v>
      </c>
      <c r="I82">
        <v>19976</v>
      </c>
      <c r="J82">
        <v>19262</v>
      </c>
      <c r="K82">
        <v>283</v>
      </c>
      <c r="L82" s="1" t="s">
        <v>25</v>
      </c>
      <c r="M82" s="1"/>
      <c r="N82" s="1"/>
      <c r="O82" s="1" t="s">
        <v>31</v>
      </c>
      <c r="P82" s="5">
        <f>IFERROR(((Posts_Cleaned[[#This Row],[Likes]]+Posts_Cleaned[[#This Row],[Shares]]+Posts_Cleaned[[#This Row],[Comments]])/Posts_Cleaned[[#This Row],[Impressions]]),0)</f>
        <v>9.4413295955146179E-2</v>
      </c>
      <c r="Q82" s="3" t="str">
        <f>_xlfn.TEXTJOIN(", ", TRUE, Posts_Cleaned[[#This Row],[Hashtags Used.1]], Posts_Cleaned[[#This Row],[Hashtags Used.2]], Posts_Cleaned[[#This Row],[Hashtags Used.3]])</f>
        <v>#TeslaCoInnovation</v>
      </c>
      <c r="R82" s="2">
        <f>VLOOKUP(Posts_Cleaned[[#This Row],[Campaign_Name]],'Campaign Metadata Dataset '!$A$2:$B$5,2,0)</f>
        <v>45651</v>
      </c>
      <c r="S82" s="2">
        <f>VLOOKUP(Posts_Cleaned[[#This Row],[Campaign_Name]],'Campaign Metadata Dataset '!$A$1:$C$5,3,0)</f>
        <v>45667</v>
      </c>
      <c r="T82" s="1" t="str">
        <f t="shared" si="4"/>
        <v>Before Campaign</v>
      </c>
      <c r="U82" s="1">
        <f>SUM(Posts_Cleaned[[#This Row],[Likes]]+Posts_Cleaned[[#This Row],[Shares]]+Posts_Cleaned[[#This Row],[Comments]]+Posts_Cleaned[[#This Row],[Clicks]])</f>
        <v>2169</v>
      </c>
      <c r="V82" s="1">
        <f ca="1">AVERAGEIF(Posts_Cleaned[[#This Row],[Period]]:T:T,"Before Campaign",Posts_Cleaned[[#This Row],[Engagement Rate ]])</f>
        <v>0.16067114975089411</v>
      </c>
      <c r="W82" s="5">
        <f t="shared" ca="1" si="6"/>
        <v>0.14523135980940718</v>
      </c>
      <c r="X82" s="6">
        <f ca="1">(Posts_Cleaned[[#This Row],[During ]]-Posts_Cleaned[[#This Row],[Before ]])/Posts_Cleaned[[#This Row],[During ]]</f>
        <v>-0.10631168062978387</v>
      </c>
      <c r="Y82" s="1">
        <f>IFERROR(VLOOKUP(O82, 'Campaign Metadata Dataset '!$A$1:$G$5,5,0),0)</f>
        <v>250000</v>
      </c>
      <c r="Z82" s="1">
        <f t="shared" si="7"/>
        <v>8.6759999999999997E-3</v>
      </c>
      <c r="AA82" s="1">
        <f t="shared" ca="1" si="5"/>
        <v>-0.10631168062978387</v>
      </c>
    </row>
    <row r="83" spans="1:27" x14ac:dyDescent="0.25">
      <c r="A83" t="s">
        <v>137</v>
      </c>
      <c r="B83" s="1" t="s">
        <v>33</v>
      </c>
      <c r="C83" s="2">
        <v>45497</v>
      </c>
      <c r="D83" s="1" t="s">
        <v>46</v>
      </c>
      <c r="E83" s="1" t="s">
        <v>138</v>
      </c>
      <c r="F83">
        <v>725</v>
      </c>
      <c r="G83">
        <v>88</v>
      </c>
      <c r="H83">
        <v>428</v>
      </c>
      <c r="I83">
        <v>14500</v>
      </c>
      <c r="J83">
        <v>13637</v>
      </c>
      <c r="K83">
        <v>200</v>
      </c>
      <c r="L83" s="1" t="s">
        <v>19</v>
      </c>
      <c r="M83" s="1" t="s">
        <v>25</v>
      </c>
      <c r="N83" s="1" t="s">
        <v>20</v>
      </c>
      <c r="O83" s="1" t="s">
        <v>31</v>
      </c>
      <c r="P83" s="5">
        <f>IFERROR(((Posts_Cleaned[[#This Row],[Likes]]+Posts_Cleaned[[#This Row],[Shares]]+Posts_Cleaned[[#This Row],[Comments]])/Posts_Cleaned[[#This Row],[Impressions]]),0)</f>
        <v>8.558620689655172E-2</v>
      </c>
      <c r="Q83" s="3" t="str">
        <f>_xlfn.TEXTJOIN(", ", TRUE, Posts_Cleaned[[#This Row],[Hashtags Used.1]], Posts_Cleaned[[#This Row],[Hashtags Used.2]], Posts_Cleaned[[#This Row],[Hashtags Used.3]])</f>
        <v>#FutureOfDriving, #TeslaCoInnovation, #AnytimeIsTeslaTime</v>
      </c>
      <c r="R83" s="2">
        <f>VLOOKUP(Posts_Cleaned[[#This Row],[Campaign_Name]],'Campaign Metadata Dataset '!$A$2:$B$5,2,0)</f>
        <v>45651</v>
      </c>
      <c r="S83" s="2">
        <f>VLOOKUP(Posts_Cleaned[[#This Row],[Campaign_Name]],'Campaign Metadata Dataset '!$A$1:$C$5,3,0)</f>
        <v>45667</v>
      </c>
      <c r="T83" s="1" t="str">
        <f t="shared" si="4"/>
        <v>Before Campaign</v>
      </c>
      <c r="U83" s="1">
        <f>SUM(Posts_Cleaned[[#This Row],[Likes]]+Posts_Cleaned[[#This Row],[Shares]]+Posts_Cleaned[[#This Row],[Comments]]+Posts_Cleaned[[#This Row],[Clicks]])</f>
        <v>1441</v>
      </c>
      <c r="V83" s="1">
        <f ca="1">AVERAGEIF(Posts_Cleaned[[#This Row],[Period]]:T:T,"Before Campaign",Posts_Cleaned[[#This Row],[Engagement Rate ]])</f>
        <v>0.15080632543658637</v>
      </c>
      <c r="W83" s="5">
        <f t="shared" ca="1" si="6"/>
        <v>0.11665790849725946</v>
      </c>
      <c r="X83" s="6">
        <f ca="1">(Posts_Cleaned[[#This Row],[During ]]-Posts_Cleaned[[#This Row],[Before ]])/Posts_Cleaned[[#This Row],[During ]]</f>
        <v>-0.29272269132211576</v>
      </c>
      <c r="Y83" s="1">
        <f>IFERROR(VLOOKUP(O83, 'Campaign Metadata Dataset '!$A$1:$G$5,5,0),0)</f>
        <v>250000</v>
      </c>
      <c r="Z83" s="1">
        <f t="shared" si="7"/>
        <v>5.764E-3</v>
      </c>
      <c r="AA83" s="1">
        <f t="shared" ca="1" si="5"/>
        <v>-0.29272269132211576</v>
      </c>
    </row>
    <row r="84" spans="1:27" x14ac:dyDescent="0.25">
      <c r="A84" t="s">
        <v>139</v>
      </c>
      <c r="B84" s="1" t="s">
        <v>29</v>
      </c>
      <c r="C84" s="2">
        <v>45580</v>
      </c>
      <c r="D84" s="1" t="s">
        <v>60</v>
      </c>
      <c r="E84" s="1" t="s">
        <v>140</v>
      </c>
      <c r="F84">
        <v>1094</v>
      </c>
      <c r="G84">
        <v>472</v>
      </c>
      <c r="H84">
        <v>21</v>
      </c>
      <c r="I84">
        <v>9846</v>
      </c>
      <c r="J84">
        <v>9609</v>
      </c>
      <c r="K84">
        <v>112</v>
      </c>
      <c r="L84" s="1" t="s">
        <v>36</v>
      </c>
      <c r="M84" s="1"/>
      <c r="N84" s="1"/>
      <c r="O84" s="1"/>
      <c r="P84" s="5">
        <f>IFERROR(((Posts_Cleaned[[#This Row],[Likes]]+Posts_Cleaned[[#This Row],[Shares]]+Posts_Cleaned[[#This Row],[Comments]])/Posts_Cleaned[[#This Row],[Impressions]]),0)</f>
        <v>0.16118220597196831</v>
      </c>
      <c r="Q84" s="3" t="str">
        <f>_xlfn.TEXTJOIN(", ", TRUE, Posts_Cleaned[[#This Row],[Hashtags Used.1]], Posts_Cleaned[[#This Row],[Hashtags Used.2]], Posts_Cleaned[[#This Row],[Hashtags Used.3]])</f>
        <v>#EVRevolution</v>
      </c>
      <c r="R84" s="2" t="e">
        <f>VLOOKUP(Posts_Cleaned[[#This Row],[Campaign_Name]],'Campaign Metadata Dataset '!$A$2:$B$5,2,0)</f>
        <v>#N/A</v>
      </c>
      <c r="S84" s="2" t="e">
        <f>VLOOKUP(Posts_Cleaned[[#This Row],[Campaign_Name]],'Campaign Metadata Dataset '!$A$1:$C$5,3,0)</f>
        <v>#N/A</v>
      </c>
      <c r="T84" s="1" t="e">
        <f t="shared" si="4"/>
        <v>#N/A</v>
      </c>
      <c r="U84" s="1">
        <f>SUM(Posts_Cleaned[[#This Row],[Likes]]+Posts_Cleaned[[#This Row],[Shares]]+Posts_Cleaned[[#This Row],[Comments]]+Posts_Cleaned[[#This Row],[Clicks]])</f>
        <v>1699</v>
      </c>
      <c r="V84" s="1">
        <f ca="1">AVERAGEIF(Posts_Cleaned[[#This Row],[Period]]:T:T,"Before Campaign",Posts_Cleaned[[#This Row],[Engagement Rate ]])</f>
        <v>0.14353365670544996</v>
      </c>
      <c r="W84" s="5">
        <f t="shared" ca="1" si="6"/>
        <v>0.14950966019736542</v>
      </c>
      <c r="X84" s="6">
        <f ca="1">(Posts_Cleaned[[#This Row],[During ]]-Posts_Cleaned[[#This Row],[Before ]])/Posts_Cleaned[[#This Row],[During ]]</f>
        <v>3.9970684730515939E-2</v>
      </c>
      <c r="Y84" s="1">
        <f>IFERROR(VLOOKUP(O84, 'Campaign Metadata Dataset '!$A$1:$G$5,5,0),0)</f>
        <v>0</v>
      </c>
      <c r="Z84" s="1">
        <v>0</v>
      </c>
      <c r="AA84" s="1">
        <f t="shared" ca="1" si="5"/>
        <v>3.9970684730515939E-2</v>
      </c>
    </row>
    <row r="85" spans="1:27" x14ac:dyDescent="0.25">
      <c r="A85" t="s">
        <v>141</v>
      </c>
      <c r="B85" s="1" t="s">
        <v>40</v>
      </c>
      <c r="C85" s="2">
        <v>45635</v>
      </c>
      <c r="D85" s="1" t="s">
        <v>46</v>
      </c>
      <c r="E85" s="1" t="s">
        <v>51</v>
      </c>
      <c r="F85">
        <v>1841</v>
      </c>
      <c r="G85">
        <v>851</v>
      </c>
      <c r="H85">
        <v>342</v>
      </c>
      <c r="I85">
        <v>34979</v>
      </c>
      <c r="J85">
        <v>34154</v>
      </c>
      <c r="K85">
        <v>255</v>
      </c>
      <c r="L85" s="1" t="s">
        <v>19</v>
      </c>
      <c r="M85" s="1"/>
      <c r="N85" s="1"/>
      <c r="O85" s="1" t="s">
        <v>37</v>
      </c>
      <c r="P85" s="5">
        <f>IFERROR(((Posts_Cleaned[[#This Row],[Likes]]+Posts_Cleaned[[#This Row],[Shares]]+Posts_Cleaned[[#This Row],[Comments]])/Posts_Cleaned[[#This Row],[Impressions]]),0)</f>
        <v>8.6737756939878216E-2</v>
      </c>
      <c r="Q85" s="3" t="str">
        <f>_xlfn.TEXTJOIN(", ", TRUE, Posts_Cleaned[[#This Row],[Hashtags Used.1]], Posts_Cleaned[[#This Row],[Hashtags Used.2]], Posts_Cleaned[[#This Row],[Hashtags Used.3]])</f>
        <v>#FutureOfDriving</v>
      </c>
      <c r="R85" s="2">
        <f>VLOOKUP(Posts_Cleaned[[#This Row],[Campaign_Name]],'Campaign Metadata Dataset '!$A$2:$B$5,2,0)</f>
        <v>45717</v>
      </c>
      <c r="S85" s="2">
        <f>VLOOKUP(Posts_Cleaned[[#This Row],[Campaign_Name]],'Campaign Metadata Dataset '!$A$1:$C$5,3,0)</f>
        <v>45747</v>
      </c>
      <c r="T85" s="1" t="str">
        <f t="shared" si="4"/>
        <v>Before Campaign</v>
      </c>
      <c r="U85" s="1">
        <f>SUM(Posts_Cleaned[[#This Row],[Likes]]+Posts_Cleaned[[#This Row],[Shares]]+Posts_Cleaned[[#This Row],[Comments]]+Posts_Cleaned[[#This Row],[Clicks]])</f>
        <v>3289</v>
      </c>
      <c r="V85" s="1">
        <f ca="1">AVERAGEIF(Posts_Cleaned[[#This Row],[Period]]:T:T,"Before Campaign",Posts_Cleaned[[#This Row],[Engagement Rate ]])</f>
        <v>0.15015347376478544</v>
      </c>
      <c r="W85" s="5">
        <f t="shared" ca="1" si="6"/>
        <v>0.18614231635953382</v>
      </c>
      <c r="X85" s="6">
        <f ca="1">(Posts_Cleaned[[#This Row],[During ]]-Posts_Cleaned[[#This Row],[Before ]])/Posts_Cleaned[[#This Row],[During ]]</f>
        <v>0.19334046818905995</v>
      </c>
      <c r="Y85" s="1">
        <f>IFERROR(VLOOKUP(O85, 'Campaign Metadata Dataset '!$A$1:$G$5,5,0),0)</f>
        <v>180000</v>
      </c>
      <c r="Z85" s="1">
        <f t="shared" si="7"/>
        <v>1.8272222222222221E-2</v>
      </c>
      <c r="AA85" s="1">
        <f t="shared" ca="1" si="5"/>
        <v>0.19334046818905995</v>
      </c>
    </row>
    <row r="86" spans="1:27" x14ac:dyDescent="0.25">
      <c r="A86" t="s">
        <v>142</v>
      </c>
      <c r="B86" s="1" t="s">
        <v>33</v>
      </c>
      <c r="C86" s="2">
        <v>45766</v>
      </c>
      <c r="D86" s="1" t="s">
        <v>46</v>
      </c>
      <c r="E86" s="1" t="s">
        <v>138</v>
      </c>
      <c r="F86">
        <v>4177</v>
      </c>
      <c r="G86">
        <v>569</v>
      </c>
      <c r="H86">
        <v>55</v>
      </c>
      <c r="I86">
        <v>25062</v>
      </c>
      <c r="J86">
        <v>24847</v>
      </c>
      <c r="K86">
        <v>230</v>
      </c>
      <c r="L86" s="1" t="s">
        <v>19</v>
      </c>
      <c r="M86" s="1"/>
      <c r="N86" s="1"/>
      <c r="O86" s="1" t="s">
        <v>21</v>
      </c>
      <c r="P86" s="5">
        <f>IFERROR(((Posts_Cleaned[[#This Row],[Likes]]+Posts_Cleaned[[#This Row],[Shares]]+Posts_Cleaned[[#This Row],[Comments]])/Posts_Cleaned[[#This Row],[Impressions]]),0)</f>
        <v>0.19156491900087783</v>
      </c>
      <c r="Q86" s="3" t="str">
        <f>_xlfn.TEXTJOIN(", ", TRUE, Posts_Cleaned[[#This Row],[Hashtags Used.1]], Posts_Cleaned[[#This Row],[Hashtags Used.2]], Posts_Cleaned[[#This Row],[Hashtags Used.3]])</f>
        <v>#FutureOfDriving</v>
      </c>
      <c r="R86" s="2">
        <f>VLOOKUP(Posts_Cleaned[[#This Row],[Campaign_Name]],'Campaign Metadata Dataset '!$A$2:$B$5,2,0)</f>
        <v>45458</v>
      </c>
      <c r="S86" s="2">
        <f>VLOOKUP(Posts_Cleaned[[#This Row],[Campaign_Name]],'Campaign Metadata Dataset '!$A$1:$C$5,3,0)</f>
        <v>45488</v>
      </c>
      <c r="T86" s="1" t="str">
        <f t="shared" si="4"/>
        <v>Before Campaign</v>
      </c>
      <c r="U86" s="1">
        <f>SUM(Posts_Cleaned[[#This Row],[Likes]]+Posts_Cleaned[[#This Row],[Shares]]+Posts_Cleaned[[#This Row],[Comments]]+Posts_Cleaned[[#This Row],[Clicks]])</f>
        <v>5031</v>
      </c>
      <c r="V86" s="1">
        <f ca="1">AVERAGEIF(Posts_Cleaned[[#This Row],[Period]]:T:T,"Before Campaign",Posts_Cleaned[[#This Row],[Engagement Rate ]])</f>
        <v>0.15260448087531889</v>
      </c>
      <c r="W86" s="5">
        <f t="shared" ca="1" si="6"/>
        <v>0.16032505683751205</v>
      </c>
      <c r="X86" s="6">
        <f ca="1">(Posts_Cleaned[[#This Row],[During ]]-Posts_Cleaned[[#This Row],[Before ]])/Posts_Cleaned[[#This Row],[During ]]</f>
        <v>4.815576625691078E-2</v>
      </c>
      <c r="Y86" s="1">
        <f>IFERROR(VLOOKUP(O86, 'Campaign Metadata Dataset '!$A$1:$G$5,5,0),0)</f>
        <v>150000</v>
      </c>
      <c r="Z86" s="1">
        <f t="shared" si="7"/>
        <v>3.354E-2</v>
      </c>
      <c r="AA86" s="1">
        <f t="shared" ca="1" si="5"/>
        <v>4.815576625691078E-2</v>
      </c>
    </row>
    <row r="87" spans="1:27" x14ac:dyDescent="0.25">
      <c r="A87" t="s">
        <v>143</v>
      </c>
      <c r="B87" s="1" t="s">
        <v>29</v>
      </c>
      <c r="C87" s="2">
        <v>45684</v>
      </c>
      <c r="D87" s="1" t="s">
        <v>23</v>
      </c>
      <c r="E87" s="1" t="s">
        <v>77</v>
      </c>
      <c r="F87">
        <v>3428</v>
      </c>
      <c r="G87">
        <v>305</v>
      </c>
      <c r="H87">
        <v>85</v>
      </c>
      <c r="I87">
        <v>58276</v>
      </c>
      <c r="J87">
        <v>58052</v>
      </c>
      <c r="K87">
        <v>242</v>
      </c>
      <c r="L87" s="1" t="s">
        <v>36</v>
      </c>
      <c r="M87" s="1" t="s">
        <v>26</v>
      </c>
      <c r="N87" s="1"/>
      <c r="O87" s="1" t="s">
        <v>37</v>
      </c>
      <c r="P87" s="5">
        <f>IFERROR(((Posts_Cleaned[[#This Row],[Likes]]+Posts_Cleaned[[#This Row],[Shares]]+Posts_Cleaned[[#This Row],[Comments]])/Posts_Cleaned[[#This Row],[Impressions]]),0)</f>
        <v>6.5515821264328367E-2</v>
      </c>
      <c r="Q87" s="3" t="str">
        <f>_xlfn.TEXTJOIN(", ", TRUE, Posts_Cleaned[[#This Row],[Hashtags Used.1]], Posts_Cleaned[[#This Row],[Hashtags Used.2]], Posts_Cleaned[[#This Row],[Hashtags Used.3]])</f>
        <v>#EVRevolution, #BetterWithTesla</v>
      </c>
      <c r="R87" s="2">
        <f>VLOOKUP(Posts_Cleaned[[#This Row],[Campaign_Name]],'Campaign Metadata Dataset '!$A$2:$B$5,2,0)</f>
        <v>45717</v>
      </c>
      <c r="S87" s="2">
        <f>VLOOKUP(Posts_Cleaned[[#This Row],[Campaign_Name]],'Campaign Metadata Dataset '!$A$1:$C$5,3,0)</f>
        <v>45747</v>
      </c>
      <c r="T87" s="1" t="str">
        <f t="shared" si="4"/>
        <v>Before Campaign</v>
      </c>
      <c r="U87" s="1">
        <f>SUM(Posts_Cleaned[[#This Row],[Likes]]+Posts_Cleaned[[#This Row],[Shares]]+Posts_Cleaned[[#This Row],[Comments]]+Posts_Cleaned[[#This Row],[Clicks]])</f>
        <v>4060</v>
      </c>
      <c r="V87" s="1">
        <f ca="1">AVERAGEIF(Posts_Cleaned[[#This Row],[Period]]:T:T,"Before Campaign",Posts_Cleaned[[#This Row],[Engagement Rate ]])</f>
        <v>0.15284393850519654</v>
      </c>
      <c r="W87" s="5">
        <f t="shared" ca="1" si="6"/>
        <v>0.14148089729003216</v>
      </c>
      <c r="X87" s="6">
        <f ca="1">(Posts_Cleaned[[#This Row],[During ]]-Posts_Cleaned[[#This Row],[Before ]])/Posts_Cleaned[[#This Row],[During ]]</f>
        <v>-8.0315020846032925E-2</v>
      </c>
      <c r="Y87" s="1">
        <f>IFERROR(VLOOKUP(O87, 'Campaign Metadata Dataset '!$A$1:$G$5,5,0),0)</f>
        <v>180000</v>
      </c>
      <c r="Z87" s="1">
        <f t="shared" si="7"/>
        <v>2.2555555555555554E-2</v>
      </c>
      <c r="AA87" s="1">
        <f t="shared" ca="1" si="5"/>
        <v>-8.0315020846032925E-2</v>
      </c>
    </row>
    <row r="88" spans="1:27" x14ac:dyDescent="0.25">
      <c r="A88" t="s">
        <v>144</v>
      </c>
      <c r="B88" s="1" t="s">
        <v>16</v>
      </c>
      <c r="C88" s="2">
        <v>45449</v>
      </c>
      <c r="D88" s="1" t="s">
        <v>60</v>
      </c>
      <c r="E88" s="1" t="s">
        <v>99</v>
      </c>
      <c r="F88">
        <v>1436</v>
      </c>
      <c r="G88">
        <v>765</v>
      </c>
      <c r="H88">
        <v>496</v>
      </c>
      <c r="I88">
        <v>12924</v>
      </c>
      <c r="J88">
        <v>12701</v>
      </c>
      <c r="K88">
        <v>197</v>
      </c>
      <c r="L88" s="1" t="s">
        <v>19</v>
      </c>
      <c r="M88" s="1"/>
      <c r="N88" s="1"/>
      <c r="O88" s="1" t="s">
        <v>31</v>
      </c>
      <c r="P88" s="5">
        <f>IFERROR(((Posts_Cleaned[[#This Row],[Likes]]+Posts_Cleaned[[#This Row],[Shares]]+Posts_Cleaned[[#This Row],[Comments]])/Posts_Cleaned[[#This Row],[Impressions]]),0)</f>
        <v>0.20868152274837512</v>
      </c>
      <c r="Q88" s="3" t="str">
        <f>_xlfn.TEXTJOIN(", ", TRUE, Posts_Cleaned[[#This Row],[Hashtags Used.1]], Posts_Cleaned[[#This Row],[Hashtags Used.2]], Posts_Cleaned[[#This Row],[Hashtags Used.3]])</f>
        <v>#FutureOfDriving</v>
      </c>
      <c r="R88" s="2">
        <f>VLOOKUP(Posts_Cleaned[[#This Row],[Campaign_Name]],'Campaign Metadata Dataset '!$A$2:$B$5,2,0)</f>
        <v>45651</v>
      </c>
      <c r="S88" s="2">
        <f>VLOOKUP(Posts_Cleaned[[#This Row],[Campaign_Name]],'Campaign Metadata Dataset '!$A$1:$C$5,3,0)</f>
        <v>45667</v>
      </c>
      <c r="T88" s="1" t="str">
        <f t="shared" si="4"/>
        <v>Before Campaign</v>
      </c>
      <c r="U88" s="1">
        <f>SUM(Posts_Cleaned[[#This Row],[Likes]]+Posts_Cleaned[[#This Row],[Shares]]+Posts_Cleaned[[#This Row],[Comments]]+Posts_Cleaned[[#This Row],[Clicks]])</f>
        <v>2894</v>
      </c>
      <c r="V88" s="1">
        <f ca="1">AVERAGEIF(Posts_Cleaned[[#This Row],[Period]]:T:T,"Before Campaign",Posts_Cleaned[[#This Row],[Engagement Rate ]])</f>
        <v>0.15970533800162573</v>
      </c>
      <c r="W88" s="5">
        <f t="shared" ca="1" si="6"/>
        <v>0.12310482650994412</v>
      </c>
      <c r="X88" s="6">
        <f ca="1">(Posts_Cleaned[[#This Row],[During ]]-Posts_Cleaned[[#This Row],[Before ]])/Posts_Cleaned[[#This Row],[During ]]</f>
        <v>-0.29731175071941723</v>
      </c>
      <c r="Y88" s="1">
        <f>IFERROR(VLOOKUP(O88, 'Campaign Metadata Dataset '!$A$1:$G$5,5,0),0)</f>
        <v>250000</v>
      </c>
      <c r="Z88" s="1">
        <f t="shared" si="7"/>
        <v>1.1575999999999999E-2</v>
      </c>
      <c r="AA88" s="1">
        <f t="shared" ca="1" si="5"/>
        <v>-0.29731175071941723</v>
      </c>
    </row>
    <row r="89" spans="1:27" x14ac:dyDescent="0.25">
      <c r="A89" t="s">
        <v>145</v>
      </c>
      <c r="B89" s="1" t="s">
        <v>40</v>
      </c>
      <c r="C89" s="2">
        <v>45480</v>
      </c>
      <c r="D89" s="1" t="s">
        <v>34</v>
      </c>
      <c r="E89" s="1" t="s">
        <v>58</v>
      </c>
      <c r="F89">
        <v>302</v>
      </c>
      <c r="G89">
        <v>47</v>
      </c>
      <c r="H89">
        <v>430</v>
      </c>
      <c r="I89">
        <v>5738</v>
      </c>
      <c r="J89">
        <v>4890</v>
      </c>
      <c r="K89">
        <v>25</v>
      </c>
      <c r="L89" s="1" t="s">
        <v>25</v>
      </c>
      <c r="M89" s="1"/>
      <c r="N89" s="1"/>
      <c r="O89" s="1" t="s">
        <v>37</v>
      </c>
      <c r="P89" s="5">
        <f>IFERROR(((Posts_Cleaned[[#This Row],[Likes]]+Posts_Cleaned[[#This Row],[Shares]]+Posts_Cleaned[[#This Row],[Comments]])/Posts_Cleaned[[#This Row],[Impressions]]),0)</f>
        <v>0.13576158940397351</v>
      </c>
      <c r="Q89" s="3" t="str">
        <f>_xlfn.TEXTJOIN(", ", TRUE, Posts_Cleaned[[#This Row],[Hashtags Used.1]], Posts_Cleaned[[#This Row],[Hashtags Used.2]], Posts_Cleaned[[#This Row],[Hashtags Used.3]])</f>
        <v>#TeslaCoInnovation</v>
      </c>
      <c r="R89" s="2">
        <f>VLOOKUP(Posts_Cleaned[[#This Row],[Campaign_Name]],'Campaign Metadata Dataset '!$A$2:$B$5,2,0)</f>
        <v>45717</v>
      </c>
      <c r="S89" s="2">
        <f>VLOOKUP(Posts_Cleaned[[#This Row],[Campaign_Name]],'Campaign Metadata Dataset '!$A$1:$C$5,3,0)</f>
        <v>45747</v>
      </c>
      <c r="T89" s="1" t="str">
        <f t="shared" si="4"/>
        <v>Before Campaign</v>
      </c>
      <c r="U89" s="1">
        <f>SUM(Posts_Cleaned[[#This Row],[Likes]]+Posts_Cleaned[[#This Row],[Shares]]+Posts_Cleaned[[#This Row],[Comments]]+Posts_Cleaned[[#This Row],[Clicks]])</f>
        <v>804</v>
      </c>
      <c r="V89" s="1">
        <f ca="1">AVERAGEIF(Posts_Cleaned[[#This Row],[Period]]:T:T,"Before Campaign",Posts_Cleaned[[#This Row],[Engagement Rate ]])</f>
        <v>0.15232789402834321</v>
      </c>
      <c r="W89" s="5">
        <f t="shared" ca="1" si="6"/>
        <v>0.15736503516670813</v>
      </c>
      <c r="X89" s="6">
        <f ca="1">(Posts_Cleaned[[#This Row],[During ]]-Posts_Cleaned[[#This Row],[Before ]])/Posts_Cleaned[[#This Row],[During ]]</f>
        <v>3.2009277874393879E-2</v>
      </c>
      <c r="Y89" s="1">
        <f>IFERROR(VLOOKUP(O89, 'Campaign Metadata Dataset '!$A$1:$G$5,5,0),0)</f>
        <v>180000</v>
      </c>
      <c r="Z89" s="1">
        <f t="shared" si="7"/>
        <v>4.4666666666666665E-3</v>
      </c>
      <c r="AA89" s="1">
        <f t="shared" ca="1" si="5"/>
        <v>3.2009277874393879E-2</v>
      </c>
    </row>
    <row r="90" spans="1:27" x14ac:dyDescent="0.25">
      <c r="A90" t="s">
        <v>146</v>
      </c>
      <c r="B90" s="1" t="s">
        <v>16</v>
      </c>
      <c r="C90" s="2">
        <v>45667</v>
      </c>
      <c r="D90" s="1" t="s">
        <v>46</v>
      </c>
      <c r="E90" s="1" t="s">
        <v>92</v>
      </c>
      <c r="F90">
        <v>2214</v>
      </c>
      <c r="G90">
        <v>249</v>
      </c>
      <c r="H90">
        <v>152</v>
      </c>
      <c r="I90">
        <v>15498</v>
      </c>
      <c r="J90">
        <v>14800</v>
      </c>
      <c r="K90">
        <v>180</v>
      </c>
      <c r="L90" s="1" t="s">
        <v>36</v>
      </c>
      <c r="M90" s="1"/>
      <c r="N90" s="1"/>
      <c r="O90" s="1"/>
      <c r="P90" s="5">
        <f>IFERROR(((Posts_Cleaned[[#This Row],[Likes]]+Posts_Cleaned[[#This Row],[Shares]]+Posts_Cleaned[[#This Row],[Comments]])/Posts_Cleaned[[#This Row],[Impressions]]),0)</f>
        <v>0.16873144921925409</v>
      </c>
      <c r="Q90" s="3" t="str">
        <f>_xlfn.TEXTJOIN(", ", TRUE, Posts_Cleaned[[#This Row],[Hashtags Used.1]], Posts_Cleaned[[#This Row],[Hashtags Used.2]], Posts_Cleaned[[#This Row],[Hashtags Used.3]])</f>
        <v>#EVRevolution</v>
      </c>
      <c r="R90" s="2" t="e">
        <f>VLOOKUP(Posts_Cleaned[[#This Row],[Campaign_Name]],'Campaign Metadata Dataset '!$A$2:$B$5,2,0)</f>
        <v>#N/A</v>
      </c>
      <c r="S90" s="2" t="e">
        <f>VLOOKUP(Posts_Cleaned[[#This Row],[Campaign_Name]],'Campaign Metadata Dataset '!$A$1:$C$5,3,0)</f>
        <v>#N/A</v>
      </c>
      <c r="T90" s="1" t="e">
        <f t="shared" si="4"/>
        <v>#N/A</v>
      </c>
      <c r="U90" s="1">
        <f>SUM(Posts_Cleaned[[#This Row],[Likes]]+Posts_Cleaned[[#This Row],[Shares]]+Posts_Cleaned[[#This Row],[Comments]]+Posts_Cleaned[[#This Row],[Clicks]])</f>
        <v>2795</v>
      </c>
      <c r="V90" s="1">
        <f ca="1">AVERAGEIF(Posts_Cleaned[[#This Row],[Period]]:T:T,"Before Campaign",Posts_Cleaned[[#This Row],[Engagement Rate ]])</f>
        <v>0.15491529171857985</v>
      </c>
      <c r="W90" s="5">
        <f t="shared" ca="1" si="6"/>
        <v>0.19622349414213588</v>
      </c>
      <c r="X90" s="6">
        <f ca="1">(Posts_Cleaned[[#This Row],[During ]]-Posts_Cleaned[[#This Row],[Before ]])/Posts_Cleaned[[#This Row],[During ]]</f>
        <v>0.21051608832138188</v>
      </c>
      <c r="Y90" s="1">
        <f>IFERROR(VLOOKUP(O90, 'Campaign Metadata Dataset '!$A$1:$G$5,5,0),0)</f>
        <v>0</v>
      </c>
      <c r="Z90" s="1">
        <v>0</v>
      </c>
      <c r="AA90" s="1">
        <f t="shared" ca="1" si="5"/>
        <v>0.21051608832138188</v>
      </c>
    </row>
    <row r="91" spans="1:27" x14ac:dyDescent="0.25">
      <c r="A91" t="s">
        <v>147</v>
      </c>
      <c r="B91" s="1" t="s">
        <v>33</v>
      </c>
      <c r="C91" s="2">
        <v>45446</v>
      </c>
      <c r="D91" s="1" t="s">
        <v>46</v>
      </c>
      <c r="E91" s="1" t="s">
        <v>138</v>
      </c>
      <c r="F91">
        <v>3861</v>
      </c>
      <c r="G91">
        <v>960</v>
      </c>
      <c r="H91">
        <v>101</v>
      </c>
      <c r="I91">
        <v>69498</v>
      </c>
      <c r="J91">
        <v>68817</v>
      </c>
      <c r="K91">
        <v>297</v>
      </c>
      <c r="L91" s="1" t="s">
        <v>25</v>
      </c>
      <c r="M91" s="1"/>
      <c r="N91" s="1"/>
      <c r="O91" s="1" t="s">
        <v>37</v>
      </c>
      <c r="P91" s="5">
        <f>IFERROR(((Posts_Cleaned[[#This Row],[Likes]]+Posts_Cleaned[[#This Row],[Shares]]+Posts_Cleaned[[#This Row],[Comments]])/Posts_Cleaned[[#This Row],[Impressions]]),0)</f>
        <v>7.0822181933293038E-2</v>
      </c>
      <c r="Q91" s="3" t="str">
        <f>_xlfn.TEXTJOIN(", ", TRUE, Posts_Cleaned[[#This Row],[Hashtags Used.1]], Posts_Cleaned[[#This Row],[Hashtags Used.2]], Posts_Cleaned[[#This Row],[Hashtags Used.3]])</f>
        <v>#TeslaCoInnovation</v>
      </c>
      <c r="R91" s="2">
        <f>VLOOKUP(Posts_Cleaned[[#This Row],[Campaign_Name]],'Campaign Metadata Dataset '!$A$2:$B$5,2,0)</f>
        <v>45717</v>
      </c>
      <c r="S91" s="2">
        <f>VLOOKUP(Posts_Cleaned[[#This Row],[Campaign_Name]],'Campaign Metadata Dataset '!$A$1:$C$5,3,0)</f>
        <v>45747</v>
      </c>
      <c r="T91" s="1" t="str">
        <f t="shared" si="4"/>
        <v>Before Campaign</v>
      </c>
      <c r="U91" s="1">
        <f>SUM(Posts_Cleaned[[#This Row],[Likes]]+Posts_Cleaned[[#This Row],[Shares]]+Posts_Cleaned[[#This Row],[Comments]]+Posts_Cleaned[[#This Row],[Clicks]])</f>
        <v>5219</v>
      </c>
      <c r="V91" s="1">
        <f ca="1">AVERAGEIF(Posts_Cleaned[[#This Row],[Period]]:T:T,"Before Campaign",Posts_Cleaned[[#This Row],[Engagement Rate ]])</f>
        <v>0.15343097982701265</v>
      </c>
      <c r="W91" s="5">
        <f t="shared" ca="1" si="6"/>
        <v>0.12351932833915444</v>
      </c>
      <c r="X91" s="6">
        <f ca="1">(Posts_Cleaned[[#This Row],[During ]]-Posts_Cleaned[[#This Row],[Before ]])/Posts_Cleaned[[#This Row],[During ]]</f>
        <v>-0.24216170772664819</v>
      </c>
      <c r="Y91" s="1">
        <f>IFERROR(VLOOKUP(O91, 'Campaign Metadata Dataset '!$A$1:$G$5,5,0),0)</f>
        <v>180000</v>
      </c>
      <c r="Z91" s="1">
        <f t="shared" si="7"/>
        <v>2.8994444444444444E-2</v>
      </c>
      <c r="AA91" s="1">
        <f t="shared" ca="1" si="5"/>
        <v>-0.24216170772664819</v>
      </c>
    </row>
    <row r="92" spans="1:27" x14ac:dyDescent="0.25">
      <c r="A92" t="s">
        <v>148</v>
      </c>
      <c r="B92" s="1" t="s">
        <v>40</v>
      </c>
      <c r="C92" s="2">
        <v>45740</v>
      </c>
      <c r="D92" s="1" t="s">
        <v>46</v>
      </c>
      <c r="E92" s="1" t="s">
        <v>51</v>
      </c>
      <c r="F92">
        <v>1263</v>
      </c>
      <c r="G92">
        <v>397</v>
      </c>
      <c r="H92">
        <v>357</v>
      </c>
      <c r="I92">
        <v>25260</v>
      </c>
      <c r="J92">
        <v>24615</v>
      </c>
      <c r="K92">
        <v>137</v>
      </c>
      <c r="L92" s="1" t="s">
        <v>36</v>
      </c>
      <c r="M92" s="1"/>
      <c r="N92" s="1"/>
      <c r="O92" s="1" t="s">
        <v>37</v>
      </c>
      <c r="P92" s="5">
        <f>IFERROR(((Posts_Cleaned[[#This Row],[Likes]]+Posts_Cleaned[[#This Row],[Shares]]+Posts_Cleaned[[#This Row],[Comments]])/Posts_Cleaned[[#This Row],[Impressions]]),0)</f>
        <v>7.984956452889945E-2</v>
      </c>
      <c r="Q92" s="3" t="str">
        <f>_xlfn.TEXTJOIN(", ", TRUE, Posts_Cleaned[[#This Row],[Hashtags Used.1]], Posts_Cleaned[[#This Row],[Hashtags Used.2]], Posts_Cleaned[[#This Row],[Hashtags Used.3]])</f>
        <v>#EVRevolution</v>
      </c>
      <c r="R92" s="2">
        <f>VLOOKUP(Posts_Cleaned[[#This Row],[Campaign_Name]],'Campaign Metadata Dataset '!$A$2:$B$5,2,0)</f>
        <v>45717</v>
      </c>
      <c r="S92" s="2">
        <f>VLOOKUP(Posts_Cleaned[[#This Row],[Campaign_Name]],'Campaign Metadata Dataset '!$A$1:$C$5,3,0)</f>
        <v>45747</v>
      </c>
      <c r="T92" s="1" t="str">
        <f t="shared" si="4"/>
        <v>During Campaign</v>
      </c>
      <c r="U92" s="1">
        <f>SUM(Posts_Cleaned[[#This Row],[Likes]]+Posts_Cleaned[[#This Row],[Shares]]+Posts_Cleaned[[#This Row],[Comments]]+Posts_Cleaned[[#This Row],[Clicks]])</f>
        <v>2154</v>
      </c>
      <c r="V92" s="1">
        <f ca="1">AVERAGEIF(Posts_Cleaned[[#This Row],[Period]]:T:T,"Before Campaign",Posts_Cleaned[[#This Row],[Engagement Rate ]])</f>
        <v>0.14648796331509895</v>
      </c>
      <c r="W92" s="5">
        <f t="shared" ca="1" si="6"/>
        <v>0.16945407992573083</v>
      </c>
      <c r="X92" s="6">
        <f ca="1">(Posts_Cleaned[[#This Row],[During ]]-Posts_Cleaned[[#This Row],[Before ]])/Posts_Cleaned[[#This Row],[During ]]</f>
        <v>0.13553003044068099</v>
      </c>
      <c r="Y92" s="1">
        <f>IFERROR(VLOOKUP(O92, 'Campaign Metadata Dataset '!$A$1:$G$5,5,0),0)</f>
        <v>180000</v>
      </c>
      <c r="Z92" s="1">
        <f t="shared" si="7"/>
        <v>1.1966666666666667E-2</v>
      </c>
      <c r="AA92" s="1">
        <f t="shared" ca="1" si="5"/>
        <v>0.13553003044068099</v>
      </c>
    </row>
    <row r="93" spans="1:27" x14ac:dyDescent="0.25">
      <c r="A93" t="s">
        <v>149</v>
      </c>
      <c r="B93" s="1" t="s">
        <v>16</v>
      </c>
      <c r="C93" s="2">
        <v>45586</v>
      </c>
      <c r="D93" s="1" t="s">
        <v>34</v>
      </c>
      <c r="E93" s="1" t="s">
        <v>102</v>
      </c>
      <c r="F93">
        <v>3801</v>
      </c>
      <c r="G93">
        <v>967</v>
      </c>
      <c r="H93">
        <v>401</v>
      </c>
      <c r="I93">
        <v>38010</v>
      </c>
      <c r="J93">
        <v>37625</v>
      </c>
      <c r="K93">
        <v>236</v>
      </c>
      <c r="L93" s="1" t="s">
        <v>19</v>
      </c>
      <c r="M93" s="1"/>
      <c r="N93" s="1"/>
      <c r="O93" s="1" t="s">
        <v>31</v>
      </c>
      <c r="P93" s="5">
        <f>IFERROR(((Posts_Cleaned[[#This Row],[Likes]]+Posts_Cleaned[[#This Row],[Shares]]+Posts_Cleaned[[#This Row],[Comments]])/Posts_Cleaned[[#This Row],[Impressions]]),0)</f>
        <v>0.13599052880820836</v>
      </c>
      <c r="Q93" s="3" t="str">
        <f>_xlfn.TEXTJOIN(", ", TRUE, Posts_Cleaned[[#This Row],[Hashtags Used.1]], Posts_Cleaned[[#This Row],[Hashtags Used.2]], Posts_Cleaned[[#This Row],[Hashtags Used.3]])</f>
        <v>#FutureOfDriving</v>
      </c>
      <c r="R93" s="2">
        <f>VLOOKUP(Posts_Cleaned[[#This Row],[Campaign_Name]],'Campaign Metadata Dataset '!$A$2:$B$5,2,0)</f>
        <v>45651</v>
      </c>
      <c r="S93" s="2">
        <f>VLOOKUP(Posts_Cleaned[[#This Row],[Campaign_Name]],'Campaign Metadata Dataset '!$A$1:$C$5,3,0)</f>
        <v>45667</v>
      </c>
      <c r="T93" s="1" t="str">
        <f t="shared" si="4"/>
        <v>Before Campaign</v>
      </c>
      <c r="U93" s="1">
        <f>SUM(Posts_Cleaned[[#This Row],[Likes]]+Posts_Cleaned[[#This Row],[Shares]]+Posts_Cleaned[[#This Row],[Comments]]+Posts_Cleaned[[#This Row],[Clicks]])</f>
        <v>5405</v>
      </c>
      <c r="V93" s="1">
        <f ca="1">AVERAGEIF(Posts_Cleaned[[#This Row],[Period]]:T:T,"Before Campaign",Posts_Cleaned[[#This Row],[Engagement Rate ]])</f>
        <v>0.14626739902762903</v>
      </c>
      <c r="W93" s="5">
        <f t="shared" ca="1" si="6"/>
        <v>0.12503189865792633</v>
      </c>
      <c r="X93" s="6">
        <f ca="1">(Posts_Cleaned[[#This Row],[During ]]-Posts_Cleaned[[#This Row],[Before ]])/Posts_Cleaned[[#This Row],[During ]]</f>
        <v>-0.16984066144433047</v>
      </c>
      <c r="Y93" s="1">
        <f>IFERROR(VLOOKUP(O93, 'Campaign Metadata Dataset '!$A$1:$G$5,5,0),0)</f>
        <v>250000</v>
      </c>
      <c r="Z93" s="1">
        <f t="shared" si="7"/>
        <v>2.162E-2</v>
      </c>
      <c r="AA93" s="1">
        <f t="shared" ca="1" si="5"/>
        <v>-0.16984066144433047</v>
      </c>
    </row>
    <row r="94" spans="1:27" x14ac:dyDescent="0.25">
      <c r="A94" t="s">
        <v>150</v>
      </c>
      <c r="B94" s="1" t="s">
        <v>33</v>
      </c>
      <c r="C94" s="2">
        <v>45637</v>
      </c>
      <c r="D94" s="1" t="s">
        <v>60</v>
      </c>
      <c r="E94" s="1" t="s">
        <v>67</v>
      </c>
      <c r="F94">
        <v>1431</v>
      </c>
      <c r="G94">
        <v>951</v>
      </c>
      <c r="H94">
        <v>26</v>
      </c>
      <c r="I94">
        <v>8586</v>
      </c>
      <c r="J94">
        <v>8396</v>
      </c>
      <c r="K94">
        <v>150</v>
      </c>
      <c r="L94" s="1" t="s">
        <v>36</v>
      </c>
      <c r="M94" s="1"/>
      <c r="N94" s="1"/>
      <c r="O94" s="1" t="s">
        <v>31</v>
      </c>
      <c r="P94" s="5">
        <f>IFERROR(((Posts_Cleaned[[#This Row],[Likes]]+Posts_Cleaned[[#This Row],[Shares]]+Posts_Cleaned[[#This Row],[Comments]])/Posts_Cleaned[[#This Row],[Impressions]]),0)</f>
        <v>0.28045655718611695</v>
      </c>
      <c r="Q94" s="3" t="str">
        <f>_xlfn.TEXTJOIN(", ", TRUE, Posts_Cleaned[[#This Row],[Hashtags Used.1]], Posts_Cleaned[[#This Row],[Hashtags Used.2]], Posts_Cleaned[[#This Row],[Hashtags Used.3]])</f>
        <v>#EVRevolution</v>
      </c>
      <c r="R94" s="2">
        <f>VLOOKUP(Posts_Cleaned[[#This Row],[Campaign_Name]],'Campaign Metadata Dataset '!$A$2:$B$5,2,0)</f>
        <v>45651</v>
      </c>
      <c r="S94" s="2">
        <f>VLOOKUP(Posts_Cleaned[[#This Row],[Campaign_Name]],'Campaign Metadata Dataset '!$A$1:$C$5,3,0)</f>
        <v>45667</v>
      </c>
      <c r="T94" s="1" t="str">
        <f t="shared" si="4"/>
        <v>Before Campaign</v>
      </c>
      <c r="U94" s="1">
        <f>SUM(Posts_Cleaned[[#This Row],[Likes]]+Posts_Cleaned[[#This Row],[Shares]]+Posts_Cleaned[[#This Row],[Comments]]+Posts_Cleaned[[#This Row],[Clicks]])</f>
        <v>2558</v>
      </c>
      <c r="V94" s="1">
        <f ca="1">AVERAGEIF(Posts_Cleaned[[#This Row],[Period]]:T:T,"Before Campaign",Posts_Cleaned[[#This Row],[Engagement Rate ]])</f>
        <v>0.15895781587526026</v>
      </c>
      <c r="W94" s="5">
        <f t="shared" ca="1" si="6"/>
        <v>0.14640044436180266</v>
      </c>
      <c r="X94" s="6">
        <f ca="1">(Posts_Cleaned[[#This Row],[During ]]-Posts_Cleaned[[#This Row],[Before ]])/Posts_Cleaned[[#This Row],[During ]]</f>
        <v>-8.5774135237078122E-2</v>
      </c>
      <c r="Y94" s="1">
        <f>IFERROR(VLOOKUP(O94, 'Campaign Metadata Dataset '!$A$1:$G$5,5,0),0)</f>
        <v>250000</v>
      </c>
      <c r="Z94" s="1">
        <f t="shared" si="7"/>
        <v>1.0232E-2</v>
      </c>
      <c r="AA94" s="1">
        <f t="shared" ca="1" si="5"/>
        <v>-8.5774135237078122E-2</v>
      </c>
    </row>
    <row r="95" spans="1:27" x14ac:dyDescent="0.25">
      <c r="A95" t="s">
        <v>151</v>
      </c>
      <c r="B95" s="1" t="s">
        <v>33</v>
      </c>
      <c r="C95" s="2">
        <v>45603</v>
      </c>
      <c r="D95" s="1" t="s">
        <v>46</v>
      </c>
      <c r="E95" s="1" t="s">
        <v>138</v>
      </c>
      <c r="F95">
        <v>2647</v>
      </c>
      <c r="G95">
        <v>304</v>
      </c>
      <c r="H95">
        <v>170</v>
      </c>
      <c r="I95">
        <v>18529</v>
      </c>
      <c r="J95">
        <v>17841</v>
      </c>
      <c r="K95">
        <v>46</v>
      </c>
      <c r="L95" s="1" t="s">
        <v>19</v>
      </c>
      <c r="M95" s="1"/>
      <c r="N95" s="1"/>
      <c r="O95" s="1" t="s">
        <v>31</v>
      </c>
      <c r="P95" s="5">
        <f>IFERROR(((Posts_Cleaned[[#This Row],[Likes]]+Posts_Cleaned[[#This Row],[Shares]]+Posts_Cleaned[[#This Row],[Comments]])/Posts_Cleaned[[#This Row],[Impressions]]),0)</f>
        <v>0.16843866371633656</v>
      </c>
      <c r="Q95" s="3" t="str">
        <f>_xlfn.TEXTJOIN(", ", TRUE, Posts_Cleaned[[#This Row],[Hashtags Used.1]], Posts_Cleaned[[#This Row],[Hashtags Used.2]], Posts_Cleaned[[#This Row],[Hashtags Used.3]])</f>
        <v>#FutureOfDriving</v>
      </c>
      <c r="R95" s="2">
        <f>VLOOKUP(Posts_Cleaned[[#This Row],[Campaign_Name]],'Campaign Metadata Dataset '!$A$2:$B$5,2,0)</f>
        <v>45651</v>
      </c>
      <c r="S95" s="2">
        <f>VLOOKUP(Posts_Cleaned[[#This Row],[Campaign_Name]],'Campaign Metadata Dataset '!$A$1:$C$5,3,0)</f>
        <v>45667</v>
      </c>
      <c r="T95" s="1" t="str">
        <f t="shared" si="4"/>
        <v>Before Campaign</v>
      </c>
      <c r="U95" s="1">
        <f>SUM(Posts_Cleaned[[#This Row],[Likes]]+Posts_Cleaned[[#This Row],[Shares]]+Posts_Cleaned[[#This Row],[Comments]]+Posts_Cleaned[[#This Row],[Clicks]])</f>
        <v>3167</v>
      </c>
      <c r="V95" s="1">
        <f ca="1">AVERAGEIF(Posts_Cleaned[[#This Row],[Period]]:T:T,"Before Campaign",Posts_Cleaned[[#This Row],[Engagement Rate ]])</f>
        <v>0.1520637240249284</v>
      </c>
      <c r="W95" s="5">
        <f t="shared" ca="1" si="6"/>
        <v>0.13781752921335436</v>
      </c>
      <c r="X95" s="6">
        <f ca="1">(Posts_Cleaned[[#This Row],[During ]]-Posts_Cleaned[[#This Row],[Before ]])/Posts_Cleaned[[#This Row],[During ]]</f>
        <v>-0.1033699769027176</v>
      </c>
      <c r="Y95" s="1">
        <f>IFERROR(VLOOKUP(O95, 'Campaign Metadata Dataset '!$A$1:$G$5,5,0),0)</f>
        <v>250000</v>
      </c>
      <c r="Z95" s="1">
        <f t="shared" si="7"/>
        <v>1.2668E-2</v>
      </c>
      <c r="AA95" s="1">
        <f t="shared" ca="1" si="5"/>
        <v>-0.1033699769027176</v>
      </c>
    </row>
    <row r="96" spans="1:27" x14ac:dyDescent="0.25">
      <c r="A96" t="s">
        <v>152</v>
      </c>
      <c r="B96" s="1" t="s">
        <v>33</v>
      </c>
      <c r="C96" s="2">
        <v>45604</v>
      </c>
      <c r="D96" s="1" t="s">
        <v>23</v>
      </c>
      <c r="E96" s="1" t="s">
        <v>82</v>
      </c>
      <c r="F96">
        <v>3182</v>
      </c>
      <c r="G96">
        <v>559</v>
      </c>
      <c r="H96">
        <v>160</v>
      </c>
      <c r="I96">
        <v>57276</v>
      </c>
      <c r="J96">
        <v>56890</v>
      </c>
      <c r="K96">
        <v>163</v>
      </c>
      <c r="L96" s="1" t="s">
        <v>19</v>
      </c>
      <c r="M96" s="1"/>
      <c r="N96" s="1"/>
      <c r="O96" s="1" t="s">
        <v>37</v>
      </c>
      <c r="P96" s="5">
        <f>IFERROR(((Posts_Cleaned[[#This Row],[Likes]]+Posts_Cleaned[[#This Row],[Shares]]+Posts_Cleaned[[#This Row],[Comments]])/Posts_Cleaned[[#This Row],[Impressions]]),0)</f>
        <v>6.8108806480899509E-2</v>
      </c>
      <c r="Q96" s="3" t="str">
        <f>_xlfn.TEXTJOIN(", ", TRUE, Posts_Cleaned[[#This Row],[Hashtags Used.1]], Posts_Cleaned[[#This Row],[Hashtags Used.2]], Posts_Cleaned[[#This Row],[Hashtags Used.3]])</f>
        <v>#FutureOfDriving</v>
      </c>
      <c r="R96" s="2">
        <f>VLOOKUP(Posts_Cleaned[[#This Row],[Campaign_Name]],'Campaign Metadata Dataset '!$A$2:$B$5,2,0)</f>
        <v>45717</v>
      </c>
      <c r="S96" s="2">
        <f>VLOOKUP(Posts_Cleaned[[#This Row],[Campaign_Name]],'Campaign Metadata Dataset '!$A$1:$C$5,3,0)</f>
        <v>45747</v>
      </c>
      <c r="T96" s="1" t="str">
        <f t="shared" si="4"/>
        <v>Before Campaign</v>
      </c>
      <c r="U96" s="1">
        <f>SUM(Posts_Cleaned[[#This Row],[Likes]]+Posts_Cleaned[[#This Row],[Shares]]+Posts_Cleaned[[#This Row],[Comments]]+Posts_Cleaned[[#This Row],[Clicks]])</f>
        <v>4064</v>
      </c>
      <c r="V96" s="1">
        <f ca="1">AVERAGEIF(Posts_Cleaned[[#This Row],[Period]]:T:T,"Before Campaign",Posts_Cleaned[[#This Row],[Engagement Rate ]])</f>
        <v>0.14140097877487073</v>
      </c>
      <c r="W96" s="5">
        <f t="shared" ca="1" si="6"/>
        <v>8.722100676037238E-2</v>
      </c>
      <c r="X96" s="6">
        <f ca="1">(Posts_Cleaned[[#This Row],[During ]]-Posts_Cleaned[[#This Row],[Before ]])/Posts_Cleaned[[#This Row],[During ]]</f>
        <v>-0.62118030996076801</v>
      </c>
      <c r="Y96" s="1">
        <f>IFERROR(VLOOKUP(O96, 'Campaign Metadata Dataset '!$A$1:$G$5,5,0),0)</f>
        <v>180000</v>
      </c>
      <c r="Z96" s="1">
        <f t="shared" si="7"/>
        <v>2.2577777777777776E-2</v>
      </c>
      <c r="AA96" s="1">
        <f t="shared" ca="1" si="5"/>
        <v>-0.62118030996076801</v>
      </c>
    </row>
    <row r="97" spans="1:27" x14ac:dyDescent="0.25">
      <c r="A97" t="s">
        <v>153</v>
      </c>
      <c r="B97" s="1" t="s">
        <v>16</v>
      </c>
      <c r="C97" s="2">
        <v>45545</v>
      </c>
      <c r="D97" s="1" t="s">
        <v>46</v>
      </c>
      <c r="E97" s="1" t="s">
        <v>92</v>
      </c>
      <c r="F97">
        <v>1238</v>
      </c>
      <c r="G97">
        <v>366</v>
      </c>
      <c r="H97">
        <v>444</v>
      </c>
      <c r="I97">
        <v>19808</v>
      </c>
      <c r="J97">
        <v>19334</v>
      </c>
      <c r="K97">
        <v>123</v>
      </c>
      <c r="L97" s="1" t="s">
        <v>19</v>
      </c>
      <c r="M97" s="1"/>
      <c r="N97" s="1"/>
      <c r="O97" s="1"/>
      <c r="P97" s="5">
        <f>IFERROR(((Posts_Cleaned[[#This Row],[Likes]]+Posts_Cleaned[[#This Row],[Shares]]+Posts_Cleaned[[#This Row],[Comments]])/Posts_Cleaned[[#This Row],[Impressions]]),0)</f>
        <v>0.10339256865912763</v>
      </c>
      <c r="Q97" s="3" t="str">
        <f>_xlfn.TEXTJOIN(", ", TRUE, Posts_Cleaned[[#This Row],[Hashtags Used.1]], Posts_Cleaned[[#This Row],[Hashtags Used.2]], Posts_Cleaned[[#This Row],[Hashtags Used.3]])</f>
        <v>#FutureOfDriving</v>
      </c>
      <c r="R97" s="2" t="e">
        <f>VLOOKUP(Posts_Cleaned[[#This Row],[Campaign_Name]],'Campaign Metadata Dataset '!$A$2:$B$5,2,0)</f>
        <v>#N/A</v>
      </c>
      <c r="S97" s="2" t="e">
        <f>VLOOKUP(Posts_Cleaned[[#This Row],[Campaign_Name]],'Campaign Metadata Dataset '!$A$1:$C$5,3,0)</f>
        <v>#N/A</v>
      </c>
      <c r="T97" s="1" t="e">
        <f t="shared" si="4"/>
        <v>#N/A</v>
      </c>
      <c r="U97" s="1">
        <f>SUM(Posts_Cleaned[[#This Row],[Likes]]+Posts_Cleaned[[#This Row],[Shares]]+Posts_Cleaned[[#This Row],[Comments]]+Posts_Cleaned[[#This Row],[Clicks]])</f>
        <v>2171</v>
      </c>
      <c r="V97" s="1">
        <f ca="1">AVERAGEIF(Posts_Cleaned[[#This Row],[Period]]:T:T,"Before Campaign",Posts_Cleaned[[#This Row],[Engagement Rate ]])</f>
        <v>0.15446022082204641</v>
      </c>
      <c r="W97" s="5">
        <f t="shared" ca="1" si="6"/>
        <v>0.13696207348344053</v>
      </c>
      <c r="X97" s="6">
        <f ca="1">(Posts_Cleaned[[#This Row],[During ]]-Posts_Cleaned[[#This Row],[Before ]])/Posts_Cleaned[[#This Row],[During ]]</f>
        <v>-0.12775907149742083</v>
      </c>
      <c r="Y97" s="1">
        <f>IFERROR(VLOOKUP(O97, 'Campaign Metadata Dataset '!$A$1:$G$5,5,0),0)</f>
        <v>0</v>
      </c>
      <c r="Z97" s="1">
        <v>0</v>
      </c>
      <c r="AA97" s="1">
        <f t="shared" ca="1" si="5"/>
        <v>-0.12775907149742083</v>
      </c>
    </row>
    <row r="98" spans="1:27" x14ac:dyDescent="0.25">
      <c r="A98" t="s">
        <v>154</v>
      </c>
      <c r="B98" s="1" t="s">
        <v>33</v>
      </c>
      <c r="C98" s="2">
        <v>45517</v>
      </c>
      <c r="D98" s="1" t="s">
        <v>46</v>
      </c>
      <c r="E98" s="1" t="s">
        <v>138</v>
      </c>
      <c r="F98">
        <v>4739</v>
      </c>
      <c r="G98">
        <v>527</v>
      </c>
      <c r="H98">
        <v>135</v>
      </c>
      <c r="I98">
        <v>61607</v>
      </c>
      <c r="J98">
        <v>61333</v>
      </c>
      <c r="K98">
        <v>36</v>
      </c>
      <c r="L98" s="1" t="s">
        <v>25</v>
      </c>
      <c r="M98" s="1" t="s">
        <v>20</v>
      </c>
      <c r="N98" s="1"/>
      <c r="O98" s="1" t="s">
        <v>27</v>
      </c>
      <c r="P98" s="5">
        <f>IFERROR(((Posts_Cleaned[[#This Row],[Likes]]+Posts_Cleaned[[#This Row],[Shares]]+Posts_Cleaned[[#This Row],[Comments]])/Posts_Cleaned[[#This Row],[Impressions]]),0)</f>
        <v>8.7668609086629767E-2</v>
      </c>
      <c r="Q98" s="3" t="str">
        <f>_xlfn.TEXTJOIN(", ", TRUE, Posts_Cleaned[[#This Row],[Hashtags Used.1]], Posts_Cleaned[[#This Row],[Hashtags Used.2]], Posts_Cleaned[[#This Row],[Hashtags Used.3]])</f>
        <v>#TeslaCoInnovation, #AnytimeIsTeslaTime</v>
      </c>
      <c r="R98" s="2">
        <f>VLOOKUP(Posts_Cleaned[[#This Row],[Campaign_Name]],'Campaign Metadata Dataset '!$A$2:$B$5,2,0)</f>
        <v>45566</v>
      </c>
      <c r="S98" s="2">
        <f>VLOOKUP(Posts_Cleaned[[#This Row],[Campaign_Name]],'Campaign Metadata Dataset '!$A$1:$C$5,3,0)</f>
        <v>45596</v>
      </c>
      <c r="T98" s="1" t="str">
        <f t="shared" si="4"/>
        <v>Before Campaign</v>
      </c>
      <c r="U98" s="1">
        <f>SUM(Posts_Cleaned[[#This Row],[Likes]]+Posts_Cleaned[[#This Row],[Shares]]+Posts_Cleaned[[#This Row],[Comments]]+Posts_Cleaned[[#This Row],[Clicks]])</f>
        <v>5437</v>
      </c>
      <c r="V98" s="1">
        <f ca="1">AVERAGEIF(Posts_Cleaned[[#This Row],[Period]]:T:T,"Before Campaign",Posts_Cleaned[[#This Row],[Engagement Rate ]])</f>
        <v>0.15811669353327903</v>
      </c>
      <c r="W98" s="5">
        <f t="shared" ca="1" si="6"/>
        <v>0.19096338979340566</v>
      </c>
      <c r="X98" s="6">
        <f ca="1">(Posts_Cleaned[[#This Row],[During ]]-Posts_Cleaned[[#This Row],[Before ]])/Posts_Cleaned[[#This Row],[During ]]</f>
        <v>0.17200520107891845</v>
      </c>
      <c r="Y98" s="1">
        <f>IFERROR(VLOOKUP(O98, 'Campaign Metadata Dataset '!$A$1:$G$5,5,0),0)</f>
        <v>200000</v>
      </c>
      <c r="Z98" s="1">
        <f t="shared" si="7"/>
        <v>2.7185000000000001E-2</v>
      </c>
      <c r="AA98" s="1">
        <f t="shared" ca="1" si="5"/>
        <v>0.17200520107891845</v>
      </c>
    </row>
    <row r="99" spans="1:27" x14ac:dyDescent="0.25">
      <c r="A99" t="s">
        <v>155</v>
      </c>
      <c r="B99" s="1" t="s">
        <v>16</v>
      </c>
      <c r="C99" s="2">
        <v>45453</v>
      </c>
      <c r="D99" s="1" t="s">
        <v>34</v>
      </c>
      <c r="E99" s="1" t="s">
        <v>102</v>
      </c>
      <c r="F99">
        <v>1575</v>
      </c>
      <c r="G99">
        <v>771</v>
      </c>
      <c r="H99">
        <v>486</v>
      </c>
      <c r="I99">
        <v>25200</v>
      </c>
      <c r="J99">
        <v>24826</v>
      </c>
      <c r="K99">
        <v>17</v>
      </c>
      <c r="L99" s="1" t="s">
        <v>19</v>
      </c>
      <c r="M99" s="1"/>
      <c r="N99" s="1"/>
      <c r="O99" s="1" t="s">
        <v>37</v>
      </c>
      <c r="P99" s="5">
        <f>IFERROR(((Posts_Cleaned[[#This Row],[Likes]]+Posts_Cleaned[[#This Row],[Shares]]+Posts_Cleaned[[#This Row],[Comments]])/Posts_Cleaned[[#This Row],[Impressions]]),0)</f>
        <v>0.11238095238095239</v>
      </c>
      <c r="Q99" s="3" t="str">
        <f>_xlfn.TEXTJOIN(", ", TRUE, Posts_Cleaned[[#This Row],[Hashtags Used.1]], Posts_Cleaned[[#This Row],[Hashtags Used.2]], Posts_Cleaned[[#This Row],[Hashtags Used.3]])</f>
        <v>#FutureOfDriving</v>
      </c>
      <c r="R99" s="2">
        <f>VLOOKUP(Posts_Cleaned[[#This Row],[Campaign_Name]],'Campaign Metadata Dataset '!$A$2:$B$5,2,0)</f>
        <v>45717</v>
      </c>
      <c r="S99" s="2">
        <f>VLOOKUP(Posts_Cleaned[[#This Row],[Campaign_Name]],'Campaign Metadata Dataset '!$A$1:$C$5,3,0)</f>
        <v>45747</v>
      </c>
      <c r="T99" s="1" t="str">
        <f t="shared" si="4"/>
        <v>Before Campaign</v>
      </c>
      <c r="U99" s="1">
        <f>SUM(Posts_Cleaned[[#This Row],[Likes]]+Posts_Cleaned[[#This Row],[Shares]]+Posts_Cleaned[[#This Row],[Comments]]+Posts_Cleaned[[#This Row],[Clicks]])</f>
        <v>2849</v>
      </c>
      <c r="V99" s="1">
        <f ca="1">AVERAGEIF(Posts_Cleaned[[#This Row],[Period]]:T:T,"Before Campaign",Posts_Cleaned[[#This Row],[Engagement Rate ]])</f>
        <v>0.13743096590810364</v>
      </c>
      <c r="W99" s="5">
        <f t="shared" ca="1" si="6"/>
        <v>0.15786775616389048</v>
      </c>
      <c r="X99" s="6">
        <f ca="1">(Posts_Cleaned[[#This Row],[During ]]-Posts_Cleaned[[#This Row],[Before ]])/Posts_Cleaned[[#This Row],[During ]]</f>
        <v>0.12945512593825925</v>
      </c>
      <c r="Y99" s="1">
        <f>IFERROR(VLOOKUP(O99, 'Campaign Metadata Dataset '!$A$1:$G$5,5,0),0)</f>
        <v>180000</v>
      </c>
      <c r="Z99" s="1">
        <f t="shared" si="7"/>
        <v>1.5827777777777777E-2</v>
      </c>
      <c r="AA99" s="1">
        <f t="shared" ca="1" si="5"/>
        <v>0.12945512593825925</v>
      </c>
    </row>
    <row r="100" spans="1:27" x14ac:dyDescent="0.25">
      <c r="A100" t="s">
        <v>156</v>
      </c>
      <c r="B100" s="1" t="s">
        <v>29</v>
      </c>
      <c r="C100" s="2">
        <v>45475</v>
      </c>
      <c r="D100" s="1" t="s">
        <v>41</v>
      </c>
      <c r="E100" s="1" t="s">
        <v>56</v>
      </c>
      <c r="F100">
        <v>4171</v>
      </c>
      <c r="G100">
        <v>548</v>
      </c>
      <c r="H100">
        <v>86</v>
      </c>
      <c r="I100">
        <v>66736</v>
      </c>
      <c r="J100">
        <v>66634</v>
      </c>
      <c r="K100">
        <v>173</v>
      </c>
      <c r="L100" s="1" t="s">
        <v>19</v>
      </c>
      <c r="M100" s="1"/>
      <c r="N100" s="1"/>
      <c r="O100" s="1" t="s">
        <v>31</v>
      </c>
      <c r="P100" s="5">
        <f>IFERROR(((Posts_Cleaned[[#This Row],[Likes]]+Posts_Cleaned[[#This Row],[Shares]]+Posts_Cleaned[[#This Row],[Comments]])/Posts_Cleaned[[#This Row],[Impressions]]),0)</f>
        <v>7.2000119875329657E-2</v>
      </c>
      <c r="Q100" s="3" t="str">
        <f>_xlfn.TEXTJOIN(", ", TRUE, Posts_Cleaned[[#This Row],[Hashtags Used.1]], Posts_Cleaned[[#This Row],[Hashtags Used.2]], Posts_Cleaned[[#This Row],[Hashtags Used.3]])</f>
        <v>#FutureOfDriving</v>
      </c>
      <c r="R100" s="2">
        <f>VLOOKUP(Posts_Cleaned[[#This Row],[Campaign_Name]],'Campaign Metadata Dataset '!$A$2:$B$5,2,0)</f>
        <v>45651</v>
      </c>
      <c r="S100" s="2">
        <f>VLOOKUP(Posts_Cleaned[[#This Row],[Campaign_Name]],'Campaign Metadata Dataset '!$A$1:$C$5,3,0)</f>
        <v>45667</v>
      </c>
      <c r="T100" s="1" t="str">
        <f t="shared" si="4"/>
        <v>Before Campaign</v>
      </c>
      <c r="U100" s="1">
        <f>SUM(Posts_Cleaned[[#This Row],[Likes]]+Posts_Cleaned[[#This Row],[Shares]]+Posts_Cleaned[[#This Row],[Comments]]+Posts_Cleaned[[#This Row],[Clicks]])</f>
        <v>4978</v>
      </c>
      <c r="V100" s="1">
        <f ca="1">AVERAGEIF(Posts_Cleaned[[#This Row],[Period]]:T:T,"Before Campaign",Posts_Cleaned[[#This Row],[Engagement Rate ]])</f>
        <v>0.14413748376781715</v>
      </c>
      <c r="W100" s="5">
        <f t="shared" ca="1" si="6"/>
        <v>0.23028488457433802</v>
      </c>
      <c r="X100" s="6">
        <f ca="1">(Posts_Cleaned[[#This Row],[During ]]-Posts_Cleaned[[#This Row],[Before ]])/Posts_Cleaned[[#This Row],[During ]]</f>
        <v>0.37409055729279406</v>
      </c>
      <c r="Y100" s="1">
        <f>IFERROR(VLOOKUP(O100, 'Campaign Metadata Dataset '!$A$1:$G$5,5,0),0)</f>
        <v>250000</v>
      </c>
      <c r="Z100" s="1">
        <f t="shared" si="7"/>
        <v>1.9911999999999999E-2</v>
      </c>
      <c r="AA100" s="1">
        <f t="shared" ca="1" si="5"/>
        <v>0.37409055729279406</v>
      </c>
    </row>
    <row r="101" spans="1:27" x14ac:dyDescent="0.25">
      <c r="A101" t="s">
        <v>157</v>
      </c>
      <c r="B101" s="1" t="s">
        <v>29</v>
      </c>
      <c r="C101" s="2">
        <v>45698</v>
      </c>
      <c r="D101" s="1" t="s">
        <v>60</v>
      </c>
      <c r="E101" s="1" t="s">
        <v>140</v>
      </c>
      <c r="F101">
        <v>1766</v>
      </c>
      <c r="G101">
        <v>92</v>
      </c>
      <c r="H101">
        <v>424</v>
      </c>
      <c r="I101">
        <v>24724</v>
      </c>
      <c r="J101">
        <v>24333</v>
      </c>
      <c r="K101">
        <v>52</v>
      </c>
      <c r="L101" s="1" t="s">
        <v>36</v>
      </c>
      <c r="M101" s="1"/>
      <c r="N101" s="1"/>
      <c r="O101" s="1"/>
      <c r="P101" s="5">
        <f>IFERROR(((Posts_Cleaned[[#This Row],[Likes]]+Posts_Cleaned[[#This Row],[Shares]]+Posts_Cleaned[[#This Row],[Comments]])/Posts_Cleaned[[#This Row],[Impressions]]),0)</f>
        <v>9.2298980747451867E-2</v>
      </c>
      <c r="Q101" s="3" t="str">
        <f>_xlfn.TEXTJOIN(", ", TRUE, Posts_Cleaned[[#This Row],[Hashtags Used.1]], Posts_Cleaned[[#This Row],[Hashtags Used.2]], Posts_Cleaned[[#This Row],[Hashtags Used.3]])</f>
        <v>#EVRevolution</v>
      </c>
      <c r="R101" s="2" t="e">
        <f>VLOOKUP(Posts_Cleaned[[#This Row],[Campaign_Name]],'Campaign Metadata Dataset '!$A$2:$B$5,2,0)</f>
        <v>#N/A</v>
      </c>
      <c r="S101" s="2" t="e">
        <f>VLOOKUP(Posts_Cleaned[[#This Row],[Campaign_Name]],'Campaign Metadata Dataset '!$A$1:$C$5,3,0)</f>
        <v>#N/A</v>
      </c>
      <c r="T101" s="1" t="e">
        <f t="shared" si="4"/>
        <v>#N/A</v>
      </c>
      <c r="U101" s="1">
        <f>SUM(Posts_Cleaned[[#This Row],[Likes]]+Posts_Cleaned[[#This Row],[Shares]]+Posts_Cleaned[[#This Row],[Comments]]+Posts_Cleaned[[#This Row],[Clicks]])</f>
        <v>2334</v>
      </c>
      <c r="V101" s="1">
        <f ca="1">AVERAGEIF(Posts_Cleaned[[#This Row],[Period]]:T:T,"Before Campaign",Posts_Cleaned[[#This Row],[Engagement Rate ]])</f>
        <v>0.16410291767036789</v>
      </c>
      <c r="W101" s="5">
        <f t="shared" ca="1" si="6"/>
        <v>0.18764789501523824</v>
      </c>
      <c r="X101" s="6">
        <f ca="1">(Posts_Cleaned[[#This Row],[During ]]-Posts_Cleaned[[#This Row],[Before ]])/Posts_Cleaned[[#This Row],[During ]]</f>
        <v>0.12547424175985744</v>
      </c>
      <c r="Y101" s="1">
        <f>IFERROR(VLOOKUP(O101, 'Campaign Metadata Dataset '!$A$1:$G$5,5,0),0)</f>
        <v>0</v>
      </c>
      <c r="Z101" s="1">
        <v>0</v>
      </c>
      <c r="AA101" s="1">
        <f t="shared" ca="1" si="5"/>
        <v>0.12547424175985744</v>
      </c>
    </row>
    <row r="102" spans="1:27" x14ac:dyDescent="0.25">
      <c r="A102" t="s">
        <v>158</v>
      </c>
      <c r="B102" s="1" t="s">
        <v>29</v>
      </c>
      <c r="C102" s="2">
        <v>45583</v>
      </c>
      <c r="D102" s="1" t="s">
        <v>60</v>
      </c>
      <c r="E102" s="1" t="s">
        <v>140</v>
      </c>
      <c r="F102">
        <v>4450</v>
      </c>
      <c r="G102">
        <v>983</v>
      </c>
      <c r="H102">
        <v>143</v>
      </c>
      <c r="I102">
        <v>75650</v>
      </c>
      <c r="J102">
        <v>75008</v>
      </c>
      <c r="K102">
        <v>12</v>
      </c>
      <c r="L102" s="1" t="s">
        <v>19</v>
      </c>
      <c r="M102" s="1"/>
      <c r="N102" s="1"/>
      <c r="O102" s="1" t="s">
        <v>31</v>
      </c>
      <c r="P102" s="5">
        <f>IFERROR(((Posts_Cleaned[[#This Row],[Likes]]+Posts_Cleaned[[#This Row],[Shares]]+Posts_Cleaned[[#This Row],[Comments]])/Posts_Cleaned[[#This Row],[Impressions]]),0)</f>
        <v>7.3707865168539333E-2</v>
      </c>
      <c r="Q102" s="3" t="str">
        <f>_xlfn.TEXTJOIN(", ", TRUE, Posts_Cleaned[[#This Row],[Hashtags Used.1]], Posts_Cleaned[[#This Row],[Hashtags Used.2]], Posts_Cleaned[[#This Row],[Hashtags Used.3]])</f>
        <v>#FutureOfDriving</v>
      </c>
      <c r="R102" s="2">
        <f>VLOOKUP(Posts_Cleaned[[#This Row],[Campaign_Name]],'Campaign Metadata Dataset '!$A$2:$B$5,2,0)</f>
        <v>45651</v>
      </c>
      <c r="S102" s="2">
        <f>VLOOKUP(Posts_Cleaned[[#This Row],[Campaign_Name]],'Campaign Metadata Dataset '!$A$1:$C$5,3,0)</f>
        <v>45667</v>
      </c>
      <c r="T102" s="1" t="str">
        <f t="shared" si="4"/>
        <v>Before Campaign</v>
      </c>
      <c r="U102" s="1">
        <f>SUM(Posts_Cleaned[[#This Row],[Likes]]+Posts_Cleaned[[#This Row],[Shares]]+Posts_Cleaned[[#This Row],[Comments]]+Posts_Cleaned[[#This Row],[Clicks]])</f>
        <v>5588</v>
      </c>
      <c r="V102" s="1">
        <f ca="1">AVERAGEIF(Posts_Cleaned[[#This Row],[Period]]:T:T,"Before Campaign",Posts_Cleaned[[#This Row],[Engagement Rate ]])</f>
        <v>0.1476672507817865</v>
      </c>
      <c r="W102" s="5">
        <f t="shared" ca="1" si="6"/>
        <v>0.1251333637563978</v>
      </c>
      <c r="X102" s="6">
        <f ca="1">(Posts_Cleaned[[#This Row],[During ]]-Posts_Cleaned[[#This Row],[Before ]])/Posts_Cleaned[[#This Row],[During ]]</f>
        <v>-0.18007896814199228</v>
      </c>
      <c r="Y102" s="1">
        <f>IFERROR(VLOOKUP(O102, 'Campaign Metadata Dataset '!$A$1:$G$5,5,0),0)</f>
        <v>250000</v>
      </c>
      <c r="Z102" s="1">
        <f t="shared" si="7"/>
        <v>2.2352E-2</v>
      </c>
      <c r="AA102" s="1">
        <f t="shared" ca="1" si="5"/>
        <v>-0.18007896814199228</v>
      </c>
    </row>
    <row r="103" spans="1:27" x14ac:dyDescent="0.25">
      <c r="A103" t="s">
        <v>159</v>
      </c>
      <c r="B103" s="1" t="s">
        <v>16</v>
      </c>
      <c r="C103" s="2">
        <v>45553</v>
      </c>
      <c r="D103" s="1" t="s">
        <v>17</v>
      </c>
      <c r="E103" s="1" t="s">
        <v>18</v>
      </c>
      <c r="F103">
        <v>1000</v>
      </c>
      <c r="G103">
        <v>978</v>
      </c>
      <c r="H103">
        <v>162</v>
      </c>
      <c r="I103">
        <v>6000</v>
      </c>
      <c r="J103">
        <v>5221</v>
      </c>
      <c r="K103">
        <v>223</v>
      </c>
      <c r="L103" s="1" t="s">
        <v>36</v>
      </c>
      <c r="M103" s="1"/>
      <c r="N103" s="1"/>
      <c r="O103" s="1" t="s">
        <v>27</v>
      </c>
      <c r="P103" s="5">
        <f>IFERROR(((Posts_Cleaned[[#This Row],[Likes]]+Posts_Cleaned[[#This Row],[Shares]]+Posts_Cleaned[[#This Row],[Comments]])/Posts_Cleaned[[#This Row],[Impressions]]),0)</f>
        <v>0.35666666666666669</v>
      </c>
      <c r="Q103" s="3" t="str">
        <f>_xlfn.TEXTJOIN(", ", TRUE, Posts_Cleaned[[#This Row],[Hashtags Used.1]], Posts_Cleaned[[#This Row],[Hashtags Used.2]], Posts_Cleaned[[#This Row],[Hashtags Used.3]])</f>
        <v>#EVRevolution</v>
      </c>
      <c r="R103" s="2">
        <f>VLOOKUP(Posts_Cleaned[[#This Row],[Campaign_Name]],'Campaign Metadata Dataset '!$A$2:$B$5,2,0)</f>
        <v>45566</v>
      </c>
      <c r="S103" s="2">
        <f>VLOOKUP(Posts_Cleaned[[#This Row],[Campaign_Name]],'Campaign Metadata Dataset '!$A$1:$C$5,3,0)</f>
        <v>45596</v>
      </c>
      <c r="T103" s="1" t="str">
        <f t="shared" si="4"/>
        <v>Before Campaign</v>
      </c>
      <c r="U103" s="1">
        <f>SUM(Posts_Cleaned[[#This Row],[Likes]]+Posts_Cleaned[[#This Row],[Shares]]+Posts_Cleaned[[#This Row],[Comments]]+Posts_Cleaned[[#This Row],[Clicks]])</f>
        <v>2363</v>
      </c>
      <c r="V103" s="1">
        <f ca="1">AVERAGEIF(Posts_Cleaned[[#This Row],[Period]]:T:T,"Before Campaign",Posts_Cleaned[[#This Row],[Engagement Rate ]])</f>
        <v>0.15543138666182477</v>
      </c>
      <c r="W103" s="5">
        <f t="shared" ca="1" si="6"/>
        <v>0.12947865280763818</v>
      </c>
      <c r="X103" s="6">
        <f ca="1">(Posts_Cleaned[[#This Row],[During ]]-Posts_Cleaned[[#This Row],[Before ]])/Posts_Cleaned[[#This Row],[During ]]</f>
        <v>-0.20044025243870617</v>
      </c>
      <c r="Y103" s="1">
        <f>IFERROR(VLOOKUP(O103, 'Campaign Metadata Dataset '!$A$1:$G$5,5,0),0)</f>
        <v>200000</v>
      </c>
      <c r="Z103" s="1">
        <f t="shared" si="7"/>
        <v>1.1815000000000001E-2</v>
      </c>
      <c r="AA103" s="1">
        <f t="shared" ca="1" si="5"/>
        <v>-0.20044025243870617</v>
      </c>
    </row>
    <row r="104" spans="1:27" x14ac:dyDescent="0.25">
      <c r="A104" t="s">
        <v>160</v>
      </c>
      <c r="B104" s="1" t="s">
        <v>40</v>
      </c>
      <c r="C104" s="2">
        <v>45454</v>
      </c>
      <c r="D104" s="1" t="s">
        <v>46</v>
      </c>
      <c r="E104" s="1" t="s">
        <v>51</v>
      </c>
      <c r="F104">
        <v>3689</v>
      </c>
      <c r="G104">
        <v>48</v>
      </c>
      <c r="H104">
        <v>306</v>
      </c>
      <c r="I104">
        <v>40579</v>
      </c>
      <c r="J104">
        <v>39588</v>
      </c>
      <c r="K104">
        <v>212</v>
      </c>
      <c r="L104" s="1" t="s">
        <v>36</v>
      </c>
      <c r="M104" s="1"/>
      <c r="N104" s="1"/>
      <c r="O104" s="1" t="s">
        <v>27</v>
      </c>
      <c r="P104" s="5">
        <f>IFERROR(((Posts_Cleaned[[#This Row],[Likes]]+Posts_Cleaned[[#This Row],[Shares]]+Posts_Cleaned[[#This Row],[Comments]])/Posts_Cleaned[[#This Row],[Impressions]]),0)</f>
        <v>9.9632815002833983E-2</v>
      </c>
      <c r="Q104" s="3" t="str">
        <f>_xlfn.TEXTJOIN(", ", TRUE, Posts_Cleaned[[#This Row],[Hashtags Used.1]], Posts_Cleaned[[#This Row],[Hashtags Used.2]], Posts_Cleaned[[#This Row],[Hashtags Used.3]])</f>
        <v>#EVRevolution</v>
      </c>
      <c r="R104" s="2">
        <f>VLOOKUP(Posts_Cleaned[[#This Row],[Campaign_Name]],'Campaign Metadata Dataset '!$A$2:$B$5,2,0)</f>
        <v>45566</v>
      </c>
      <c r="S104" s="2">
        <f>VLOOKUP(Posts_Cleaned[[#This Row],[Campaign_Name]],'Campaign Metadata Dataset '!$A$1:$C$5,3,0)</f>
        <v>45596</v>
      </c>
      <c r="T104" s="1" t="str">
        <f t="shared" si="4"/>
        <v>Before Campaign</v>
      </c>
      <c r="U104" s="1">
        <f>SUM(Posts_Cleaned[[#This Row],[Likes]]+Posts_Cleaned[[#This Row],[Shares]]+Posts_Cleaned[[#This Row],[Comments]]+Posts_Cleaned[[#This Row],[Clicks]])</f>
        <v>4255</v>
      </c>
      <c r="V104" s="1">
        <f ca="1">AVERAGEIF(Posts_Cleaned[[#This Row],[Period]]:T:T,"Before Campaign",Posts_Cleaned[[#This Row],[Engagement Rate ]])</f>
        <v>0.15475221992210123</v>
      </c>
      <c r="W104" s="5">
        <f t="shared" ca="1" si="6"/>
        <v>0.16973747962425265</v>
      </c>
      <c r="X104" s="6">
        <f ca="1">(Posts_Cleaned[[#This Row],[During ]]-Posts_Cleaned[[#This Row],[Before ]])/Posts_Cleaned[[#This Row],[During ]]</f>
        <v>8.8284919366802467E-2</v>
      </c>
      <c r="Y104" s="1">
        <f>IFERROR(VLOOKUP(O104, 'Campaign Metadata Dataset '!$A$1:$G$5,5,0),0)</f>
        <v>200000</v>
      </c>
      <c r="Z104" s="1">
        <f t="shared" si="7"/>
        <v>2.1274999999999999E-2</v>
      </c>
      <c r="AA104" s="1">
        <f t="shared" ca="1" si="5"/>
        <v>8.8284919366802467E-2</v>
      </c>
    </row>
    <row r="105" spans="1:27" x14ac:dyDescent="0.25">
      <c r="A105" t="s">
        <v>161</v>
      </c>
      <c r="B105" s="1" t="s">
        <v>29</v>
      </c>
      <c r="C105" s="2">
        <v>45739</v>
      </c>
      <c r="D105" s="1" t="s">
        <v>34</v>
      </c>
      <c r="E105" s="1" t="s">
        <v>105</v>
      </c>
      <c r="F105">
        <v>3655</v>
      </c>
      <c r="G105">
        <v>568</v>
      </c>
      <c r="H105">
        <v>286</v>
      </c>
      <c r="I105">
        <v>32895</v>
      </c>
      <c r="J105">
        <v>32015</v>
      </c>
      <c r="K105">
        <v>199</v>
      </c>
      <c r="L105" s="1" t="s">
        <v>25</v>
      </c>
      <c r="M105" s="1"/>
      <c r="N105" s="1"/>
      <c r="O105" s="1" t="s">
        <v>31</v>
      </c>
      <c r="P105" s="5">
        <f>IFERROR(((Posts_Cleaned[[#This Row],[Likes]]+Posts_Cleaned[[#This Row],[Shares]]+Posts_Cleaned[[#This Row],[Comments]])/Posts_Cleaned[[#This Row],[Impressions]]),0)</f>
        <v>0.13707250341997265</v>
      </c>
      <c r="Q105" s="3" t="str">
        <f>_xlfn.TEXTJOIN(", ", TRUE, Posts_Cleaned[[#This Row],[Hashtags Used.1]], Posts_Cleaned[[#This Row],[Hashtags Used.2]], Posts_Cleaned[[#This Row],[Hashtags Used.3]])</f>
        <v>#TeslaCoInnovation</v>
      </c>
      <c r="R105" s="2">
        <f>VLOOKUP(Posts_Cleaned[[#This Row],[Campaign_Name]],'Campaign Metadata Dataset '!$A$2:$B$5,2,0)</f>
        <v>45651</v>
      </c>
      <c r="S105" s="2">
        <f>VLOOKUP(Posts_Cleaned[[#This Row],[Campaign_Name]],'Campaign Metadata Dataset '!$A$1:$C$5,3,0)</f>
        <v>45667</v>
      </c>
      <c r="T105" s="1" t="str">
        <f t="shared" si="4"/>
        <v>Before Campaign</v>
      </c>
      <c r="U105" s="1">
        <f>SUM(Posts_Cleaned[[#This Row],[Likes]]+Posts_Cleaned[[#This Row],[Shares]]+Posts_Cleaned[[#This Row],[Comments]]+Posts_Cleaned[[#This Row],[Clicks]])</f>
        <v>4708</v>
      </c>
      <c r="V105" s="1">
        <f ca="1">AVERAGEIF(Posts_Cleaned[[#This Row],[Period]]:T:T,"Before Campaign",Posts_Cleaned[[#This Row],[Engagement Rate ]])</f>
        <v>0.14167337133056893</v>
      </c>
      <c r="W105" s="5">
        <f t="shared" ca="1" si="6"/>
        <v>0.13834296893480549</v>
      </c>
      <c r="X105" s="6">
        <f ca="1">(Posts_Cleaned[[#This Row],[During ]]-Posts_Cleaned[[#This Row],[Before ]])/Posts_Cleaned[[#This Row],[During ]]</f>
        <v>-2.4073521201738075E-2</v>
      </c>
      <c r="Y105" s="1">
        <f>IFERROR(VLOOKUP(O105, 'Campaign Metadata Dataset '!$A$1:$G$5,5,0),0)</f>
        <v>250000</v>
      </c>
      <c r="Z105" s="1">
        <f t="shared" si="7"/>
        <v>1.8832000000000002E-2</v>
      </c>
      <c r="AA105" s="1">
        <f t="shared" ca="1" si="5"/>
        <v>-2.4073521201738075E-2</v>
      </c>
    </row>
    <row r="106" spans="1:27" x14ac:dyDescent="0.25">
      <c r="A106" t="s">
        <v>162</v>
      </c>
      <c r="B106" s="1" t="s">
        <v>33</v>
      </c>
      <c r="C106" s="2">
        <v>45457</v>
      </c>
      <c r="D106" s="1" t="s">
        <v>41</v>
      </c>
      <c r="E106" s="1" t="s">
        <v>69</v>
      </c>
      <c r="F106">
        <v>498</v>
      </c>
      <c r="G106">
        <v>38</v>
      </c>
      <c r="H106">
        <v>42</v>
      </c>
      <c r="I106">
        <v>4482</v>
      </c>
      <c r="J106">
        <v>3647</v>
      </c>
      <c r="K106">
        <v>32</v>
      </c>
      <c r="L106" s="1" t="s">
        <v>19</v>
      </c>
      <c r="M106" s="1"/>
      <c r="N106" s="1"/>
      <c r="O106" s="1" t="s">
        <v>21</v>
      </c>
      <c r="P106" s="5">
        <f>IFERROR(((Posts_Cleaned[[#This Row],[Likes]]+Posts_Cleaned[[#This Row],[Shares]]+Posts_Cleaned[[#This Row],[Comments]])/Posts_Cleaned[[#This Row],[Impressions]]),0)</f>
        <v>0.12896028558679162</v>
      </c>
      <c r="Q106" s="3" t="str">
        <f>_xlfn.TEXTJOIN(", ", TRUE, Posts_Cleaned[[#This Row],[Hashtags Used.1]], Posts_Cleaned[[#This Row],[Hashtags Used.2]], Posts_Cleaned[[#This Row],[Hashtags Used.3]])</f>
        <v>#FutureOfDriving</v>
      </c>
      <c r="R106" s="2">
        <f>VLOOKUP(Posts_Cleaned[[#This Row],[Campaign_Name]],'Campaign Metadata Dataset '!$A$2:$B$5,2,0)</f>
        <v>45458</v>
      </c>
      <c r="S106" s="2">
        <f>VLOOKUP(Posts_Cleaned[[#This Row],[Campaign_Name]],'Campaign Metadata Dataset '!$A$1:$C$5,3,0)</f>
        <v>45488</v>
      </c>
      <c r="T106" s="1" t="str">
        <f t="shared" si="4"/>
        <v>Before Campaign</v>
      </c>
      <c r="U106" s="1">
        <f>SUM(Posts_Cleaned[[#This Row],[Likes]]+Posts_Cleaned[[#This Row],[Shares]]+Posts_Cleaned[[#This Row],[Comments]]+Posts_Cleaned[[#This Row],[Clicks]])</f>
        <v>610</v>
      </c>
      <c r="V106" s="1">
        <f ca="1">AVERAGEIF(Posts_Cleaned[[#This Row],[Period]]:T:T,"Before Campaign",Posts_Cleaned[[#This Row],[Engagement Rate ]])</f>
        <v>0.15882803534965512</v>
      </c>
      <c r="W106" s="5">
        <f t="shared" ca="1" si="6"/>
        <v>0.13690306483884285</v>
      </c>
      <c r="X106" s="6">
        <f ca="1">(Posts_Cleaned[[#This Row],[During ]]-Posts_Cleaned[[#This Row],[Before ]])/Posts_Cleaned[[#This Row],[During ]]</f>
        <v>-0.16014959589561797</v>
      </c>
      <c r="Y106" s="1">
        <f>IFERROR(VLOOKUP(O106, 'Campaign Metadata Dataset '!$A$1:$G$5,5,0),0)</f>
        <v>150000</v>
      </c>
      <c r="Z106" s="1">
        <f t="shared" si="7"/>
        <v>4.0666666666666663E-3</v>
      </c>
      <c r="AA106" s="1">
        <f t="shared" ca="1" si="5"/>
        <v>-0.16014959589561797</v>
      </c>
    </row>
    <row r="107" spans="1:27" x14ac:dyDescent="0.25">
      <c r="A107" t="s">
        <v>163</v>
      </c>
      <c r="B107" s="1" t="s">
        <v>33</v>
      </c>
      <c r="C107" s="2">
        <v>45692</v>
      </c>
      <c r="D107" s="1" t="s">
        <v>46</v>
      </c>
      <c r="E107" s="1" t="s">
        <v>138</v>
      </c>
      <c r="F107">
        <v>4619</v>
      </c>
      <c r="G107">
        <v>821</v>
      </c>
      <c r="H107">
        <v>499</v>
      </c>
      <c r="I107">
        <v>69285</v>
      </c>
      <c r="J107">
        <v>69141</v>
      </c>
      <c r="K107">
        <v>298</v>
      </c>
      <c r="L107" s="1" t="s">
        <v>25</v>
      </c>
      <c r="M107" s="1"/>
      <c r="N107" s="1"/>
      <c r="O107" s="1" t="s">
        <v>37</v>
      </c>
      <c r="P107" s="5">
        <f>IFERROR(((Posts_Cleaned[[#This Row],[Likes]]+Posts_Cleaned[[#This Row],[Shares]]+Posts_Cleaned[[#This Row],[Comments]])/Posts_Cleaned[[#This Row],[Impressions]]),0)</f>
        <v>8.5718409468138843E-2</v>
      </c>
      <c r="Q107" s="3" t="str">
        <f>_xlfn.TEXTJOIN(", ", TRUE, Posts_Cleaned[[#This Row],[Hashtags Used.1]], Posts_Cleaned[[#This Row],[Hashtags Used.2]], Posts_Cleaned[[#This Row],[Hashtags Used.3]])</f>
        <v>#TeslaCoInnovation</v>
      </c>
      <c r="R107" s="2">
        <f>VLOOKUP(Posts_Cleaned[[#This Row],[Campaign_Name]],'Campaign Metadata Dataset '!$A$2:$B$5,2,0)</f>
        <v>45717</v>
      </c>
      <c r="S107" s="2">
        <f>VLOOKUP(Posts_Cleaned[[#This Row],[Campaign_Name]],'Campaign Metadata Dataset '!$A$1:$C$5,3,0)</f>
        <v>45747</v>
      </c>
      <c r="T107" s="1" t="str">
        <f t="shared" si="4"/>
        <v>Before Campaign</v>
      </c>
      <c r="U107" s="1">
        <f>SUM(Posts_Cleaned[[#This Row],[Likes]]+Posts_Cleaned[[#This Row],[Shares]]+Posts_Cleaned[[#This Row],[Comments]]+Posts_Cleaned[[#This Row],[Clicks]])</f>
        <v>6237</v>
      </c>
      <c r="V107" s="1">
        <f ca="1">AVERAGEIF(Posts_Cleaned[[#This Row],[Period]]:T:T,"Before Campaign",Posts_Cleaned[[#This Row],[Engagement Rate ]])</f>
        <v>0.16056714716614107</v>
      </c>
      <c r="W107" s="5">
        <f t="shared" ca="1" si="6"/>
        <v>0.11954016529213604</v>
      </c>
      <c r="X107" s="6">
        <f ca="1">(Posts_Cleaned[[#This Row],[During ]]-Posts_Cleaned[[#This Row],[Before ]])/Posts_Cleaned[[#This Row],[During ]]</f>
        <v>-0.34320666843434577</v>
      </c>
      <c r="Y107" s="1">
        <f>IFERROR(VLOOKUP(O107, 'Campaign Metadata Dataset '!$A$1:$G$5,5,0),0)</f>
        <v>180000</v>
      </c>
      <c r="Z107" s="1">
        <f t="shared" si="7"/>
        <v>3.465E-2</v>
      </c>
      <c r="AA107" s="1">
        <f t="shared" ca="1" si="5"/>
        <v>-0.34320666843434577</v>
      </c>
    </row>
    <row r="108" spans="1:27" x14ac:dyDescent="0.25">
      <c r="A108" t="s">
        <v>164</v>
      </c>
      <c r="B108" s="1" t="s">
        <v>29</v>
      </c>
      <c r="C108" s="2">
        <v>45464</v>
      </c>
      <c r="D108" s="1" t="s">
        <v>46</v>
      </c>
      <c r="E108" s="1" t="s">
        <v>47</v>
      </c>
      <c r="F108">
        <v>4832</v>
      </c>
      <c r="G108">
        <v>893</v>
      </c>
      <c r="H108">
        <v>10</v>
      </c>
      <c r="I108">
        <v>91808</v>
      </c>
      <c r="J108">
        <v>91296</v>
      </c>
      <c r="K108">
        <v>182</v>
      </c>
      <c r="L108" s="1" t="s">
        <v>25</v>
      </c>
      <c r="M108" s="1"/>
      <c r="N108" s="1"/>
      <c r="O108" s="1"/>
      <c r="P108" s="5">
        <f>IFERROR(((Posts_Cleaned[[#This Row],[Likes]]+Posts_Cleaned[[#This Row],[Shares]]+Posts_Cleaned[[#This Row],[Comments]])/Posts_Cleaned[[#This Row],[Impressions]]),0)</f>
        <v>6.2467323109097243E-2</v>
      </c>
      <c r="Q108" s="3" t="str">
        <f>_xlfn.TEXTJOIN(", ", TRUE, Posts_Cleaned[[#This Row],[Hashtags Used.1]], Posts_Cleaned[[#This Row],[Hashtags Used.2]], Posts_Cleaned[[#This Row],[Hashtags Used.3]])</f>
        <v>#TeslaCoInnovation</v>
      </c>
      <c r="R108" s="2" t="e">
        <f>VLOOKUP(Posts_Cleaned[[#This Row],[Campaign_Name]],'Campaign Metadata Dataset '!$A$2:$B$5,2,0)</f>
        <v>#N/A</v>
      </c>
      <c r="S108" s="2" t="e">
        <f>VLOOKUP(Posts_Cleaned[[#This Row],[Campaign_Name]],'Campaign Metadata Dataset '!$A$1:$C$5,3,0)</f>
        <v>#N/A</v>
      </c>
      <c r="T108" s="1" t="e">
        <f t="shared" si="4"/>
        <v>#N/A</v>
      </c>
      <c r="U108" s="1">
        <f>SUM(Posts_Cleaned[[#This Row],[Likes]]+Posts_Cleaned[[#This Row],[Shares]]+Posts_Cleaned[[#This Row],[Comments]]+Posts_Cleaned[[#This Row],[Clicks]])</f>
        <v>5917</v>
      </c>
      <c r="V108" s="1">
        <f ca="1">AVERAGEIF(Posts_Cleaned[[#This Row],[Period]]:T:T,"Before Campaign",Posts_Cleaned[[#This Row],[Engagement Rate ]])</f>
        <v>0.15612974168062257</v>
      </c>
      <c r="W108" s="5">
        <f t="shared" ca="1" si="6"/>
        <v>0.13706579938343783</v>
      </c>
      <c r="X108" s="6">
        <f ca="1">(Posts_Cleaned[[#This Row],[During ]]-Posts_Cleaned[[#This Row],[Before ]])/Posts_Cleaned[[#This Row],[During ]]</f>
        <v>-0.13908606219013026</v>
      </c>
      <c r="Y108" s="1">
        <f>IFERROR(VLOOKUP(O108, 'Campaign Metadata Dataset '!$A$1:$G$5,5,0),0)</f>
        <v>0</v>
      </c>
      <c r="Z108" s="1">
        <v>0</v>
      </c>
      <c r="AA108" s="1">
        <f t="shared" ca="1" si="5"/>
        <v>-0.13908606219013026</v>
      </c>
    </row>
    <row r="109" spans="1:27" x14ac:dyDescent="0.25">
      <c r="A109" t="s">
        <v>165</v>
      </c>
      <c r="B109" s="1" t="s">
        <v>16</v>
      </c>
      <c r="C109" s="2">
        <v>45741</v>
      </c>
      <c r="D109" s="1" t="s">
        <v>60</v>
      </c>
      <c r="E109" s="1" t="s">
        <v>99</v>
      </c>
      <c r="F109">
        <v>4050</v>
      </c>
      <c r="G109">
        <v>871</v>
      </c>
      <c r="H109">
        <v>347</v>
      </c>
      <c r="I109">
        <v>52650</v>
      </c>
      <c r="J109">
        <v>51755</v>
      </c>
      <c r="K109">
        <v>209</v>
      </c>
      <c r="L109" s="1" t="s">
        <v>25</v>
      </c>
      <c r="M109" s="1"/>
      <c r="N109" s="1"/>
      <c r="O109" s="1" t="s">
        <v>27</v>
      </c>
      <c r="P109" s="5">
        <f>IFERROR(((Posts_Cleaned[[#This Row],[Likes]]+Posts_Cleaned[[#This Row],[Shares]]+Posts_Cleaned[[#This Row],[Comments]])/Posts_Cleaned[[#This Row],[Impressions]]),0)</f>
        <v>0.10005698005698006</v>
      </c>
      <c r="Q109" s="3" t="str">
        <f>_xlfn.TEXTJOIN(", ", TRUE, Posts_Cleaned[[#This Row],[Hashtags Used.1]], Posts_Cleaned[[#This Row],[Hashtags Used.2]], Posts_Cleaned[[#This Row],[Hashtags Used.3]])</f>
        <v>#TeslaCoInnovation</v>
      </c>
      <c r="R109" s="2">
        <f>VLOOKUP(Posts_Cleaned[[#This Row],[Campaign_Name]],'Campaign Metadata Dataset '!$A$2:$B$5,2,0)</f>
        <v>45566</v>
      </c>
      <c r="S109" s="2">
        <f>VLOOKUP(Posts_Cleaned[[#This Row],[Campaign_Name]],'Campaign Metadata Dataset '!$A$1:$C$5,3,0)</f>
        <v>45596</v>
      </c>
      <c r="T109" s="1" t="str">
        <f t="shared" si="4"/>
        <v>Before Campaign</v>
      </c>
      <c r="U109" s="1">
        <f>SUM(Posts_Cleaned[[#This Row],[Likes]]+Posts_Cleaned[[#This Row],[Shares]]+Posts_Cleaned[[#This Row],[Comments]]+Posts_Cleaned[[#This Row],[Clicks]])</f>
        <v>5477</v>
      </c>
      <c r="V109" s="1">
        <f ca="1">AVERAGEIF(Posts_Cleaned[[#This Row],[Period]]:T:T,"Before Campaign",Posts_Cleaned[[#This Row],[Engagement Rate ]])</f>
        <v>0.16217594125680782</v>
      </c>
      <c r="W109" s="5">
        <f t="shared" ca="1" si="6"/>
        <v>0.12965364861614559</v>
      </c>
      <c r="X109" s="6">
        <f ca="1">(Posts_Cleaned[[#This Row],[During ]]-Posts_Cleaned[[#This Row],[Before ]])/Posts_Cleaned[[#This Row],[During ]]</f>
        <v>-0.25083977958035086</v>
      </c>
      <c r="Y109" s="1">
        <f>IFERROR(VLOOKUP(O109, 'Campaign Metadata Dataset '!$A$1:$G$5,5,0),0)</f>
        <v>200000</v>
      </c>
      <c r="Z109" s="1">
        <f t="shared" si="7"/>
        <v>2.7385E-2</v>
      </c>
      <c r="AA109" s="1">
        <f t="shared" ca="1" si="5"/>
        <v>-0.25083977958035086</v>
      </c>
    </row>
    <row r="110" spans="1:27" x14ac:dyDescent="0.25">
      <c r="A110" t="s">
        <v>166</v>
      </c>
      <c r="B110" s="1" t="s">
        <v>16</v>
      </c>
      <c r="C110" s="2">
        <v>45512</v>
      </c>
      <c r="D110" s="1" t="s">
        <v>34</v>
      </c>
      <c r="E110" s="1" t="s">
        <v>102</v>
      </c>
      <c r="F110">
        <v>3649</v>
      </c>
      <c r="G110">
        <v>215</v>
      </c>
      <c r="H110">
        <v>413</v>
      </c>
      <c r="I110">
        <v>25543</v>
      </c>
      <c r="J110">
        <v>24963</v>
      </c>
      <c r="K110">
        <v>167</v>
      </c>
      <c r="L110" s="1" t="s">
        <v>19</v>
      </c>
      <c r="M110" s="1"/>
      <c r="N110" s="1"/>
      <c r="O110" s="1" t="s">
        <v>31</v>
      </c>
      <c r="P110" s="5">
        <f>IFERROR(((Posts_Cleaned[[#This Row],[Likes]]+Posts_Cleaned[[#This Row],[Shares]]+Posts_Cleaned[[#This Row],[Comments]])/Posts_Cleaned[[#This Row],[Impressions]]),0)</f>
        <v>0.16744313510550835</v>
      </c>
      <c r="Q110" s="3" t="str">
        <f>_xlfn.TEXTJOIN(", ", TRUE, Posts_Cleaned[[#This Row],[Hashtags Used.1]], Posts_Cleaned[[#This Row],[Hashtags Used.2]], Posts_Cleaned[[#This Row],[Hashtags Used.3]])</f>
        <v>#FutureOfDriving</v>
      </c>
      <c r="R110" s="2">
        <f>VLOOKUP(Posts_Cleaned[[#This Row],[Campaign_Name]],'Campaign Metadata Dataset '!$A$2:$B$5,2,0)</f>
        <v>45651</v>
      </c>
      <c r="S110" s="2">
        <f>VLOOKUP(Posts_Cleaned[[#This Row],[Campaign_Name]],'Campaign Metadata Dataset '!$A$1:$C$5,3,0)</f>
        <v>45667</v>
      </c>
      <c r="T110" s="1" t="str">
        <f t="shared" si="4"/>
        <v>Before Campaign</v>
      </c>
      <c r="U110" s="1">
        <f>SUM(Posts_Cleaned[[#This Row],[Likes]]+Posts_Cleaned[[#This Row],[Shares]]+Posts_Cleaned[[#This Row],[Comments]]+Posts_Cleaned[[#This Row],[Clicks]])</f>
        <v>4444</v>
      </c>
      <c r="V110" s="1">
        <f ca="1">AVERAGEIF(Posts_Cleaned[[#This Row],[Period]]:T:T,"Before Campaign",Posts_Cleaned[[#This Row],[Engagement Rate ]])</f>
        <v>0.16934085685788136</v>
      </c>
      <c r="W110" s="5">
        <f t="shared" ca="1" si="6"/>
        <v>0.14098771870395824</v>
      </c>
      <c r="X110" s="6">
        <f ca="1">(Posts_Cleaned[[#This Row],[During ]]-Posts_Cleaned[[#This Row],[Before ]])/Posts_Cleaned[[#This Row],[During ]]</f>
        <v>-0.20110360260143076</v>
      </c>
      <c r="Y110" s="1">
        <f>IFERROR(VLOOKUP(O110, 'Campaign Metadata Dataset '!$A$1:$G$5,5,0),0)</f>
        <v>250000</v>
      </c>
      <c r="Z110" s="1">
        <f t="shared" si="7"/>
        <v>1.7776E-2</v>
      </c>
      <c r="AA110" s="1">
        <f t="shared" ca="1" si="5"/>
        <v>-0.20110360260143076</v>
      </c>
    </row>
    <row r="111" spans="1:27" x14ac:dyDescent="0.25">
      <c r="A111" t="s">
        <v>167</v>
      </c>
      <c r="B111" s="1" t="s">
        <v>33</v>
      </c>
      <c r="C111" s="2">
        <v>45502</v>
      </c>
      <c r="D111" s="1" t="s">
        <v>17</v>
      </c>
      <c r="E111" s="1" t="s">
        <v>65</v>
      </c>
      <c r="F111">
        <v>3523</v>
      </c>
      <c r="G111">
        <v>753</v>
      </c>
      <c r="H111">
        <v>482</v>
      </c>
      <c r="I111">
        <v>38753</v>
      </c>
      <c r="J111">
        <v>38579</v>
      </c>
      <c r="K111">
        <v>270</v>
      </c>
      <c r="L111" s="1" t="s">
        <v>36</v>
      </c>
      <c r="M111" s="1"/>
      <c r="N111" s="1"/>
      <c r="O111" s="1" t="s">
        <v>27</v>
      </c>
      <c r="P111" s="5">
        <f>IFERROR(((Posts_Cleaned[[#This Row],[Likes]]+Posts_Cleaned[[#This Row],[Shares]]+Posts_Cleaned[[#This Row],[Comments]])/Posts_Cleaned[[#This Row],[Impressions]]),0)</f>
        <v>0.12277759141227776</v>
      </c>
      <c r="Q111" s="3" t="str">
        <f>_xlfn.TEXTJOIN(", ", TRUE, Posts_Cleaned[[#This Row],[Hashtags Used.1]], Posts_Cleaned[[#This Row],[Hashtags Used.2]], Posts_Cleaned[[#This Row],[Hashtags Used.3]])</f>
        <v>#EVRevolution</v>
      </c>
      <c r="R111" s="2">
        <f>VLOOKUP(Posts_Cleaned[[#This Row],[Campaign_Name]],'Campaign Metadata Dataset '!$A$2:$B$5,2,0)</f>
        <v>45566</v>
      </c>
      <c r="S111" s="2">
        <f>VLOOKUP(Posts_Cleaned[[#This Row],[Campaign_Name]],'Campaign Metadata Dataset '!$A$1:$C$5,3,0)</f>
        <v>45596</v>
      </c>
      <c r="T111" s="1" t="str">
        <f t="shared" si="4"/>
        <v>Before Campaign</v>
      </c>
      <c r="U111" s="1">
        <f>SUM(Posts_Cleaned[[#This Row],[Likes]]+Posts_Cleaned[[#This Row],[Shares]]+Posts_Cleaned[[#This Row],[Comments]]+Posts_Cleaned[[#This Row],[Clicks]])</f>
        <v>5028</v>
      </c>
      <c r="V111" s="1">
        <f ca="1">AVERAGEIF(Posts_Cleaned[[#This Row],[Period]]:T:T,"Before Campaign",Posts_Cleaned[[#This Row],[Engagement Rate ]])</f>
        <v>0.14883493294995964</v>
      </c>
      <c r="W111" s="5">
        <f t="shared" ca="1" si="6"/>
        <v>0.12087521245835975</v>
      </c>
      <c r="X111" s="6">
        <f ca="1">(Posts_Cleaned[[#This Row],[During ]]-Posts_Cleaned[[#This Row],[Before ]])/Posts_Cleaned[[#This Row],[During ]]</f>
        <v>-0.2313106212841754</v>
      </c>
      <c r="Y111" s="1">
        <f>IFERROR(VLOOKUP(O111, 'Campaign Metadata Dataset '!$A$1:$G$5,5,0),0)</f>
        <v>200000</v>
      </c>
      <c r="Z111" s="1">
        <f t="shared" si="7"/>
        <v>2.5139999999999999E-2</v>
      </c>
      <c r="AA111" s="1">
        <f t="shared" ca="1" si="5"/>
        <v>-0.2313106212841754</v>
      </c>
    </row>
    <row r="112" spans="1:27" x14ac:dyDescent="0.25">
      <c r="A112" t="s">
        <v>168</v>
      </c>
      <c r="B112" s="1" t="s">
        <v>29</v>
      </c>
      <c r="C112" s="2">
        <v>45619</v>
      </c>
      <c r="D112" s="1" t="s">
        <v>46</v>
      </c>
      <c r="E112" s="1" t="s">
        <v>47</v>
      </c>
      <c r="F112">
        <v>2719</v>
      </c>
      <c r="G112">
        <v>17</v>
      </c>
      <c r="H112">
        <v>285</v>
      </c>
      <c r="I112">
        <v>40785</v>
      </c>
      <c r="J112">
        <v>40281</v>
      </c>
      <c r="K112">
        <v>40</v>
      </c>
      <c r="L112" s="1" t="s">
        <v>25</v>
      </c>
      <c r="M112" s="1"/>
      <c r="N112" s="1"/>
      <c r="O112" s="1" t="s">
        <v>27</v>
      </c>
      <c r="P112" s="5">
        <f>IFERROR(((Posts_Cleaned[[#This Row],[Likes]]+Posts_Cleaned[[#This Row],[Shares]]+Posts_Cleaned[[#This Row],[Comments]])/Posts_Cleaned[[#This Row],[Impressions]]),0)</f>
        <v>7.4071349760941527E-2</v>
      </c>
      <c r="Q112" s="3" t="str">
        <f>_xlfn.TEXTJOIN(", ", TRUE, Posts_Cleaned[[#This Row],[Hashtags Used.1]], Posts_Cleaned[[#This Row],[Hashtags Used.2]], Posts_Cleaned[[#This Row],[Hashtags Used.3]])</f>
        <v>#TeslaCoInnovation</v>
      </c>
      <c r="R112" s="2">
        <f>VLOOKUP(Posts_Cleaned[[#This Row],[Campaign_Name]],'Campaign Metadata Dataset '!$A$2:$B$5,2,0)</f>
        <v>45566</v>
      </c>
      <c r="S112" s="2">
        <f>VLOOKUP(Posts_Cleaned[[#This Row],[Campaign_Name]],'Campaign Metadata Dataset '!$A$1:$C$5,3,0)</f>
        <v>45596</v>
      </c>
      <c r="T112" s="1" t="str">
        <f t="shared" si="4"/>
        <v>Before Campaign</v>
      </c>
      <c r="U112" s="1">
        <f>SUM(Posts_Cleaned[[#This Row],[Likes]]+Posts_Cleaned[[#This Row],[Shares]]+Posts_Cleaned[[#This Row],[Comments]]+Posts_Cleaned[[#This Row],[Clicks]])</f>
        <v>3061</v>
      </c>
      <c r="V112" s="1">
        <f ca="1">AVERAGEIF(Posts_Cleaned[[#This Row],[Period]]:T:T,"Before Campaign",Posts_Cleaned[[#This Row],[Engagement Rate ]])</f>
        <v>0.15928900428971426</v>
      </c>
      <c r="W112" s="5">
        <f t="shared" ca="1" si="6"/>
        <v>0.17883494363326941</v>
      </c>
      <c r="X112" s="6">
        <f ca="1">(Posts_Cleaned[[#This Row],[During ]]-Posts_Cleaned[[#This Row],[Before ]])/Posts_Cleaned[[#This Row],[During ]]</f>
        <v>0.10929597396601258</v>
      </c>
      <c r="Y112" s="1">
        <f>IFERROR(VLOOKUP(O112, 'Campaign Metadata Dataset '!$A$1:$G$5,5,0),0)</f>
        <v>200000</v>
      </c>
      <c r="Z112" s="1">
        <f t="shared" si="7"/>
        <v>1.5304999999999999E-2</v>
      </c>
      <c r="AA112" s="1">
        <f t="shared" ca="1" si="5"/>
        <v>0.10929597396601258</v>
      </c>
    </row>
    <row r="113" spans="1:27" x14ac:dyDescent="0.25">
      <c r="A113" t="s">
        <v>169</v>
      </c>
      <c r="B113" s="1" t="s">
        <v>16</v>
      </c>
      <c r="C113" s="2">
        <v>45570</v>
      </c>
      <c r="D113" s="1" t="s">
        <v>34</v>
      </c>
      <c r="E113" s="1" t="s">
        <v>102</v>
      </c>
      <c r="F113">
        <v>1957</v>
      </c>
      <c r="G113">
        <v>877</v>
      </c>
      <c r="H113">
        <v>238</v>
      </c>
      <c r="I113">
        <v>17613</v>
      </c>
      <c r="J113">
        <v>16865</v>
      </c>
      <c r="K113">
        <v>297</v>
      </c>
      <c r="L113" s="1" t="s">
        <v>19</v>
      </c>
      <c r="M113" s="1"/>
      <c r="N113" s="1"/>
      <c r="O113" s="1" t="s">
        <v>31</v>
      </c>
      <c r="P113" s="5">
        <f>IFERROR(((Posts_Cleaned[[#This Row],[Likes]]+Posts_Cleaned[[#This Row],[Shares]]+Posts_Cleaned[[#This Row],[Comments]])/Posts_Cleaned[[#This Row],[Impressions]]),0)</f>
        <v>0.17441662408448305</v>
      </c>
      <c r="Q113" s="3" t="str">
        <f>_xlfn.TEXTJOIN(", ", TRUE, Posts_Cleaned[[#This Row],[Hashtags Used.1]], Posts_Cleaned[[#This Row],[Hashtags Used.2]], Posts_Cleaned[[#This Row],[Hashtags Used.3]])</f>
        <v>#FutureOfDriving</v>
      </c>
      <c r="R113" s="2">
        <f>VLOOKUP(Posts_Cleaned[[#This Row],[Campaign_Name]],'Campaign Metadata Dataset '!$A$2:$B$5,2,0)</f>
        <v>45651</v>
      </c>
      <c r="S113" s="2">
        <f>VLOOKUP(Posts_Cleaned[[#This Row],[Campaign_Name]],'Campaign Metadata Dataset '!$A$1:$C$5,3,0)</f>
        <v>45667</v>
      </c>
      <c r="T113" s="1" t="str">
        <f t="shared" si="4"/>
        <v>Before Campaign</v>
      </c>
      <c r="U113" s="1">
        <f>SUM(Posts_Cleaned[[#This Row],[Likes]]+Posts_Cleaned[[#This Row],[Shares]]+Posts_Cleaned[[#This Row],[Comments]]+Posts_Cleaned[[#This Row],[Clicks]])</f>
        <v>3369</v>
      </c>
      <c r="V113" s="1">
        <f ca="1">AVERAGEIF(Posts_Cleaned[[#This Row],[Period]]:T:T,"Before Campaign",Posts_Cleaned[[#This Row],[Engagement Rate ]])</f>
        <v>0.16607423451428743</v>
      </c>
      <c r="W113" s="5">
        <f t="shared" ca="1" si="6"/>
        <v>0.15512767586251153</v>
      </c>
      <c r="X113" s="6">
        <f ca="1">(Posts_Cleaned[[#This Row],[During ]]-Posts_Cleaned[[#This Row],[Before ]])/Posts_Cleaned[[#This Row],[During ]]</f>
        <v>-7.0564833714634886E-2</v>
      </c>
      <c r="Y113" s="1">
        <f>IFERROR(VLOOKUP(O113, 'Campaign Metadata Dataset '!$A$1:$G$5,5,0),0)</f>
        <v>250000</v>
      </c>
      <c r="Z113" s="1">
        <f t="shared" si="7"/>
        <v>1.3476E-2</v>
      </c>
      <c r="AA113" s="1">
        <f t="shared" ca="1" si="5"/>
        <v>-7.0564833714634886E-2</v>
      </c>
    </row>
    <row r="114" spans="1:27" x14ac:dyDescent="0.25">
      <c r="A114" t="s">
        <v>170</v>
      </c>
      <c r="B114" s="1" t="s">
        <v>16</v>
      </c>
      <c r="C114" s="2">
        <v>45567</v>
      </c>
      <c r="D114" s="1" t="s">
        <v>41</v>
      </c>
      <c r="E114" s="1" t="s">
        <v>44</v>
      </c>
      <c r="F114">
        <v>4419</v>
      </c>
      <c r="G114">
        <v>236</v>
      </c>
      <c r="H114">
        <v>369</v>
      </c>
      <c r="I114">
        <v>44190</v>
      </c>
      <c r="J114">
        <v>43582</v>
      </c>
      <c r="K114">
        <v>10</v>
      </c>
      <c r="L114" s="1" t="s">
        <v>36</v>
      </c>
      <c r="M114" s="1"/>
      <c r="N114" s="1"/>
      <c r="O114" s="1" t="s">
        <v>21</v>
      </c>
      <c r="P114" s="5">
        <f>IFERROR(((Posts_Cleaned[[#This Row],[Likes]]+Posts_Cleaned[[#This Row],[Shares]]+Posts_Cleaned[[#This Row],[Comments]])/Posts_Cleaned[[#This Row],[Impressions]]),0)</f>
        <v>0.11369088028965829</v>
      </c>
      <c r="Q114" s="3" t="str">
        <f>_xlfn.TEXTJOIN(", ", TRUE, Posts_Cleaned[[#This Row],[Hashtags Used.1]], Posts_Cleaned[[#This Row],[Hashtags Used.2]], Posts_Cleaned[[#This Row],[Hashtags Used.3]])</f>
        <v>#EVRevolution</v>
      </c>
      <c r="R114" s="2">
        <f>VLOOKUP(Posts_Cleaned[[#This Row],[Campaign_Name]],'Campaign Metadata Dataset '!$A$2:$B$5,2,0)</f>
        <v>45458</v>
      </c>
      <c r="S114" s="2">
        <f>VLOOKUP(Posts_Cleaned[[#This Row],[Campaign_Name]],'Campaign Metadata Dataset '!$A$1:$C$5,3,0)</f>
        <v>45488</v>
      </c>
      <c r="T114" s="1" t="str">
        <f t="shared" si="4"/>
        <v>Before Campaign</v>
      </c>
      <c r="U114" s="1">
        <f>SUM(Posts_Cleaned[[#This Row],[Likes]]+Posts_Cleaned[[#This Row],[Shares]]+Posts_Cleaned[[#This Row],[Comments]]+Posts_Cleaned[[#This Row],[Clicks]])</f>
        <v>5034</v>
      </c>
      <c r="V114" s="1">
        <f ca="1">AVERAGEIF(Posts_Cleaned[[#This Row],[Period]]:T:T,"Before Campaign",Posts_Cleaned[[#This Row],[Engagement Rate ]])</f>
        <v>0.13642014295846538</v>
      </c>
      <c r="W114" s="5">
        <f t="shared" ca="1" si="6"/>
        <v>0.13132340144667992</v>
      </c>
      <c r="X114" s="6">
        <f ca="1">(Posts_Cleaned[[#This Row],[During ]]-Posts_Cleaned[[#This Row],[Before ]])/Posts_Cleaned[[#This Row],[During ]]</f>
        <v>-3.8810611480047962E-2</v>
      </c>
      <c r="Y114" s="1">
        <f>IFERROR(VLOOKUP(O114, 'Campaign Metadata Dataset '!$A$1:$G$5,5,0),0)</f>
        <v>150000</v>
      </c>
      <c r="Z114" s="1">
        <f t="shared" si="7"/>
        <v>3.356E-2</v>
      </c>
      <c r="AA114" s="1">
        <f t="shared" ca="1" si="5"/>
        <v>-3.8810611480047962E-2</v>
      </c>
    </row>
    <row r="115" spans="1:27" x14ac:dyDescent="0.25">
      <c r="A115" t="s">
        <v>171</v>
      </c>
      <c r="B115" s="1" t="s">
        <v>16</v>
      </c>
      <c r="C115" s="2">
        <v>45610</v>
      </c>
      <c r="D115" s="1" t="s">
        <v>34</v>
      </c>
      <c r="E115" s="1" t="s">
        <v>102</v>
      </c>
      <c r="F115">
        <v>4000</v>
      </c>
      <c r="G115">
        <v>689</v>
      </c>
      <c r="H115">
        <v>488</v>
      </c>
      <c r="I115">
        <v>40000</v>
      </c>
      <c r="J115">
        <v>39569</v>
      </c>
      <c r="K115">
        <v>44</v>
      </c>
      <c r="L115" s="1" t="s">
        <v>19</v>
      </c>
      <c r="M115" s="1"/>
      <c r="N115" s="1"/>
      <c r="O115" s="1" t="s">
        <v>21</v>
      </c>
      <c r="P115" s="5">
        <f>IFERROR(((Posts_Cleaned[[#This Row],[Likes]]+Posts_Cleaned[[#This Row],[Shares]]+Posts_Cleaned[[#This Row],[Comments]])/Posts_Cleaned[[#This Row],[Impressions]]),0)</f>
        <v>0.12942500000000001</v>
      </c>
      <c r="Q115" s="3" t="str">
        <f>_xlfn.TEXTJOIN(", ", TRUE, Posts_Cleaned[[#This Row],[Hashtags Used.1]], Posts_Cleaned[[#This Row],[Hashtags Used.2]], Posts_Cleaned[[#This Row],[Hashtags Used.3]])</f>
        <v>#FutureOfDriving</v>
      </c>
      <c r="R115" s="2">
        <f>VLOOKUP(Posts_Cleaned[[#This Row],[Campaign_Name]],'Campaign Metadata Dataset '!$A$2:$B$5,2,0)</f>
        <v>45458</v>
      </c>
      <c r="S115" s="2">
        <f>VLOOKUP(Posts_Cleaned[[#This Row],[Campaign_Name]],'Campaign Metadata Dataset '!$A$1:$C$5,3,0)</f>
        <v>45488</v>
      </c>
      <c r="T115" s="1" t="str">
        <f t="shared" si="4"/>
        <v>Before Campaign</v>
      </c>
      <c r="U115" s="1">
        <f>SUM(Posts_Cleaned[[#This Row],[Likes]]+Posts_Cleaned[[#This Row],[Shares]]+Posts_Cleaned[[#This Row],[Comments]]+Posts_Cleaned[[#This Row],[Clicks]])</f>
        <v>5221</v>
      </c>
      <c r="V115" s="1">
        <f ca="1">AVERAGEIF(Posts_Cleaned[[#This Row],[Period]]:T:T,"Before Campaign",Posts_Cleaned[[#This Row],[Engagement Rate ]])</f>
        <v>0.16544254295998168</v>
      </c>
      <c r="W115" s="5">
        <f t="shared" ca="1" si="6"/>
        <v>0.17519611747708971</v>
      </c>
      <c r="X115" s="6">
        <f ca="1">(Posts_Cleaned[[#This Row],[During ]]-Posts_Cleaned[[#This Row],[Before ]])/Posts_Cleaned[[#This Row],[During ]]</f>
        <v>5.5672321153940565E-2</v>
      </c>
      <c r="Y115" s="1">
        <f>IFERROR(VLOOKUP(O115, 'Campaign Metadata Dataset '!$A$1:$G$5,5,0),0)</f>
        <v>150000</v>
      </c>
      <c r="Z115" s="1">
        <f t="shared" si="7"/>
        <v>3.4806666666666666E-2</v>
      </c>
      <c r="AA115" s="1">
        <f t="shared" ca="1" si="5"/>
        <v>5.5672321153940565E-2</v>
      </c>
    </row>
    <row r="116" spans="1:27" x14ac:dyDescent="0.25">
      <c r="A116" t="s">
        <v>172</v>
      </c>
      <c r="B116" s="1" t="s">
        <v>16</v>
      </c>
      <c r="C116" s="2">
        <v>45788</v>
      </c>
      <c r="D116" s="1" t="s">
        <v>46</v>
      </c>
      <c r="E116" s="1" t="s">
        <v>92</v>
      </c>
      <c r="F116">
        <v>2493</v>
      </c>
      <c r="G116">
        <v>97</v>
      </c>
      <c r="H116">
        <v>44</v>
      </c>
      <c r="I116">
        <v>42381</v>
      </c>
      <c r="J116">
        <v>41991</v>
      </c>
      <c r="K116">
        <v>242</v>
      </c>
      <c r="L116" s="1" t="s">
        <v>25</v>
      </c>
      <c r="M116" s="1" t="s">
        <v>20</v>
      </c>
      <c r="N116" s="1"/>
      <c r="O116" s="1" t="s">
        <v>37</v>
      </c>
      <c r="P116" s="5">
        <f>IFERROR(((Posts_Cleaned[[#This Row],[Likes]]+Posts_Cleaned[[#This Row],[Shares]]+Posts_Cleaned[[#This Row],[Comments]])/Posts_Cleaned[[#This Row],[Impressions]]),0)</f>
        <v>6.2150491965739366E-2</v>
      </c>
      <c r="Q116" s="3" t="str">
        <f>_xlfn.TEXTJOIN(", ", TRUE, Posts_Cleaned[[#This Row],[Hashtags Used.1]], Posts_Cleaned[[#This Row],[Hashtags Used.2]], Posts_Cleaned[[#This Row],[Hashtags Used.3]])</f>
        <v>#TeslaCoInnovation, #AnytimeIsTeslaTime</v>
      </c>
      <c r="R116" s="2">
        <f>VLOOKUP(Posts_Cleaned[[#This Row],[Campaign_Name]],'Campaign Metadata Dataset '!$A$2:$B$5,2,0)</f>
        <v>45717</v>
      </c>
      <c r="S116" s="2">
        <f>VLOOKUP(Posts_Cleaned[[#This Row],[Campaign_Name]],'Campaign Metadata Dataset '!$A$1:$C$5,3,0)</f>
        <v>45747</v>
      </c>
      <c r="T116" s="1" t="str">
        <f t="shared" si="4"/>
        <v>Before Campaign</v>
      </c>
      <c r="U116" s="1">
        <f>SUM(Posts_Cleaned[[#This Row],[Likes]]+Posts_Cleaned[[#This Row],[Shares]]+Posts_Cleaned[[#This Row],[Comments]]+Posts_Cleaned[[#This Row],[Clicks]])</f>
        <v>2876</v>
      </c>
      <c r="V116" s="1">
        <f ca="1">AVERAGEIF(Posts_Cleaned[[#This Row],[Period]]:T:T,"Before Campaign",Posts_Cleaned[[#This Row],[Engagement Rate ]])</f>
        <v>0.15594270268800689</v>
      </c>
      <c r="W116" s="5">
        <f t="shared" ca="1" si="6"/>
        <v>0.14376966478508429</v>
      </c>
      <c r="X116" s="6">
        <f ca="1">(Posts_Cleaned[[#This Row],[During ]]-Posts_Cleaned[[#This Row],[Before ]])/Posts_Cleaned[[#This Row],[During ]]</f>
        <v>-8.4670420016069448E-2</v>
      </c>
      <c r="Y116" s="1">
        <f>IFERROR(VLOOKUP(O116, 'Campaign Metadata Dataset '!$A$1:$G$5,5,0),0)</f>
        <v>180000</v>
      </c>
      <c r="Z116" s="1">
        <f t="shared" si="7"/>
        <v>1.5977777777777778E-2</v>
      </c>
      <c r="AA116" s="1">
        <f t="shared" ca="1" si="5"/>
        <v>-8.4670420016069448E-2</v>
      </c>
    </row>
    <row r="117" spans="1:27" x14ac:dyDescent="0.25">
      <c r="A117" t="s">
        <v>173</v>
      </c>
      <c r="B117" s="1" t="s">
        <v>29</v>
      </c>
      <c r="C117" s="2">
        <v>45734</v>
      </c>
      <c r="D117" s="1" t="s">
        <v>17</v>
      </c>
      <c r="E117" s="1" t="s">
        <v>30</v>
      </c>
      <c r="F117">
        <v>3704</v>
      </c>
      <c r="G117">
        <v>186</v>
      </c>
      <c r="H117">
        <v>458</v>
      </c>
      <c r="I117">
        <v>25928</v>
      </c>
      <c r="J117">
        <v>25081</v>
      </c>
      <c r="K117">
        <v>131</v>
      </c>
      <c r="L117" s="1" t="s">
        <v>25</v>
      </c>
      <c r="M117" s="1"/>
      <c r="N117" s="1"/>
      <c r="O117" s="1"/>
      <c r="P117" s="5">
        <f>IFERROR(((Posts_Cleaned[[#This Row],[Likes]]+Posts_Cleaned[[#This Row],[Shares]]+Posts_Cleaned[[#This Row],[Comments]])/Posts_Cleaned[[#This Row],[Impressions]]),0)</f>
        <v>0.16769515581610614</v>
      </c>
      <c r="Q117" s="3" t="str">
        <f>_xlfn.TEXTJOIN(", ", TRUE, Posts_Cleaned[[#This Row],[Hashtags Used.1]], Posts_Cleaned[[#This Row],[Hashtags Used.2]], Posts_Cleaned[[#This Row],[Hashtags Used.3]])</f>
        <v>#TeslaCoInnovation</v>
      </c>
      <c r="R117" s="2" t="e">
        <f>VLOOKUP(Posts_Cleaned[[#This Row],[Campaign_Name]],'Campaign Metadata Dataset '!$A$2:$B$5,2,0)</f>
        <v>#N/A</v>
      </c>
      <c r="S117" s="2" t="e">
        <f>VLOOKUP(Posts_Cleaned[[#This Row],[Campaign_Name]],'Campaign Metadata Dataset '!$A$1:$C$5,3,0)</f>
        <v>#N/A</v>
      </c>
      <c r="T117" s="1" t="e">
        <f t="shared" si="4"/>
        <v>#N/A</v>
      </c>
      <c r="U117" s="1">
        <f>SUM(Posts_Cleaned[[#This Row],[Likes]]+Posts_Cleaned[[#This Row],[Shares]]+Posts_Cleaned[[#This Row],[Comments]]+Posts_Cleaned[[#This Row],[Clicks]])</f>
        <v>4479</v>
      </c>
      <c r="V117" s="1">
        <f ca="1">AVERAGEIF(Posts_Cleaned[[#This Row],[Period]]:T:T,"Before Campaign",Posts_Cleaned[[#This Row],[Engagement Rate ]])</f>
        <v>0.15609664628696457</v>
      </c>
      <c r="W117" s="5">
        <f t="shared" ca="1" si="6"/>
        <v>0.19093961563248044</v>
      </c>
      <c r="X117" s="6">
        <f ca="1">(Posts_Cleaned[[#This Row],[During ]]-Posts_Cleaned[[#This Row],[Before ]])/Posts_Cleaned[[#This Row],[During ]]</f>
        <v>0.18248161456751558</v>
      </c>
      <c r="Y117" s="1">
        <f>IFERROR(VLOOKUP(O117, 'Campaign Metadata Dataset '!$A$1:$G$5,5,0),0)</f>
        <v>0</v>
      </c>
      <c r="Z117" s="1">
        <v>0</v>
      </c>
      <c r="AA117" s="1">
        <f t="shared" ca="1" si="5"/>
        <v>0.18248161456751558</v>
      </c>
    </row>
    <row r="118" spans="1:27" x14ac:dyDescent="0.25">
      <c r="A118" t="s">
        <v>174</v>
      </c>
      <c r="B118" s="1" t="s">
        <v>16</v>
      </c>
      <c r="C118" s="2">
        <v>45600</v>
      </c>
      <c r="D118" s="1" t="s">
        <v>46</v>
      </c>
      <c r="E118" s="1" t="s">
        <v>92</v>
      </c>
      <c r="F118">
        <v>1606</v>
      </c>
      <c r="G118">
        <v>451</v>
      </c>
      <c r="H118">
        <v>405</v>
      </c>
      <c r="I118">
        <v>20878</v>
      </c>
      <c r="J118">
        <v>20190</v>
      </c>
      <c r="K118">
        <v>219</v>
      </c>
      <c r="L118" s="1" t="s">
        <v>36</v>
      </c>
      <c r="M118" s="1"/>
      <c r="N118" s="1"/>
      <c r="O118" s="1" t="s">
        <v>37</v>
      </c>
      <c r="P118" s="5">
        <f>IFERROR(((Posts_Cleaned[[#This Row],[Likes]]+Posts_Cleaned[[#This Row],[Shares]]+Posts_Cleaned[[#This Row],[Comments]])/Posts_Cleaned[[#This Row],[Impressions]]),0)</f>
        <v>0.11792317271769326</v>
      </c>
      <c r="Q118" s="3" t="str">
        <f>_xlfn.TEXTJOIN(", ", TRUE, Posts_Cleaned[[#This Row],[Hashtags Used.1]], Posts_Cleaned[[#This Row],[Hashtags Used.2]], Posts_Cleaned[[#This Row],[Hashtags Used.3]])</f>
        <v>#EVRevolution</v>
      </c>
      <c r="R118" s="2">
        <f>VLOOKUP(Posts_Cleaned[[#This Row],[Campaign_Name]],'Campaign Metadata Dataset '!$A$2:$B$5,2,0)</f>
        <v>45717</v>
      </c>
      <c r="S118" s="2">
        <f>VLOOKUP(Posts_Cleaned[[#This Row],[Campaign_Name]],'Campaign Metadata Dataset '!$A$1:$C$5,3,0)</f>
        <v>45747</v>
      </c>
      <c r="T118" s="1" t="str">
        <f t="shared" si="4"/>
        <v>Before Campaign</v>
      </c>
      <c r="U118" s="1">
        <f>SUM(Posts_Cleaned[[#This Row],[Likes]]+Posts_Cleaned[[#This Row],[Shares]]+Posts_Cleaned[[#This Row],[Comments]]+Posts_Cleaned[[#This Row],[Clicks]])</f>
        <v>2681</v>
      </c>
      <c r="V118" s="1">
        <f ca="1">AVERAGEIF(Posts_Cleaned[[#This Row],[Period]]:T:T,"Before Campaign",Posts_Cleaned[[#This Row],[Engagement Rate ]])</f>
        <v>0.1654117448948462</v>
      </c>
      <c r="W118" s="5">
        <f t="shared" ca="1" si="6"/>
        <v>0.16075961565073715</v>
      </c>
      <c r="X118" s="6">
        <f ca="1">(Posts_Cleaned[[#This Row],[During ]]-Posts_Cleaned[[#This Row],[Before ]])/Posts_Cleaned[[#This Row],[During ]]</f>
        <v>-2.8938419797022646E-2</v>
      </c>
      <c r="Y118" s="1">
        <f>IFERROR(VLOOKUP(O118, 'Campaign Metadata Dataset '!$A$1:$G$5,5,0),0)</f>
        <v>180000</v>
      </c>
      <c r="Z118" s="1">
        <f t="shared" si="7"/>
        <v>1.4894444444444445E-2</v>
      </c>
      <c r="AA118" s="1">
        <f t="shared" ca="1" si="5"/>
        <v>-2.8938419797022646E-2</v>
      </c>
    </row>
    <row r="119" spans="1:27" x14ac:dyDescent="0.25">
      <c r="A119" t="s">
        <v>175</v>
      </c>
      <c r="B119" s="1" t="s">
        <v>40</v>
      </c>
      <c r="C119" s="2">
        <v>45600</v>
      </c>
      <c r="D119" s="1" t="s">
        <v>46</v>
      </c>
      <c r="E119" s="1" t="s">
        <v>51</v>
      </c>
      <c r="F119">
        <v>4551</v>
      </c>
      <c r="G119">
        <v>714</v>
      </c>
      <c r="H119">
        <v>207</v>
      </c>
      <c r="I119">
        <v>68265</v>
      </c>
      <c r="J119">
        <v>67754</v>
      </c>
      <c r="K119">
        <v>57</v>
      </c>
      <c r="L119" s="1" t="s">
        <v>19</v>
      </c>
      <c r="M119" s="1"/>
      <c r="N119" s="1"/>
      <c r="O119" s="1" t="s">
        <v>31</v>
      </c>
      <c r="P119" s="5">
        <f>IFERROR(((Posts_Cleaned[[#This Row],[Likes]]+Posts_Cleaned[[#This Row],[Shares]]+Posts_Cleaned[[#This Row],[Comments]])/Posts_Cleaned[[#This Row],[Impressions]]),0)</f>
        <v>8.0158206987475278E-2</v>
      </c>
      <c r="Q119" s="3" t="str">
        <f>_xlfn.TEXTJOIN(", ", TRUE, Posts_Cleaned[[#This Row],[Hashtags Used.1]], Posts_Cleaned[[#This Row],[Hashtags Used.2]], Posts_Cleaned[[#This Row],[Hashtags Used.3]])</f>
        <v>#FutureOfDriving</v>
      </c>
      <c r="R119" s="2">
        <f>VLOOKUP(Posts_Cleaned[[#This Row],[Campaign_Name]],'Campaign Metadata Dataset '!$A$2:$B$5,2,0)</f>
        <v>45651</v>
      </c>
      <c r="S119" s="2">
        <f>VLOOKUP(Posts_Cleaned[[#This Row],[Campaign_Name]],'Campaign Metadata Dataset '!$A$1:$C$5,3,0)</f>
        <v>45667</v>
      </c>
      <c r="T119" s="1" t="str">
        <f t="shared" si="4"/>
        <v>Before Campaign</v>
      </c>
      <c r="U119" s="1">
        <f>SUM(Posts_Cleaned[[#This Row],[Likes]]+Posts_Cleaned[[#This Row],[Shares]]+Posts_Cleaned[[#This Row],[Comments]]+Posts_Cleaned[[#This Row],[Clicks]])</f>
        <v>5529</v>
      </c>
      <c r="V119" s="1">
        <f ca="1">AVERAGEIF(Posts_Cleaned[[#This Row],[Period]]:T:T,"Before Campaign",Posts_Cleaned[[#This Row],[Engagement Rate ]])</f>
        <v>0.15358951266794874</v>
      </c>
      <c r="W119" s="5">
        <f t="shared" ca="1" si="6"/>
        <v>0.15990287684285823</v>
      </c>
      <c r="X119" s="6">
        <f ca="1">(Posts_Cleaned[[#This Row],[During ]]-Posts_Cleaned[[#This Row],[Before ]])/Posts_Cleaned[[#This Row],[During ]]</f>
        <v>3.9482492745354675E-2</v>
      </c>
      <c r="Y119" s="1">
        <f>IFERROR(VLOOKUP(O119, 'Campaign Metadata Dataset '!$A$1:$G$5,5,0),0)</f>
        <v>250000</v>
      </c>
      <c r="Z119" s="1">
        <f t="shared" si="7"/>
        <v>2.2116E-2</v>
      </c>
      <c r="AA119" s="1">
        <f t="shared" ca="1" si="5"/>
        <v>3.9482492745354675E-2</v>
      </c>
    </row>
    <row r="120" spans="1:27" x14ac:dyDescent="0.25">
      <c r="A120" t="s">
        <v>176</v>
      </c>
      <c r="B120" s="1" t="s">
        <v>33</v>
      </c>
      <c r="C120" s="2">
        <v>45695</v>
      </c>
      <c r="D120" s="1" t="s">
        <v>17</v>
      </c>
      <c r="E120" s="1" t="s">
        <v>65</v>
      </c>
      <c r="F120">
        <v>1970</v>
      </c>
      <c r="G120">
        <v>675</v>
      </c>
      <c r="H120">
        <v>478</v>
      </c>
      <c r="I120">
        <v>9850</v>
      </c>
      <c r="J120">
        <v>8924</v>
      </c>
      <c r="K120">
        <v>117</v>
      </c>
      <c r="L120" s="1" t="s">
        <v>19</v>
      </c>
      <c r="M120" s="1"/>
      <c r="N120" s="1"/>
      <c r="O120" s="1"/>
      <c r="P120" s="5">
        <f>IFERROR(((Posts_Cleaned[[#This Row],[Likes]]+Posts_Cleaned[[#This Row],[Shares]]+Posts_Cleaned[[#This Row],[Comments]])/Posts_Cleaned[[#This Row],[Impressions]]),0)</f>
        <v>0.31705583756345179</v>
      </c>
      <c r="Q120" s="3" t="str">
        <f>_xlfn.TEXTJOIN(", ", TRUE, Posts_Cleaned[[#This Row],[Hashtags Used.1]], Posts_Cleaned[[#This Row],[Hashtags Used.2]], Posts_Cleaned[[#This Row],[Hashtags Used.3]])</f>
        <v>#FutureOfDriving</v>
      </c>
      <c r="R120" s="2" t="e">
        <f>VLOOKUP(Posts_Cleaned[[#This Row],[Campaign_Name]],'Campaign Metadata Dataset '!$A$2:$B$5,2,0)</f>
        <v>#N/A</v>
      </c>
      <c r="S120" s="2" t="e">
        <f>VLOOKUP(Posts_Cleaned[[#This Row],[Campaign_Name]],'Campaign Metadata Dataset '!$A$1:$C$5,3,0)</f>
        <v>#N/A</v>
      </c>
      <c r="T120" s="1" t="e">
        <f t="shared" si="4"/>
        <v>#N/A</v>
      </c>
      <c r="U120" s="1">
        <f>SUM(Posts_Cleaned[[#This Row],[Likes]]+Posts_Cleaned[[#This Row],[Shares]]+Posts_Cleaned[[#This Row],[Comments]]+Posts_Cleaned[[#This Row],[Clicks]])</f>
        <v>3240</v>
      </c>
      <c r="V120" s="1">
        <f ca="1">AVERAGEIF(Posts_Cleaned[[#This Row],[Period]]:T:T,"Before Campaign",Posts_Cleaned[[#This Row],[Engagement Rate ]])</f>
        <v>0.15920551890466345</v>
      </c>
      <c r="W120" s="5">
        <f t="shared" ca="1" si="6"/>
        <v>0.15898295551168876</v>
      </c>
      <c r="X120" s="6">
        <f ca="1">(Posts_Cleaned[[#This Row],[During ]]-Posts_Cleaned[[#This Row],[Before ]])/Posts_Cleaned[[#This Row],[During ]]</f>
        <v>-1.3999198357985375E-3</v>
      </c>
      <c r="Y120" s="1">
        <f>IFERROR(VLOOKUP(O120, 'Campaign Metadata Dataset '!$A$1:$G$5,5,0),0)</f>
        <v>0</v>
      </c>
      <c r="Z120" s="1">
        <v>0</v>
      </c>
      <c r="AA120" s="1">
        <f t="shared" ca="1" si="5"/>
        <v>-1.3999198357985375E-3</v>
      </c>
    </row>
    <row r="121" spans="1:27" x14ac:dyDescent="0.25">
      <c r="A121" t="s">
        <v>177</v>
      </c>
      <c r="B121" s="1" t="s">
        <v>40</v>
      </c>
      <c r="C121" s="2">
        <v>45586</v>
      </c>
      <c r="D121" s="1" t="s">
        <v>34</v>
      </c>
      <c r="E121" s="1" t="s">
        <v>58</v>
      </c>
      <c r="F121">
        <v>780</v>
      </c>
      <c r="G121">
        <v>928</v>
      </c>
      <c r="H121">
        <v>301</v>
      </c>
      <c r="I121">
        <v>8580</v>
      </c>
      <c r="J121">
        <v>8081</v>
      </c>
      <c r="K121">
        <v>91</v>
      </c>
      <c r="L121" s="1" t="s">
        <v>36</v>
      </c>
      <c r="M121" s="1"/>
      <c r="N121" s="1"/>
      <c r="O121" s="1" t="s">
        <v>31</v>
      </c>
      <c r="P121" s="5">
        <f>IFERROR(((Posts_Cleaned[[#This Row],[Likes]]+Posts_Cleaned[[#This Row],[Shares]]+Posts_Cleaned[[#This Row],[Comments]])/Posts_Cleaned[[#This Row],[Impressions]]),0)</f>
        <v>0.23414918414918415</v>
      </c>
      <c r="Q121" s="3" t="str">
        <f>_xlfn.TEXTJOIN(", ", TRUE, Posts_Cleaned[[#This Row],[Hashtags Used.1]], Posts_Cleaned[[#This Row],[Hashtags Used.2]], Posts_Cleaned[[#This Row],[Hashtags Used.3]])</f>
        <v>#EVRevolution</v>
      </c>
      <c r="R121" s="2">
        <f>VLOOKUP(Posts_Cleaned[[#This Row],[Campaign_Name]],'Campaign Metadata Dataset '!$A$2:$B$5,2,0)</f>
        <v>45651</v>
      </c>
      <c r="S121" s="2">
        <f>VLOOKUP(Posts_Cleaned[[#This Row],[Campaign_Name]],'Campaign Metadata Dataset '!$A$1:$C$5,3,0)</f>
        <v>45667</v>
      </c>
      <c r="T121" s="1" t="str">
        <f t="shared" si="4"/>
        <v>Before Campaign</v>
      </c>
      <c r="U121" s="1">
        <f>SUM(Posts_Cleaned[[#This Row],[Likes]]+Posts_Cleaned[[#This Row],[Shares]]+Posts_Cleaned[[#This Row],[Comments]]+Posts_Cleaned[[#This Row],[Clicks]])</f>
        <v>2100</v>
      </c>
      <c r="V121" s="1">
        <f ca="1">AVERAGEIF(Posts_Cleaned[[#This Row],[Period]]:T:T,"Before Campaign",Posts_Cleaned[[#This Row],[Engagement Rate ]])</f>
        <v>0.15513242045944003</v>
      </c>
      <c r="W121" s="5">
        <f t="shared" ca="1" si="6"/>
        <v>0.18173444095586805</v>
      </c>
      <c r="X121" s="6">
        <f ca="1">(Posts_Cleaned[[#This Row],[During ]]-Posts_Cleaned[[#This Row],[Before ]])/Posts_Cleaned[[#This Row],[During ]]</f>
        <v>0.14637853098460288</v>
      </c>
      <c r="Y121" s="1">
        <f>IFERROR(VLOOKUP(O121, 'Campaign Metadata Dataset '!$A$1:$G$5,5,0),0)</f>
        <v>250000</v>
      </c>
      <c r="Z121" s="1">
        <f t="shared" si="7"/>
        <v>8.3999999999999995E-3</v>
      </c>
      <c r="AA121" s="1">
        <f t="shared" ca="1" si="5"/>
        <v>0.14637853098460288</v>
      </c>
    </row>
    <row r="122" spans="1:27" x14ac:dyDescent="0.25">
      <c r="A122" t="s">
        <v>178</v>
      </c>
      <c r="B122" s="1" t="s">
        <v>33</v>
      </c>
      <c r="C122" s="2">
        <v>45502</v>
      </c>
      <c r="D122" s="1" t="s">
        <v>34</v>
      </c>
      <c r="E122" s="1" t="s">
        <v>35</v>
      </c>
      <c r="F122">
        <v>498</v>
      </c>
      <c r="G122">
        <v>701</v>
      </c>
      <c r="H122">
        <v>412</v>
      </c>
      <c r="I122">
        <v>4980</v>
      </c>
      <c r="J122">
        <v>4185</v>
      </c>
      <c r="K122">
        <v>185</v>
      </c>
      <c r="L122" s="1" t="s">
        <v>19</v>
      </c>
      <c r="M122" s="1"/>
      <c r="N122" s="1"/>
      <c r="O122" s="1"/>
      <c r="P122" s="5">
        <f>IFERROR(((Posts_Cleaned[[#This Row],[Likes]]+Posts_Cleaned[[#This Row],[Shares]]+Posts_Cleaned[[#This Row],[Comments]])/Posts_Cleaned[[#This Row],[Impressions]]),0)</f>
        <v>0.32349397590361445</v>
      </c>
      <c r="Q122" s="3" t="str">
        <f>_xlfn.TEXTJOIN(", ", TRUE, Posts_Cleaned[[#This Row],[Hashtags Used.1]], Posts_Cleaned[[#This Row],[Hashtags Used.2]], Posts_Cleaned[[#This Row],[Hashtags Used.3]])</f>
        <v>#FutureOfDriving</v>
      </c>
      <c r="R122" s="2" t="e">
        <f>VLOOKUP(Posts_Cleaned[[#This Row],[Campaign_Name]],'Campaign Metadata Dataset '!$A$2:$B$5,2,0)</f>
        <v>#N/A</v>
      </c>
      <c r="S122" s="2" t="e">
        <f>VLOOKUP(Posts_Cleaned[[#This Row],[Campaign_Name]],'Campaign Metadata Dataset '!$A$1:$C$5,3,0)</f>
        <v>#N/A</v>
      </c>
      <c r="T122" s="1" t="e">
        <f t="shared" si="4"/>
        <v>#N/A</v>
      </c>
      <c r="U122" s="1">
        <f>SUM(Posts_Cleaned[[#This Row],[Likes]]+Posts_Cleaned[[#This Row],[Shares]]+Posts_Cleaned[[#This Row],[Comments]]+Posts_Cleaned[[#This Row],[Clicks]])</f>
        <v>1796</v>
      </c>
      <c r="V122" s="1">
        <f ca="1">AVERAGEIF(Posts_Cleaned[[#This Row],[Period]]:T:T,"Before Campaign",Posts_Cleaned[[#This Row],[Engagement Rate ]])</f>
        <v>0.1654197807627539</v>
      </c>
      <c r="W122" s="5">
        <f t="shared" ca="1" si="6"/>
        <v>0.13585604461428771</v>
      </c>
      <c r="X122" s="6">
        <f ca="1">(Posts_Cleaned[[#This Row],[During ]]-Posts_Cleaned[[#This Row],[Before ]])/Posts_Cleaned[[#This Row],[During ]]</f>
        <v>-0.21761075285535753</v>
      </c>
      <c r="Y122" s="1">
        <f>IFERROR(VLOOKUP(O122, 'Campaign Metadata Dataset '!$A$1:$G$5,5,0),0)</f>
        <v>0</v>
      </c>
      <c r="Z122" s="1">
        <v>0</v>
      </c>
      <c r="AA122" s="1">
        <f t="shared" ca="1" si="5"/>
        <v>-0.21761075285535753</v>
      </c>
    </row>
    <row r="123" spans="1:27" x14ac:dyDescent="0.25">
      <c r="A123" t="s">
        <v>179</v>
      </c>
      <c r="B123" s="1" t="s">
        <v>33</v>
      </c>
      <c r="C123" s="2">
        <v>45567</v>
      </c>
      <c r="D123" s="1" t="s">
        <v>23</v>
      </c>
      <c r="E123" s="1" t="s">
        <v>82</v>
      </c>
      <c r="F123">
        <v>3432</v>
      </c>
      <c r="G123">
        <v>869</v>
      </c>
      <c r="H123">
        <v>123</v>
      </c>
      <c r="I123">
        <v>54912</v>
      </c>
      <c r="J123">
        <v>53916</v>
      </c>
      <c r="K123">
        <v>264</v>
      </c>
      <c r="L123" s="1" t="s">
        <v>36</v>
      </c>
      <c r="M123" s="1"/>
      <c r="N123" s="1"/>
      <c r="O123" s="1" t="s">
        <v>27</v>
      </c>
      <c r="P123" s="5">
        <f>IFERROR(((Posts_Cleaned[[#This Row],[Likes]]+Posts_Cleaned[[#This Row],[Shares]]+Posts_Cleaned[[#This Row],[Comments]])/Posts_Cleaned[[#This Row],[Impressions]]),0)</f>
        <v>8.0565268065268064E-2</v>
      </c>
      <c r="Q123" s="3" t="str">
        <f>_xlfn.TEXTJOIN(", ", TRUE, Posts_Cleaned[[#This Row],[Hashtags Used.1]], Posts_Cleaned[[#This Row],[Hashtags Used.2]], Posts_Cleaned[[#This Row],[Hashtags Used.3]])</f>
        <v>#EVRevolution</v>
      </c>
      <c r="R123" s="2">
        <f>VLOOKUP(Posts_Cleaned[[#This Row],[Campaign_Name]],'Campaign Metadata Dataset '!$A$2:$B$5,2,0)</f>
        <v>45566</v>
      </c>
      <c r="S123" s="2">
        <f>VLOOKUP(Posts_Cleaned[[#This Row],[Campaign_Name]],'Campaign Metadata Dataset '!$A$1:$C$5,3,0)</f>
        <v>45596</v>
      </c>
      <c r="T123" s="1" t="str">
        <f t="shared" si="4"/>
        <v>During Campaign</v>
      </c>
      <c r="U123" s="1">
        <f>SUM(Posts_Cleaned[[#This Row],[Likes]]+Posts_Cleaned[[#This Row],[Shares]]+Posts_Cleaned[[#This Row],[Comments]]+Posts_Cleaned[[#This Row],[Clicks]])</f>
        <v>4688</v>
      </c>
      <c r="V123" s="1">
        <f ca="1">AVERAGEIF(Posts_Cleaned[[#This Row],[Period]]:T:T,"Before Campaign",Posts_Cleaned[[#This Row],[Engagement Rate ]])</f>
        <v>0.15715971934301162</v>
      </c>
      <c r="W123" s="5">
        <f t="shared" ca="1" si="6"/>
        <v>0.12291695391589129</v>
      </c>
      <c r="X123" s="6">
        <f ca="1">(Posts_Cleaned[[#This Row],[During ]]-Posts_Cleaned[[#This Row],[Before ]])/Posts_Cleaned[[#This Row],[During ]]</f>
        <v>-0.27858455921834607</v>
      </c>
      <c r="Y123" s="1">
        <f>IFERROR(VLOOKUP(O123, 'Campaign Metadata Dataset '!$A$1:$G$5,5,0),0)</f>
        <v>200000</v>
      </c>
      <c r="Z123" s="1">
        <f t="shared" si="7"/>
        <v>2.3439999999999999E-2</v>
      </c>
      <c r="AA123" s="1">
        <f t="shared" ca="1" si="5"/>
        <v>-0.27858455921834607</v>
      </c>
    </row>
    <row r="124" spans="1:27" x14ac:dyDescent="0.25">
      <c r="A124" t="s">
        <v>180</v>
      </c>
      <c r="B124" s="1" t="s">
        <v>33</v>
      </c>
      <c r="C124" s="2">
        <v>45457</v>
      </c>
      <c r="D124" s="1" t="s">
        <v>34</v>
      </c>
      <c r="E124" s="1" t="s">
        <v>35</v>
      </c>
      <c r="F124">
        <v>4363</v>
      </c>
      <c r="G124">
        <v>649</v>
      </c>
      <c r="H124">
        <v>140</v>
      </c>
      <c r="I124">
        <v>21815</v>
      </c>
      <c r="J124">
        <v>21481</v>
      </c>
      <c r="K124">
        <v>157</v>
      </c>
      <c r="L124" s="1" t="s">
        <v>36</v>
      </c>
      <c r="M124" s="1"/>
      <c r="N124" s="1"/>
      <c r="O124" s="1" t="s">
        <v>21</v>
      </c>
      <c r="P124" s="5">
        <f>IFERROR(((Posts_Cleaned[[#This Row],[Likes]]+Posts_Cleaned[[#This Row],[Shares]]+Posts_Cleaned[[#This Row],[Comments]])/Posts_Cleaned[[#This Row],[Impressions]]),0)</f>
        <v>0.23616777446710979</v>
      </c>
      <c r="Q124" s="3" t="str">
        <f>_xlfn.TEXTJOIN(", ", TRUE, Posts_Cleaned[[#This Row],[Hashtags Used.1]], Posts_Cleaned[[#This Row],[Hashtags Used.2]], Posts_Cleaned[[#This Row],[Hashtags Used.3]])</f>
        <v>#EVRevolution</v>
      </c>
      <c r="R124" s="2">
        <f>VLOOKUP(Posts_Cleaned[[#This Row],[Campaign_Name]],'Campaign Metadata Dataset '!$A$2:$B$5,2,0)</f>
        <v>45458</v>
      </c>
      <c r="S124" s="2">
        <f>VLOOKUP(Posts_Cleaned[[#This Row],[Campaign_Name]],'Campaign Metadata Dataset '!$A$1:$C$5,3,0)</f>
        <v>45488</v>
      </c>
      <c r="T124" s="1" t="str">
        <f t="shared" si="4"/>
        <v>Before Campaign</v>
      </c>
      <c r="U124" s="1">
        <f>SUM(Posts_Cleaned[[#This Row],[Likes]]+Posts_Cleaned[[#This Row],[Shares]]+Posts_Cleaned[[#This Row],[Comments]]+Posts_Cleaned[[#This Row],[Clicks]])</f>
        <v>5309</v>
      </c>
      <c r="V124" s="1">
        <f ca="1">AVERAGEIF(Posts_Cleaned[[#This Row],[Period]]:T:T,"Before Campaign",Posts_Cleaned[[#This Row],[Engagement Rate ]])</f>
        <v>0.15806178267293577</v>
      </c>
      <c r="W124" s="5">
        <f t="shared" ca="1" si="6"/>
        <v>0.16478787442761936</v>
      </c>
      <c r="X124" s="6">
        <f ca="1">(Posts_Cleaned[[#This Row],[During ]]-Posts_Cleaned[[#This Row],[Before ]])/Posts_Cleaned[[#This Row],[During ]]</f>
        <v>4.0816666748365149E-2</v>
      </c>
      <c r="Y124" s="1">
        <f>IFERROR(VLOOKUP(O124, 'Campaign Metadata Dataset '!$A$1:$G$5,5,0),0)</f>
        <v>150000</v>
      </c>
      <c r="Z124" s="1">
        <f t="shared" si="7"/>
        <v>3.5393333333333332E-2</v>
      </c>
      <c r="AA124" s="1">
        <f t="shared" ca="1" si="5"/>
        <v>4.0816666748365149E-2</v>
      </c>
    </row>
    <row r="125" spans="1:27" x14ac:dyDescent="0.25">
      <c r="A125" t="s">
        <v>181</v>
      </c>
      <c r="B125" s="1" t="s">
        <v>29</v>
      </c>
      <c r="C125" s="2">
        <v>45753</v>
      </c>
      <c r="D125" s="1" t="s">
        <v>41</v>
      </c>
      <c r="E125" s="1" t="s">
        <v>56</v>
      </c>
      <c r="F125">
        <v>736</v>
      </c>
      <c r="G125">
        <v>771</v>
      </c>
      <c r="H125">
        <v>225</v>
      </c>
      <c r="I125">
        <v>5152</v>
      </c>
      <c r="J125">
        <v>4706</v>
      </c>
      <c r="K125">
        <v>19</v>
      </c>
      <c r="L125" s="1" t="s">
        <v>36</v>
      </c>
      <c r="M125" s="1"/>
      <c r="N125" s="1"/>
      <c r="O125" s="1" t="s">
        <v>21</v>
      </c>
      <c r="P125" s="5">
        <f>IFERROR(((Posts_Cleaned[[#This Row],[Likes]]+Posts_Cleaned[[#This Row],[Shares]]+Posts_Cleaned[[#This Row],[Comments]])/Posts_Cleaned[[#This Row],[Impressions]]),0)</f>
        <v>0.33618012422360249</v>
      </c>
      <c r="Q125" s="3" t="str">
        <f>_xlfn.TEXTJOIN(", ", TRUE, Posts_Cleaned[[#This Row],[Hashtags Used.1]], Posts_Cleaned[[#This Row],[Hashtags Used.2]], Posts_Cleaned[[#This Row],[Hashtags Used.3]])</f>
        <v>#EVRevolution</v>
      </c>
      <c r="R125" s="2">
        <f>VLOOKUP(Posts_Cleaned[[#This Row],[Campaign_Name]],'Campaign Metadata Dataset '!$A$2:$B$5,2,0)</f>
        <v>45458</v>
      </c>
      <c r="S125" s="2">
        <f>VLOOKUP(Posts_Cleaned[[#This Row],[Campaign_Name]],'Campaign Metadata Dataset '!$A$1:$C$5,3,0)</f>
        <v>45488</v>
      </c>
      <c r="T125" s="1" t="str">
        <f t="shared" si="4"/>
        <v>Before Campaign</v>
      </c>
      <c r="U125" s="1">
        <f>SUM(Posts_Cleaned[[#This Row],[Likes]]+Posts_Cleaned[[#This Row],[Shares]]+Posts_Cleaned[[#This Row],[Comments]]+Posts_Cleaned[[#This Row],[Clicks]])</f>
        <v>1751</v>
      </c>
      <c r="V125" s="1">
        <f ca="1">AVERAGEIF(Posts_Cleaned[[#This Row],[Period]]:T:T,"Before Campaign",Posts_Cleaned[[#This Row],[Engagement Rate ]])</f>
        <v>0.14770086413162034</v>
      </c>
      <c r="W125" s="5">
        <f t="shared" ca="1" si="6"/>
        <v>0.15990390760036297</v>
      </c>
      <c r="X125" s="6">
        <f ca="1">(Posts_Cleaned[[#This Row],[During ]]-Posts_Cleaned[[#This Row],[Before ]])/Posts_Cleaned[[#This Row],[During ]]</f>
        <v>7.6314854664095308E-2</v>
      </c>
      <c r="Y125" s="1">
        <f>IFERROR(VLOOKUP(O125, 'Campaign Metadata Dataset '!$A$1:$G$5,5,0),0)</f>
        <v>150000</v>
      </c>
      <c r="Z125" s="1">
        <f t="shared" si="7"/>
        <v>1.1673333333333334E-2</v>
      </c>
      <c r="AA125" s="1">
        <f t="shared" ca="1" si="5"/>
        <v>7.6314854664095308E-2</v>
      </c>
    </row>
    <row r="126" spans="1:27" x14ac:dyDescent="0.25">
      <c r="A126" t="s">
        <v>182</v>
      </c>
      <c r="B126" s="1" t="s">
        <v>16</v>
      </c>
      <c r="C126" s="2">
        <v>45543</v>
      </c>
      <c r="D126" s="1" t="s">
        <v>41</v>
      </c>
      <c r="E126" s="1" t="s">
        <v>44</v>
      </c>
      <c r="F126">
        <v>3811</v>
      </c>
      <c r="G126">
        <v>866</v>
      </c>
      <c r="H126">
        <v>216</v>
      </c>
      <c r="I126">
        <v>34299</v>
      </c>
      <c r="J126">
        <v>34088</v>
      </c>
      <c r="K126">
        <v>233</v>
      </c>
      <c r="L126" s="1" t="s">
        <v>25</v>
      </c>
      <c r="M126" s="1"/>
      <c r="N126" s="1"/>
      <c r="O126" s="1" t="s">
        <v>37</v>
      </c>
      <c r="P126" s="5">
        <f>IFERROR(((Posts_Cleaned[[#This Row],[Likes]]+Posts_Cleaned[[#This Row],[Shares]]+Posts_Cleaned[[#This Row],[Comments]])/Posts_Cleaned[[#This Row],[Impressions]]),0)</f>
        <v>0.14265722032712325</v>
      </c>
      <c r="Q126" s="3" t="str">
        <f>_xlfn.TEXTJOIN(", ", TRUE, Posts_Cleaned[[#This Row],[Hashtags Used.1]], Posts_Cleaned[[#This Row],[Hashtags Used.2]], Posts_Cleaned[[#This Row],[Hashtags Used.3]])</f>
        <v>#TeslaCoInnovation</v>
      </c>
      <c r="R126" s="2">
        <f>VLOOKUP(Posts_Cleaned[[#This Row],[Campaign_Name]],'Campaign Metadata Dataset '!$A$2:$B$5,2,0)</f>
        <v>45717</v>
      </c>
      <c r="S126" s="2">
        <f>VLOOKUP(Posts_Cleaned[[#This Row],[Campaign_Name]],'Campaign Metadata Dataset '!$A$1:$C$5,3,0)</f>
        <v>45747</v>
      </c>
      <c r="T126" s="1" t="str">
        <f t="shared" si="4"/>
        <v>Before Campaign</v>
      </c>
      <c r="U126" s="1">
        <f>SUM(Posts_Cleaned[[#This Row],[Likes]]+Posts_Cleaned[[#This Row],[Shares]]+Posts_Cleaned[[#This Row],[Comments]]+Posts_Cleaned[[#This Row],[Clicks]])</f>
        <v>5126</v>
      </c>
      <c r="V126" s="1">
        <f ca="1">AVERAGEIF(Posts_Cleaned[[#This Row],[Period]]:T:T,"Before Campaign",Posts_Cleaned[[#This Row],[Engagement Rate ]])</f>
        <v>0.15334975487346261</v>
      </c>
      <c r="W126" s="5">
        <f t="shared" ca="1" si="6"/>
        <v>0.13935824277861514</v>
      </c>
      <c r="X126" s="6">
        <f ca="1">(Posts_Cleaned[[#This Row],[During ]]-Posts_Cleaned[[#This Row],[Before ]])/Posts_Cleaned[[#This Row],[During ]]</f>
        <v>-0.10039960188845397</v>
      </c>
      <c r="Y126" s="1">
        <f>IFERROR(VLOOKUP(O126, 'Campaign Metadata Dataset '!$A$1:$G$5,5,0),0)</f>
        <v>180000</v>
      </c>
      <c r="Z126" s="1">
        <f t="shared" si="7"/>
        <v>2.8477777777777779E-2</v>
      </c>
      <c r="AA126" s="1">
        <f t="shared" ca="1" si="5"/>
        <v>-0.10039960188845397</v>
      </c>
    </row>
    <row r="127" spans="1:27" x14ac:dyDescent="0.25">
      <c r="A127" t="s">
        <v>183</v>
      </c>
      <c r="B127" s="1" t="s">
        <v>33</v>
      </c>
      <c r="C127" s="2">
        <v>45744</v>
      </c>
      <c r="D127" s="1" t="s">
        <v>41</v>
      </c>
      <c r="E127" s="1" t="s">
        <v>69</v>
      </c>
      <c r="F127">
        <v>4158</v>
      </c>
      <c r="G127">
        <v>167</v>
      </c>
      <c r="H127">
        <v>241</v>
      </c>
      <c r="I127">
        <v>45738</v>
      </c>
      <c r="J127">
        <v>45183</v>
      </c>
      <c r="K127">
        <v>142</v>
      </c>
      <c r="L127" s="1" t="s">
        <v>19</v>
      </c>
      <c r="M127" s="1"/>
      <c r="N127" s="1"/>
      <c r="O127" s="1"/>
      <c r="P127" s="5">
        <f>IFERROR(((Posts_Cleaned[[#This Row],[Likes]]+Posts_Cleaned[[#This Row],[Shares]]+Posts_Cleaned[[#This Row],[Comments]])/Posts_Cleaned[[#This Row],[Impressions]]),0)</f>
        <v>9.9829463465827106E-2</v>
      </c>
      <c r="Q127" s="3" t="str">
        <f>_xlfn.TEXTJOIN(", ", TRUE, Posts_Cleaned[[#This Row],[Hashtags Used.1]], Posts_Cleaned[[#This Row],[Hashtags Used.2]], Posts_Cleaned[[#This Row],[Hashtags Used.3]])</f>
        <v>#FutureOfDriving</v>
      </c>
      <c r="R127" s="2" t="e">
        <f>VLOOKUP(Posts_Cleaned[[#This Row],[Campaign_Name]],'Campaign Metadata Dataset '!$A$2:$B$5,2,0)</f>
        <v>#N/A</v>
      </c>
      <c r="S127" s="2" t="e">
        <f>VLOOKUP(Posts_Cleaned[[#This Row],[Campaign_Name]],'Campaign Metadata Dataset '!$A$1:$C$5,3,0)</f>
        <v>#N/A</v>
      </c>
      <c r="T127" s="1" t="e">
        <f t="shared" si="4"/>
        <v>#N/A</v>
      </c>
      <c r="U127" s="1">
        <f>SUM(Posts_Cleaned[[#This Row],[Likes]]+Posts_Cleaned[[#This Row],[Shares]]+Posts_Cleaned[[#This Row],[Comments]]+Posts_Cleaned[[#This Row],[Clicks]])</f>
        <v>4708</v>
      </c>
      <c r="V127" s="1">
        <f ca="1">AVERAGEIF(Posts_Cleaned[[#This Row],[Period]]:T:T,"Before Campaign",Posts_Cleaned[[#This Row],[Engagement Rate ]])</f>
        <v>0.16522731020873488</v>
      </c>
      <c r="W127" s="5">
        <f t="shared" ca="1" si="6"/>
        <v>0.11638779998353681</v>
      </c>
      <c r="X127" s="6">
        <f ca="1">(Posts_Cleaned[[#This Row],[During ]]-Posts_Cleaned[[#This Row],[Before ]])/Posts_Cleaned[[#This Row],[During ]]</f>
        <v>-0.41962740280430144</v>
      </c>
      <c r="Y127" s="1">
        <f>IFERROR(VLOOKUP(O127, 'Campaign Metadata Dataset '!$A$1:$G$5,5,0),0)</f>
        <v>0</v>
      </c>
      <c r="Z127" s="1">
        <v>0</v>
      </c>
      <c r="AA127" s="1">
        <f t="shared" ca="1" si="5"/>
        <v>-0.41962740280430144</v>
      </c>
    </row>
    <row r="128" spans="1:27" x14ac:dyDescent="0.25">
      <c r="A128" t="s">
        <v>184</v>
      </c>
      <c r="B128" s="1" t="s">
        <v>40</v>
      </c>
      <c r="C128" s="2">
        <v>45684</v>
      </c>
      <c r="D128" s="1" t="s">
        <v>17</v>
      </c>
      <c r="E128" s="1" t="s">
        <v>54</v>
      </c>
      <c r="F128">
        <v>3452</v>
      </c>
      <c r="G128">
        <v>652</v>
      </c>
      <c r="H128">
        <v>442</v>
      </c>
      <c r="I128">
        <v>65588</v>
      </c>
      <c r="J128">
        <v>65049</v>
      </c>
      <c r="K128">
        <v>158</v>
      </c>
      <c r="L128" s="1" t="s">
        <v>19</v>
      </c>
      <c r="M128" s="1"/>
      <c r="N128" s="1"/>
      <c r="O128" s="1" t="s">
        <v>31</v>
      </c>
      <c r="P128" s="5">
        <f>IFERROR(((Posts_Cleaned[[#This Row],[Likes]]+Posts_Cleaned[[#This Row],[Shares]]+Posts_Cleaned[[#This Row],[Comments]])/Posts_Cleaned[[#This Row],[Impressions]]),0)</f>
        <v>6.9311459413307311E-2</v>
      </c>
      <c r="Q128" s="3" t="str">
        <f>_xlfn.TEXTJOIN(", ", TRUE, Posts_Cleaned[[#This Row],[Hashtags Used.1]], Posts_Cleaned[[#This Row],[Hashtags Used.2]], Posts_Cleaned[[#This Row],[Hashtags Used.3]])</f>
        <v>#FutureOfDriving</v>
      </c>
      <c r="R128" s="2">
        <f>VLOOKUP(Posts_Cleaned[[#This Row],[Campaign_Name]],'Campaign Metadata Dataset '!$A$2:$B$5,2,0)</f>
        <v>45651</v>
      </c>
      <c r="S128" s="2">
        <f>VLOOKUP(Posts_Cleaned[[#This Row],[Campaign_Name]],'Campaign Metadata Dataset '!$A$1:$C$5,3,0)</f>
        <v>45667</v>
      </c>
      <c r="T128" s="1" t="str">
        <f t="shared" si="4"/>
        <v>Before Campaign</v>
      </c>
      <c r="U128" s="1">
        <f>SUM(Posts_Cleaned[[#This Row],[Likes]]+Posts_Cleaned[[#This Row],[Shares]]+Posts_Cleaned[[#This Row],[Comments]]+Posts_Cleaned[[#This Row],[Clicks]])</f>
        <v>4704</v>
      </c>
      <c r="V128" s="1">
        <f ca="1">AVERAGEIF(Posts_Cleaned[[#This Row],[Period]]:T:T,"Before Campaign",Posts_Cleaned[[#This Row],[Engagement Rate ]])</f>
        <v>0.15542998108349956</v>
      </c>
      <c r="W128" s="5">
        <f t="shared" ca="1" si="6"/>
        <v>0.13644847679960664</v>
      </c>
      <c r="X128" s="6">
        <f ca="1">(Posts_Cleaned[[#This Row],[During ]]-Posts_Cleaned[[#This Row],[Before ]])/Posts_Cleaned[[#This Row],[During ]]</f>
        <v>-0.13911114824513482</v>
      </c>
      <c r="Y128" s="1">
        <f>IFERROR(VLOOKUP(O128, 'Campaign Metadata Dataset '!$A$1:$G$5,5,0),0)</f>
        <v>250000</v>
      </c>
      <c r="Z128" s="1">
        <f t="shared" si="7"/>
        <v>1.8815999999999999E-2</v>
      </c>
      <c r="AA128" s="1">
        <f t="shared" ca="1" si="5"/>
        <v>-0.13911114824513482</v>
      </c>
    </row>
    <row r="129" spans="1:27" x14ac:dyDescent="0.25">
      <c r="A129" t="s">
        <v>185</v>
      </c>
      <c r="B129" s="1" t="s">
        <v>16</v>
      </c>
      <c r="C129" s="2">
        <v>45667</v>
      </c>
      <c r="D129" s="1" t="s">
        <v>46</v>
      </c>
      <c r="E129" s="1" t="s">
        <v>92</v>
      </c>
      <c r="F129">
        <v>3092</v>
      </c>
      <c r="G129">
        <v>106</v>
      </c>
      <c r="H129">
        <v>291</v>
      </c>
      <c r="I129">
        <v>27828</v>
      </c>
      <c r="J129">
        <v>27217</v>
      </c>
      <c r="K129">
        <v>102</v>
      </c>
      <c r="L129" s="1" t="s">
        <v>19</v>
      </c>
      <c r="M129" s="1"/>
      <c r="N129" s="1"/>
      <c r="O129" s="1"/>
      <c r="P129" s="5">
        <f>IFERROR(((Posts_Cleaned[[#This Row],[Likes]]+Posts_Cleaned[[#This Row],[Shares]]+Posts_Cleaned[[#This Row],[Comments]])/Posts_Cleaned[[#This Row],[Impressions]]),0)</f>
        <v>0.12537731780940059</v>
      </c>
      <c r="Q129" s="3" t="str">
        <f>_xlfn.TEXTJOIN(", ", TRUE, Posts_Cleaned[[#This Row],[Hashtags Used.1]], Posts_Cleaned[[#This Row],[Hashtags Used.2]], Posts_Cleaned[[#This Row],[Hashtags Used.3]])</f>
        <v>#FutureOfDriving</v>
      </c>
      <c r="R129" s="2" t="e">
        <f>VLOOKUP(Posts_Cleaned[[#This Row],[Campaign_Name]],'Campaign Metadata Dataset '!$A$2:$B$5,2,0)</f>
        <v>#N/A</v>
      </c>
      <c r="S129" s="2" t="e">
        <f>VLOOKUP(Posts_Cleaned[[#This Row],[Campaign_Name]],'Campaign Metadata Dataset '!$A$1:$C$5,3,0)</f>
        <v>#N/A</v>
      </c>
      <c r="T129" s="1" t="e">
        <f t="shared" si="4"/>
        <v>#N/A</v>
      </c>
      <c r="U129" s="1">
        <f>SUM(Posts_Cleaned[[#This Row],[Likes]]+Posts_Cleaned[[#This Row],[Shares]]+Posts_Cleaned[[#This Row],[Comments]]+Posts_Cleaned[[#This Row],[Clicks]])</f>
        <v>3591</v>
      </c>
      <c r="V129" s="1">
        <f ca="1">AVERAGEIF(Posts_Cleaned[[#This Row],[Period]]:T:T,"Before Campaign",Posts_Cleaned[[#This Row],[Engagement Rate ]])</f>
        <v>0.16138647221870131</v>
      </c>
      <c r="W129" s="5">
        <f t="shared" ca="1" si="6"/>
        <v>0.11702238201407125</v>
      </c>
      <c r="X129" s="6">
        <f ca="1">(Posts_Cleaned[[#This Row],[During ]]-Posts_Cleaned[[#This Row],[Before ]])/Posts_Cleaned[[#This Row],[During ]]</f>
        <v>-0.37910773512793078</v>
      </c>
      <c r="Y129" s="1">
        <f>IFERROR(VLOOKUP(O129, 'Campaign Metadata Dataset '!$A$1:$G$5,5,0),0)</f>
        <v>0</v>
      </c>
      <c r="Z129" s="1">
        <v>0</v>
      </c>
      <c r="AA129" s="1">
        <f t="shared" ca="1" si="5"/>
        <v>-0.37910773512793078</v>
      </c>
    </row>
    <row r="130" spans="1:27" x14ac:dyDescent="0.25">
      <c r="A130" t="s">
        <v>186</v>
      </c>
      <c r="B130" s="1" t="s">
        <v>16</v>
      </c>
      <c r="C130" s="2">
        <v>45494</v>
      </c>
      <c r="D130" s="1" t="s">
        <v>23</v>
      </c>
      <c r="E130" s="1" t="s">
        <v>24</v>
      </c>
      <c r="F130">
        <v>2147</v>
      </c>
      <c r="G130">
        <v>430</v>
      </c>
      <c r="H130">
        <v>393</v>
      </c>
      <c r="I130">
        <v>17176</v>
      </c>
      <c r="J130">
        <v>16483</v>
      </c>
      <c r="K130">
        <v>170</v>
      </c>
      <c r="L130" s="1" t="s">
        <v>25</v>
      </c>
      <c r="M130" s="1"/>
      <c r="N130" s="1"/>
      <c r="O130" s="1"/>
      <c r="P130" s="5">
        <f>IFERROR(((Posts_Cleaned[[#This Row],[Likes]]+Posts_Cleaned[[#This Row],[Shares]]+Posts_Cleaned[[#This Row],[Comments]])/Posts_Cleaned[[#This Row],[Impressions]]),0)</f>
        <v>0.17291569632044715</v>
      </c>
      <c r="Q130" s="3" t="str">
        <f>_xlfn.TEXTJOIN(", ", TRUE, Posts_Cleaned[[#This Row],[Hashtags Used.1]], Posts_Cleaned[[#This Row],[Hashtags Used.2]], Posts_Cleaned[[#This Row],[Hashtags Used.3]])</f>
        <v>#TeslaCoInnovation</v>
      </c>
      <c r="R130" s="2" t="e">
        <f>VLOOKUP(Posts_Cleaned[[#This Row],[Campaign_Name]],'Campaign Metadata Dataset '!$A$2:$B$5,2,0)</f>
        <v>#N/A</v>
      </c>
      <c r="S130" s="2" t="e">
        <f>VLOOKUP(Posts_Cleaned[[#This Row],[Campaign_Name]],'Campaign Metadata Dataset '!$A$1:$C$5,3,0)</f>
        <v>#N/A</v>
      </c>
      <c r="T130" s="1" t="e">
        <f t="shared" ref="T130:T193" si="8">IF(AND(C130&gt;R130, C130&lt;=S130),"During Campaign","Before Campaign")</f>
        <v>#N/A</v>
      </c>
      <c r="U130" s="1">
        <f>SUM(Posts_Cleaned[[#This Row],[Likes]]+Posts_Cleaned[[#This Row],[Shares]]+Posts_Cleaned[[#This Row],[Comments]]+Posts_Cleaned[[#This Row],[Clicks]])</f>
        <v>3140</v>
      </c>
      <c r="V130" s="1">
        <f ca="1">AVERAGEIF(Posts_Cleaned[[#This Row],[Period]]:T:T,"Before Campaign",Posts_Cleaned[[#This Row],[Engagement Rate ]])</f>
        <v>0.15227190741721758</v>
      </c>
      <c r="W130" s="5">
        <f t="shared" ca="1" si="6"/>
        <v>0.12191391277697418</v>
      </c>
      <c r="X130" s="6">
        <f ca="1">(Posts_Cleaned[[#This Row],[During ]]-Posts_Cleaned[[#This Row],[Before ]])/Posts_Cleaned[[#This Row],[During ]]</f>
        <v>-0.24901173253112993</v>
      </c>
      <c r="Y130" s="1">
        <f>IFERROR(VLOOKUP(O130, 'Campaign Metadata Dataset '!$A$1:$G$5,5,0),0)</f>
        <v>0</v>
      </c>
      <c r="Z130" s="1">
        <v>0</v>
      </c>
      <c r="AA130" s="1">
        <f t="shared" ref="AA130:AA193" ca="1" si="9">(W:W-V:V)/W:W</f>
        <v>-0.24901173253112993</v>
      </c>
    </row>
    <row r="131" spans="1:27" x14ac:dyDescent="0.25">
      <c r="A131" t="s">
        <v>187</v>
      </c>
      <c r="B131" s="1" t="s">
        <v>29</v>
      </c>
      <c r="C131" s="2">
        <v>45564</v>
      </c>
      <c r="D131" s="1" t="s">
        <v>17</v>
      </c>
      <c r="E131" s="1" t="s">
        <v>30</v>
      </c>
      <c r="F131">
        <v>2936</v>
      </c>
      <c r="G131">
        <v>439</v>
      </c>
      <c r="H131">
        <v>44</v>
      </c>
      <c r="I131">
        <v>38168</v>
      </c>
      <c r="J131">
        <v>37571</v>
      </c>
      <c r="K131">
        <v>22</v>
      </c>
      <c r="L131" s="1" t="s">
        <v>36</v>
      </c>
      <c r="M131" s="1"/>
      <c r="N131" s="1"/>
      <c r="O131" s="1" t="s">
        <v>37</v>
      </c>
      <c r="P131" s="5">
        <f>IFERROR(((Posts_Cleaned[[#This Row],[Likes]]+Posts_Cleaned[[#This Row],[Shares]]+Posts_Cleaned[[#This Row],[Comments]])/Posts_Cleaned[[#This Row],[Impressions]]),0)</f>
        <v>8.9577656675749323E-2</v>
      </c>
      <c r="Q131" s="3" t="str">
        <f>_xlfn.TEXTJOIN(", ", TRUE, Posts_Cleaned[[#This Row],[Hashtags Used.1]], Posts_Cleaned[[#This Row],[Hashtags Used.2]], Posts_Cleaned[[#This Row],[Hashtags Used.3]])</f>
        <v>#EVRevolution</v>
      </c>
      <c r="R131" s="2">
        <f>VLOOKUP(Posts_Cleaned[[#This Row],[Campaign_Name]],'Campaign Metadata Dataset '!$A$2:$B$5,2,0)</f>
        <v>45717</v>
      </c>
      <c r="S131" s="2">
        <f>VLOOKUP(Posts_Cleaned[[#This Row],[Campaign_Name]],'Campaign Metadata Dataset '!$A$1:$C$5,3,0)</f>
        <v>45747</v>
      </c>
      <c r="T131" s="1" t="str">
        <f t="shared" si="8"/>
        <v>Before Campaign</v>
      </c>
      <c r="U131" s="1">
        <f>SUM(Posts_Cleaned[[#This Row],[Likes]]+Posts_Cleaned[[#This Row],[Shares]]+Posts_Cleaned[[#This Row],[Comments]]+Posts_Cleaned[[#This Row],[Clicks]])</f>
        <v>3441</v>
      </c>
      <c r="V131" s="1">
        <f ca="1">AVERAGEIF(Posts_Cleaned[[#This Row],[Period]]:T:T,"Before Campaign",Posts_Cleaned[[#This Row],[Engagement Rate ]])</f>
        <v>0.15513505466981756</v>
      </c>
      <c r="W131" s="5">
        <f t="shared" ref="W131:W194" ca="1" si="10">AVERAGEIF($T$2:$T$302,"During Campaign",P131)</f>
        <v>0.24728744240589476</v>
      </c>
      <c r="X131" s="6">
        <f ca="1">(Posts_Cleaned[[#This Row],[During ]]-Posts_Cleaned[[#This Row],[Before ]])/Posts_Cleaned[[#This Row],[During ]]</f>
        <v>0.37265292098746905</v>
      </c>
      <c r="Y131" s="1">
        <f>IFERROR(VLOOKUP(O131, 'Campaign Metadata Dataset '!$A$1:$G$5,5,0),0)</f>
        <v>180000</v>
      </c>
      <c r="Z131" s="1">
        <f t="shared" ref="Z131:Z192" si="11">(F:F+G:G+H:H+K:K)/Y:Y</f>
        <v>1.9116666666666667E-2</v>
      </c>
      <c r="AA131" s="1">
        <f t="shared" ca="1" si="9"/>
        <v>0.37265292098746905</v>
      </c>
    </row>
    <row r="132" spans="1:27" x14ac:dyDescent="0.25">
      <c r="A132" t="s">
        <v>188</v>
      </c>
      <c r="B132" s="1" t="s">
        <v>33</v>
      </c>
      <c r="C132" s="2">
        <v>45586</v>
      </c>
      <c r="D132" s="1" t="s">
        <v>17</v>
      </c>
      <c r="E132" s="1" t="s">
        <v>65</v>
      </c>
      <c r="F132">
        <v>4840</v>
      </c>
      <c r="G132">
        <v>658</v>
      </c>
      <c r="H132">
        <v>211</v>
      </c>
      <c r="I132">
        <v>43560</v>
      </c>
      <c r="J132">
        <v>43225</v>
      </c>
      <c r="K132">
        <v>57</v>
      </c>
      <c r="L132" s="1" t="s">
        <v>19</v>
      </c>
      <c r="M132" s="1"/>
      <c r="N132" s="1"/>
      <c r="O132" s="1" t="s">
        <v>31</v>
      </c>
      <c r="P132" s="5">
        <f>IFERROR(((Posts_Cleaned[[#This Row],[Likes]]+Posts_Cleaned[[#This Row],[Shares]]+Posts_Cleaned[[#This Row],[Comments]])/Posts_Cleaned[[#This Row],[Impressions]]),0)</f>
        <v>0.13106060606060607</v>
      </c>
      <c r="Q132" s="3" t="str">
        <f>_xlfn.TEXTJOIN(", ", TRUE, Posts_Cleaned[[#This Row],[Hashtags Used.1]], Posts_Cleaned[[#This Row],[Hashtags Used.2]], Posts_Cleaned[[#This Row],[Hashtags Used.3]])</f>
        <v>#FutureOfDriving</v>
      </c>
      <c r="R132" s="2">
        <f>VLOOKUP(Posts_Cleaned[[#This Row],[Campaign_Name]],'Campaign Metadata Dataset '!$A$2:$B$5,2,0)</f>
        <v>45651</v>
      </c>
      <c r="S132" s="2">
        <f>VLOOKUP(Posts_Cleaned[[#This Row],[Campaign_Name]],'Campaign Metadata Dataset '!$A$1:$C$5,3,0)</f>
        <v>45667</v>
      </c>
      <c r="T132" s="1" t="str">
        <f t="shared" si="8"/>
        <v>Before Campaign</v>
      </c>
      <c r="U132" s="1">
        <f>SUM(Posts_Cleaned[[#This Row],[Likes]]+Posts_Cleaned[[#This Row],[Shares]]+Posts_Cleaned[[#This Row],[Comments]]+Posts_Cleaned[[#This Row],[Clicks]])</f>
        <v>5766</v>
      </c>
      <c r="V132" s="1">
        <f ca="1">AVERAGEIF(Posts_Cleaned[[#This Row],[Period]]:T:T,"Before Campaign",Posts_Cleaned[[#This Row],[Engagement Rate ]])</f>
        <v>0.14101678241739193</v>
      </c>
      <c r="W132" s="5">
        <f t="shared" ca="1" si="10"/>
        <v>0.12700764842862727</v>
      </c>
      <c r="X132" s="6">
        <f ca="1">(Posts_Cleaned[[#This Row],[During ]]-Posts_Cleaned[[#This Row],[Before ]])/Posts_Cleaned[[#This Row],[During ]]</f>
        <v>-0.11030149886317421</v>
      </c>
      <c r="Y132" s="1">
        <f>IFERROR(VLOOKUP(O132, 'Campaign Metadata Dataset '!$A$1:$G$5,5,0),0)</f>
        <v>250000</v>
      </c>
      <c r="Z132" s="1">
        <f t="shared" si="11"/>
        <v>2.3064000000000001E-2</v>
      </c>
      <c r="AA132" s="1">
        <f t="shared" ca="1" si="9"/>
        <v>-0.11030149886317421</v>
      </c>
    </row>
    <row r="133" spans="1:27" x14ac:dyDescent="0.25">
      <c r="A133" t="s">
        <v>189</v>
      </c>
      <c r="B133" s="1" t="s">
        <v>33</v>
      </c>
      <c r="C133" s="2">
        <v>45720</v>
      </c>
      <c r="D133" s="1" t="s">
        <v>34</v>
      </c>
      <c r="E133" s="1" t="s">
        <v>35</v>
      </c>
      <c r="F133">
        <v>1947</v>
      </c>
      <c r="G133">
        <v>842</v>
      </c>
      <c r="H133">
        <v>101</v>
      </c>
      <c r="I133">
        <v>21417</v>
      </c>
      <c r="J133">
        <v>20967</v>
      </c>
      <c r="K133">
        <v>186</v>
      </c>
      <c r="L133" s="1" t="s">
        <v>19</v>
      </c>
      <c r="M133" s="1"/>
      <c r="N133" s="1"/>
      <c r="O133" s="1" t="s">
        <v>27</v>
      </c>
      <c r="P133" s="5">
        <f>IFERROR(((Posts_Cleaned[[#This Row],[Likes]]+Posts_Cleaned[[#This Row],[Shares]]+Posts_Cleaned[[#This Row],[Comments]])/Posts_Cleaned[[#This Row],[Impressions]]),0)</f>
        <v>0.13493953401503478</v>
      </c>
      <c r="Q133" s="3" t="str">
        <f>_xlfn.TEXTJOIN(", ", TRUE, Posts_Cleaned[[#This Row],[Hashtags Used.1]], Posts_Cleaned[[#This Row],[Hashtags Used.2]], Posts_Cleaned[[#This Row],[Hashtags Used.3]])</f>
        <v>#FutureOfDriving</v>
      </c>
      <c r="R133" s="2">
        <f>VLOOKUP(Posts_Cleaned[[#This Row],[Campaign_Name]],'Campaign Metadata Dataset '!$A$2:$B$5,2,0)</f>
        <v>45566</v>
      </c>
      <c r="S133" s="2">
        <f>VLOOKUP(Posts_Cleaned[[#This Row],[Campaign_Name]],'Campaign Metadata Dataset '!$A$1:$C$5,3,0)</f>
        <v>45596</v>
      </c>
      <c r="T133" s="1" t="str">
        <f t="shared" si="8"/>
        <v>Before Campaign</v>
      </c>
      <c r="U133" s="1">
        <f>SUM(Posts_Cleaned[[#This Row],[Likes]]+Posts_Cleaned[[#This Row],[Shares]]+Posts_Cleaned[[#This Row],[Comments]]+Posts_Cleaned[[#This Row],[Clicks]])</f>
        <v>3076</v>
      </c>
      <c r="V133" s="1">
        <f ca="1">AVERAGEIF(Posts_Cleaned[[#This Row],[Period]]:T:T,"Before Campaign",Posts_Cleaned[[#This Row],[Engagement Rate ]])</f>
        <v>0.16455861492162258</v>
      </c>
      <c r="W133" s="5">
        <f t="shared" ca="1" si="10"/>
        <v>0.16862277403402318</v>
      </c>
      <c r="X133" s="6">
        <f ca="1">(Posts_Cleaned[[#This Row],[During ]]-Posts_Cleaned[[#This Row],[Before ]])/Posts_Cleaned[[#This Row],[During ]]</f>
        <v>2.4102077170077698E-2</v>
      </c>
      <c r="Y133" s="1">
        <f>IFERROR(VLOOKUP(O133, 'Campaign Metadata Dataset '!$A$1:$G$5,5,0),0)</f>
        <v>200000</v>
      </c>
      <c r="Z133" s="1">
        <f t="shared" si="11"/>
        <v>1.538E-2</v>
      </c>
      <c r="AA133" s="1">
        <f t="shared" ca="1" si="9"/>
        <v>2.4102077170077698E-2</v>
      </c>
    </row>
    <row r="134" spans="1:27" x14ac:dyDescent="0.25">
      <c r="A134" t="s">
        <v>190</v>
      </c>
      <c r="B134" s="1" t="s">
        <v>40</v>
      </c>
      <c r="C134" s="2">
        <v>45694</v>
      </c>
      <c r="D134" s="1" t="s">
        <v>46</v>
      </c>
      <c r="E134" s="1" t="s">
        <v>51</v>
      </c>
      <c r="F134">
        <v>2072</v>
      </c>
      <c r="G134">
        <v>532</v>
      </c>
      <c r="H134">
        <v>71</v>
      </c>
      <c r="I134">
        <v>37296</v>
      </c>
      <c r="J134">
        <v>36467</v>
      </c>
      <c r="K134">
        <v>25</v>
      </c>
      <c r="L134" s="1" t="s">
        <v>25</v>
      </c>
      <c r="M134" s="1"/>
      <c r="N134" s="1"/>
      <c r="O134" s="1" t="s">
        <v>37</v>
      </c>
      <c r="P134" s="5">
        <f>IFERROR(((Posts_Cleaned[[#This Row],[Likes]]+Posts_Cleaned[[#This Row],[Shares]]+Posts_Cleaned[[#This Row],[Comments]])/Posts_Cleaned[[#This Row],[Impressions]]),0)</f>
        <v>7.172350922350923E-2</v>
      </c>
      <c r="Q134" s="3" t="str">
        <f>_xlfn.TEXTJOIN(", ", TRUE, Posts_Cleaned[[#This Row],[Hashtags Used.1]], Posts_Cleaned[[#This Row],[Hashtags Used.2]], Posts_Cleaned[[#This Row],[Hashtags Used.3]])</f>
        <v>#TeslaCoInnovation</v>
      </c>
      <c r="R134" s="2">
        <f>VLOOKUP(Posts_Cleaned[[#This Row],[Campaign_Name]],'Campaign Metadata Dataset '!$A$2:$B$5,2,0)</f>
        <v>45717</v>
      </c>
      <c r="S134" s="2">
        <f>VLOOKUP(Posts_Cleaned[[#This Row],[Campaign_Name]],'Campaign Metadata Dataset '!$A$1:$C$5,3,0)</f>
        <v>45747</v>
      </c>
      <c r="T134" s="1" t="str">
        <f t="shared" si="8"/>
        <v>Before Campaign</v>
      </c>
      <c r="U134" s="1">
        <f>SUM(Posts_Cleaned[[#This Row],[Likes]]+Posts_Cleaned[[#This Row],[Shares]]+Posts_Cleaned[[#This Row],[Comments]]+Posts_Cleaned[[#This Row],[Clicks]])</f>
        <v>2700</v>
      </c>
      <c r="V134" s="1">
        <f ca="1">AVERAGEIF(Posts_Cleaned[[#This Row],[Period]]:T:T,"Before Campaign",Posts_Cleaned[[#This Row],[Engagement Rate ]])</f>
        <v>0.16041960235391348</v>
      </c>
      <c r="W134" s="5">
        <f t="shared" ca="1" si="10"/>
        <v>0.11258219363423329</v>
      </c>
      <c r="X134" s="6">
        <f ca="1">(Posts_Cleaned[[#This Row],[During ]]-Posts_Cleaned[[#This Row],[Before ]])/Posts_Cleaned[[#This Row],[During ]]</f>
        <v>-0.42491096660541611</v>
      </c>
      <c r="Y134" s="1">
        <f>IFERROR(VLOOKUP(O134, 'Campaign Metadata Dataset '!$A$1:$G$5,5,0),0)</f>
        <v>180000</v>
      </c>
      <c r="Z134" s="1">
        <f t="shared" si="11"/>
        <v>1.4999999999999999E-2</v>
      </c>
      <c r="AA134" s="1">
        <f t="shared" ca="1" si="9"/>
        <v>-0.42491096660541611</v>
      </c>
    </row>
    <row r="135" spans="1:27" x14ac:dyDescent="0.25">
      <c r="A135" t="s">
        <v>191</v>
      </c>
      <c r="B135" s="1" t="s">
        <v>16</v>
      </c>
      <c r="C135" s="2">
        <v>45771</v>
      </c>
      <c r="D135" s="1" t="s">
        <v>17</v>
      </c>
      <c r="E135" s="1" t="s">
        <v>18</v>
      </c>
      <c r="F135">
        <v>3731</v>
      </c>
      <c r="G135">
        <v>115</v>
      </c>
      <c r="H135">
        <v>135</v>
      </c>
      <c r="I135">
        <v>55965</v>
      </c>
      <c r="J135">
        <v>55436</v>
      </c>
      <c r="K135">
        <v>103</v>
      </c>
      <c r="L135" s="1" t="s">
        <v>25</v>
      </c>
      <c r="M135" s="1"/>
      <c r="N135" s="1"/>
      <c r="O135" s="1" t="s">
        <v>21</v>
      </c>
      <c r="P135" s="5">
        <f>IFERROR(((Posts_Cleaned[[#This Row],[Likes]]+Posts_Cleaned[[#This Row],[Shares]]+Posts_Cleaned[[#This Row],[Comments]])/Posts_Cleaned[[#This Row],[Impressions]]),0)</f>
        <v>7.1133744304476013E-2</v>
      </c>
      <c r="Q135" s="3" t="str">
        <f>_xlfn.TEXTJOIN(", ", TRUE, Posts_Cleaned[[#This Row],[Hashtags Used.1]], Posts_Cleaned[[#This Row],[Hashtags Used.2]], Posts_Cleaned[[#This Row],[Hashtags Used.3]])</f>
        <v>#TeslaCoInnovation</v>
      </c>
      <c r="R135" s="2">
        <f>VLOOKUP(Posts_Cleaned[[#This Row],[Campaign_Name]],'Campaign Metadata Dataset '!$A$2:$B$5,2,0)</f>
        <v>45458</v>
      </c>
      <c r="S135" s="2">
        <f>VLOOKUP(Posts_Cleaned[[#This Row],[Campaign_Name]],'Campaign Metadata Dataset '!$A$1:$C$5,3,0)</f>
        <v>45488</v>
      </c>
      <c r="T135" s="1" t="str">
        <f t="shared" si="8"/>
        <v>Before Campaign</v>
      </c>
      <c r="U135" s="1">
        <f>SUM(Posts_Cleaned[[#This Row],[Likes]]+Posts_Cleaned[[#This Row],[Shares]]+Posts_Cleaned[[#This Row],[Comments]]+Posts_Cleaned[[#This Row],[Clicks]])</f>
        <v>4084</v>
      </c>
      <c r="V135" s="1">
        <f ca="1">AVERAGEIF(Posts_Cleaned[[#This Row],[Period]]:T:T,"Before Campaign",Posts_Cleaned[[#This Row],[Engagement Rate ]])</f>
        <v>0.15737659578603636</v>
      </c>
      <c r="W135" s="5">
        <f t="shared" ca="1" si="10"/>
        <v>0.14165406023916455</v>
      </c>
      <c r="X135" s="6">
        <f ca="1">(Posts_Cleaned[[#This Row],[During ]]-Posts_Cleaned[[#This Row],[Before ]])/Posts_Cleaned[[#This Row],[During ]]</f>
        <v>-0.11099248069788004</v>
      </c>
      <c r="Y135" s="1">
        <f>IFERROR(VLOOKUP(O135, 'Campaign Metadata Dataset '!$A$1:$G$5,5,0),0)</f>
        <v>150000</v>
      </c>
      <c r="Z135" s="1">
        <f t="shared" si="11"/>
        <v>2.7226666666666666E-2</v>
      </c>
      <c r="AA135" s="1">
        <f t="shared" ca="1" si="9"/>
        <v>-0.11099248069788004</v>
      </c>
    </row>
    <row r="136" spans="1:27" x14ac:dyDescent="0.25">
      <c r="A136" t="s">
        <v>192</v>
      </c>
      <c r="B136" s="1" t="s">
        <v>40</v>
      </c>
      <c r="C136" s="2">
        <v>45624</v>
      </c>
      <c r="D136" s="1" t="s">
        <v>23</v>
      </c>
      <c r="E136" s="1" t="s">
        <v>49</v>
      </c>
      <c r="F136">
        <v>4213</v>
      </c>
      <c r="G136">
        <v>253</v>
      </c>
      <c r="H136">
        <v>434</v>
      </c>
      <c r="I136">
        <v>75834</v>
      </c>
      <c r="J136">
        <v>75437</v>
      </c>
      <c r="K136">
        <v>272</v>
      </c>
      <c r="L136" s="1" t="s">
        <v>19</v>
      </c>
      <c r="M136" s="1"/>
      <c r="N136" s="1"/>
      <c r="O136" s="1" t="s">
        <v>37</v>
      </c>
      <c r="P136" s="5">
        <f>IFERROR(((Posts_Cleaned[[#This Row],[Likes]]+Posts_Cleaned[[#This Row],[Shares]]+Posts_Cleaned[[#This Row],[Comments]])/Posts_Cleaned[[#This Row],[Impressions]]),0)</f>
        <v>6.461481657304112E-2</v>
      </c>
      <c r="Q136" s="3" t="str">
        <f>_xlfn.TEXTJOIN(", ", TRUE, Posts_Cleaned[[#This Row],[Hashtags Used.1]], Posts_Cleaned[[#This Row],[Hashtags Used.2]], Posts_Cleaned[[#This Row],[Hashtags Used.3]])</f>
        <v>#FutureOfDriving</v>
      </c>
      <c r="R136" s="2">
        <f>VLOOKUP(Posts_Cleaned[[#This Row],[Campaign_Name]],'Campaign Metadata Dataset '!$A$2:$B$5,2,0)</f>
        <v>45717</v>
      </c>
      <c r="S136" s="2">
        <f>VLOOKUP(Posts_Cleaned[[#This Row],[Campaign_Name]],'Campaign Metadata Dataset '!$A$1:$C$5,3,0)</f>
        <v>45747</v>
      </c>
      <c r="T136" s="1" t="str">
        <f t="shared" si="8"/>
        <v>Before Campaign</v>
      </c>
      <c r="U136" s="1">
        <f>SUM(Posts_Cleaned[[#This Row],[Likes]]+Posts_Cleaned[[#This Row],[Shares]]+Posts_Cleaned[[#This Row],[Comments]]+Posts_Cleaned[[#This Row],[Clicks]])</f>
        <v>5172</v>
      </c>
      <c r="V136" s="1">
        <f ca="1">AVERAGEIF(Posts_Cleaned[[#This Row],[Period]]:T:T,"Before Campaign",Posts_Cleaned[[#This Row],[Engagement Rate ]])</f>
        <v>0.15544897118269055</v>
      </c>
      <c r="W136" s="5">
        <f t="shared" ca="1" si="10"/>
        <v>0.15618483335755581</v>
      </c>
      <c r="X136" s="6">
        <f ca="1">(Posts_Cleaned[[#This Row],[During ]]-Posts_Cleaned[[#This Row],[Before ]])/Posts_Cleaned[[#This Row],[During ]]</f>
        <v>4.7114829208841731E-3</v>
      </c>
      <c r="Y136" s="1">
        <f>IFERROR(VLOOKUP(O136, 'Campaign Metadata Dataset '!$A$1:$G$5,5,0),0)</f>
        <v>180000</v>
      </c>
      <c r="Z136" s="1">
        <f t="shared" si="11"/>
        <v>2.8733333333333333E-2</v>
      </c>
      <c r="AA136" s="1">
        <f t="shared" ca="1" si="9"/>
        <v>4.7114829208841731E-3</v>
      </c>
    </row>
    <row r="137" spans="1:27" x14ac:dyDescent="0.25">
      <c r="A137" t="s">
        <v>193</v>
      </c>
      <c r="B137" s="1" t="s">
        <v>33</v>
      </c>
      <c r="C137" s="2">
        <v>45484</v>
      </c>
      <c r="D137" s="1" t="s">
        <v>23</v>
      </c>
      <c r="E137" s="1" t="s">
        <v>82</v>
      </c>
      <c r="F137">
        <v>3134</v>
      </c>
      <c r="G137">
        <v>888</v>
      </c>
      <c r="H137">
        <v>444</v>
      </c>
      <c r="I137">
        <v>21938</v>
      </c>
      <c r="J137">
        <v>21337</v>
      </c>
      <c r="K137">
        <v>130</v>
      </c>
      <c r="L137" s="1" t="s">
        <v>36</v>
      </c>
      <c r="M137" s="1"/>
      <c r="N137" s="1"/>
      <c r="O137" s="1" t="s">
        <v>37</v>
      </c>
      <c r="P137" s="5">
        <f>IFERROR(((Posts_Cleaned[[#This Row],[Likes]]+Posts_Cleaned[[#This Row],[Shares]]+Posts_Cleaned[[#This Row],[Comments]])/Posts_Cleaned[[#This Row],[Impressions]]),0)</f>
        <v>0.20357370772176134</v>
      </c>
      <c r="Q137" s="3" t="str">
        <f>_xlfn.TEXTJOIN(", ", TRUE, Posts_Cleaned[[#This Row],[Hashtags Used.1]], Posts_Cleaned[[#This Row],[Hashtags Used.2]], Posts_Cleaned[[#This Row],[Hashtags Used.3]])</f>
        <v>#EVRevolution</v>
      </c>
      <c r="R137" s="2">
        <f>VLOOKUP(Posts_Cleaned[[#This Row],[Campaign_Name]],'Campaign Metadata Dataset '!$A$2:$B$5,2,0)</f>
        <v>45717</v>
      </c>
      <c r="S137" s="2">
        <f>VLOOKUP(Posts_Cleaned[[#This Row],[Campaign_Name]],'Campaign Metadata Dataset '!$A$1:$C$5,3,0)</f>
        <v>45747</v>
      </c>
      <c r="T137" s="1" t="str">
        <f t="shared" si="8"/>
        <v>Before Campaign</v>
      </c>
      <c r="U137" s="1">
        <f>SUM(Posts_Cleaned[[#This Row],[Likes]]+Posts_Cleaned[[#This Row],[Shares]]+Posts_Cleaned[[#This Row],[Comments]]+Posts_Cleaned[[#This Row],[Clicks]])</f>
        <v>4596</v>
      </c>
      <c r="V137" s="1">
        <f ca="1">AVERAGEIF(Posts_Cleaned[[#This Row],[Period]]:T:T,"Before Campaign",Posts_Cleaned[[#This Row],[Engagement Rate ]])</f>
        <v>0.15108979061750347</v>
      </c>
      <c r="W137" s="5">
        <f t="shared" ca="1" si="10"/>
        <v>0.20365804763644255</v>
      </c>
      <c r="X137" s="6">
        <f ca="1">(Posts_Cleaned[[#This Row],[During ]]-Posts_Cleaned[[#This Row],[Before ]])/Posts_Cleaned[[#This Row],[During ]]</f>
        <v>0.25812020506442546</v>
      </c>
      <c r="Y137" s="1">
        <f>IFERROR(VLOOKUP(O137, 'Campaign Metadata Dataset '!$A$1:$G$5,5,0),0)</f>
        <v>180000</v>
      </c>
      <c r="Z137" s="1">
        <f t="shared" si="11"/>
        <v>2.5533333333333335E-2</v>
      </c>
      <c r="AA137" s="1">
        <f t="shared" ca="1" si="9"/>
        <v>0.25812020506442546</v>
      </c>
    </row>
    <row r="138" spans="1:27" x14ac:dyDescent="0.25">
      <c r="A138" t="s">
        <v>194</v>
      </c>
      <c r="B138" s="1" t="s">
        <v>40</v>
      </c>
      <c r="C138" s="2">
        <v>45504</v>
      </c>
      <c r="D138" s="1" t="s">
        <v>60</v>
      </c>
      <c r="E138" s="1" t="s">
        <v>61</v>
      </c>
      <c r="F138">
        <v>3008</v>
      </c>
      <c r="G138">
        <v>94</v>
      </c>
      <c r="H138">
        <v>37</v>
      </c>
      <c r="I138">
        <v>15040</v>
      </c>
      <c r="J138">
        <v>14639</v>
      </c>
      <c r="K138">
        <v>277</v>
      </c>
      <c r="L138" s="1" t="s">
        <v>19</v>
      </c>
      <c r="M138" s="1"/>
      <c r="N138" s="1"/>
      <c r="O138" s="1"/>
      <c r="P138" s="5">
        <f>IFERROR(((Posts_Cleaned[[#This Row],[Likes]]+Posts_Cleaned[[#This Row],[Shares]]+Posts_Cleaned[[#This Row],[Comments]])/Posts_Cleaned[[#This Row],[Impressions]]),0)</f>
        <v>0.20871010638297871</v>
      </c>
      <c r="Q138" s="3" t="str">
        <f>_xlfn.TEXTJOIN(", ", TRUE, Posts_Cleaned[[#This Row],[Hashtags Used.1]], Posts_Cleaned[[#This Row],[Hashtags Used.2]], Posts_Cleaned[[#This Row],[Hashtags Used.3]])</f>
        <v>#FutureOfDriving</v>
      </c>
      <c r="R138" s="2" t="e">
        <f>VLOOKUP(Posts_Cleaned[[#This Row],[Campaign_Name]],'Campaign Metadata Dataset '!$A$2:$B$5,2,0)</f>
        <v>#N/A</v>
      </c>
      <c r="S138" s="2" t="e">
        <f>VLOOKUP(Posts_Cleaned[[#This Row],[Campaign_Name]],'Campaign Metadata Dataset '!$A$1:$C$5,3,0)</f>
        <v>#N/A</v>
      </c>
      <c r="T138" s="1" t="e">
        <f t="shared" si="8"/>
        <v>#N/A</v>
      </c>
      <c r="U138" s="1">
        <f>SUM(Posts_Cleaned[[#This Row],[Likes]]+Posts_Cleaned[[#This Row],[Shares]]+Posts_Cleaned[[#This Row],[Comments]]+Posts_Cleaned[[#This Row],[Clicks]])</f>
        <v>3416</v>
      </c>
      <c r="V138" s="1">
        <f ca="1">AVERAGEIF(Posts_Cleaned[[#This Row],[Period]]:T:T,"Before Campaign",Posts_Cleaned[[#This Row],[Engagement Rate ]])</f>
        <v>0.14426847844483881</v>
      </c>
      <c r="W138" s="5">
        <f t="shared" ca="1" si="10"/>
        <v>0.11445796894134642</v>
      </c>
      <c r="X138" s="6">
        <f ca="1">(Posts_Cleaned[[#This Row],[During ]]-Posts_Cleaned[[#This Row],[Before ]])/Posts_Cleaned[[#This Row],[During ]]</f>
        <v>-0.26044940146341994</v>
      </c>
      <c r="Y138" s="1">
        <f>IFERROR(VLOOKUP(O138, 'Campaign Metadata Dataset '!$A$1:$G$5,5,0),0)</f>
        <v>0</v>
      </c>
      <c r="Z138" s="1">
        <v>0</v>
      </c>
      <c r="AA138" s="1">
        <f t="shared" ca="1" si="9"/>
        <v>-0.26044940146341994</v>
      </c>
    </row>
    <row r="139" spans="1:27" x14ac:dyDescent="0.25">
      <c r="A139" t="s">
        <v>195</v>
      </c>
      <c r="B139" s="1" t="s">
        <v>16</v>
      </c>
      <c r="C139" s="2">
        <v>45745</v>
      </c>
      <c r="D139" s="1" t="s">
        <v>46</v>
      </c>
      <c r="E139" s="1" t="s">
        <v>92</v>
      </c>
      <c r="F139">
        <v>305</v>
      </c>
      <c r="G139">
        <v>187</v>
      </c>
      <c r="H139">
        <v>243</v>
      </c>
      <c r="I139">
        <v>4575</v>
      </c>
      <c r="J139">
        <v>3704</v>
      </c>
      <c r="K139">
        <v>234</v>
      </c>
      <c r="L139" s="1" t="s">
        <v>19</v>
      </c>
      <c r="M139" s="1"/>
      <c r="N139" s="1"/>
      <c r="O139" s="1" t="s">
        <v>31</v>
      </c>
      <c r="P139" s="5">
        <f>IFERROR(((Posts_Cleaned[[#This Row],[Likes]]+Posts_Cleaned[[#This Row],[Shares]]+Posts_Cleaned[[#This Row],[Comments]])/Posts_Cleaned[[#This Row],[Impressions]]),0)</f>
        <v>0.16065573770491803</v>
      </c>
      <c r="Q139" s="3" t="str">
        <f>_xlfn.TEXTJOIN(", ", TRUE, Posts_Cleaned[[#This Row],[Hashtags Used.1]], Posts_Cleaned[[#This Row],[Hashtags Used.2]], Posts_Cleaned[[#This Row],[Hashtags Used.3]])</f>
        <v>#FutureOfDriving</v>
      </c>
      <c r="R139" s="2">
        <f>VLOOKUP(Posts_Cleaned[[#This Row],[Campaign_Name]],'Campaign Metadata Dataset '!$A$2:$B$5,2,0)</f>
        <v>45651</v>
      </c>
      <c r="S139" s="2">
        <f>VLOOKUP(Posts_Cleaned[[#This Row],[Campaign_Name]],'Campaign Metadata Dataset '!$A$1:$C$5,3,0)</f>
        <v>45667</v>
      </c>
      <c r="T139" s="1" t="str">
        <f t="shared" si="8"/>
        <v>Before Campaign</v>
      </c>
      <c r="U139" s="1">
        <f>SUM(Posts_Cleaned[[#This Row],[Likes]]+Posts_Cleaned[[#This Row],[Shares]]+Posts_Cleaned[[#This Row],[Comments]]+Posts_Cleaned[[#This Row],[Clicks]])</f>
        <v>969</v>
      </c>
      <c r="V139" s="1">
        <f ca="1">AVERAGEIF(Posts_Cleaned[[#This Row],[Period]]:T:T,"Before Campaign",Posts_Cleaned[[#This Row],[Engagement Rate ]])</f>
        <v>0.16114277800440843</v>
      </c>
      <c r="W139" s="5">
        <f t="shared" ca="1" si="10"/>
        <v>0.19201064223078854</v>
      </c>
      <c r="X139" s="6">
        <f ca="1">(Posts_Cleaned[[#This Row],[During ]]-Posts_Cleaned[[#This Row],[Before ]])/Posts_Cleaned[[#This Row],[During ]]</f>
        <v>0.16076121546053818</v>
      </c>
      <c r="Y139" s="1">
        <f>IFERROR(VLOOKUP(O139, 'Campaign Metadata Dataset '!$A$1:$G$5,5,0),0)</f>
        <v>250000</v>
      </c>
      <c r="Z139" s="1">
        <f t="shared" si="11"/>
        <v>3.8760000000000001E-3</v>
      </c>
      <c r="AA139" s="1">
        <f t="shared" ca="1" si="9"/>
        <v>0.16076121546053818</v>
      </c>
    </row>
    <row r="140" spans="1:27" x14ac:dyDescent="0.25">
      <c r="A140" t="s">
        <v>196</v>
      </c>
      <c r="B140" s="1" t="s">
        <v>29</v>
      </c>
      <c r="C140" s="2">
        <v>45594</v>
      </c>
      <c r="D140" s="1" t="s">
        <v>23</v>
      </c>
      <c r="E140" s="1" t="s">
        <v>77</v>
      </c>
      <c r="F140">
        <v>2746</v>
      </c>
      <c r="G140">
        <v>156</v>
      </c>
      <c r="H140">
        <v>203</v>
      </c>
      <c r="I140">
        <v>32952</v>
      </c>
      <c r="J140">
        <v>32147</v>
      </c>
      <c r="K140">
        <v>147</v>
      </c>
      <c r="L140" s="1" t="s">
        <v>36</v>
      </c>
      <c r="M140" s="1"/>
      <c r="N140" s="1"/>
      <c r="O140" s="1" t="s">
        <v>21</v>
      </c>
      <c r="P140" s="5">
        <f>IFERROR(((Posts_Cleaned[[#This Row],[Likes]]+Posts_Cleaned[[#This Row],[Shares]]+Posts_Cleaned[[#This Row],[Comments]])/Posts_Cleaned[[#This Row],[Impressions]]),0)</f>
        <v>9.422796795338674E-2</v>
      </c>
      <c r="Q140" s="3" t="str">
        <f>_xlfn.TEXTJOIN(", ", TRUE, Posts_Cleaned[[#This Row],[Hashtags Used.1]], Posts_Cleaned[[#This Row],[Hashtags Used.2]], Posts_Cleaned[[#This Row],[Hashtags Used.3]])</f>
        <v>#EVRevolution</v>
      </c>
      <c r="R140" s="2">
        <f>VLOOKUP(Posts_Cleaned[[#This Row],[Campaign_Name]],'Campaign Metadata Dataset '!$A$2:$B$5,2,0)</f>
        <v>45458</v>
      </c>
      <c r="S140" s="2">
        <f>VLOOKUP(Posts_Cleaned[[#This Row],[Campaign_Name]],'Campaign Metadata Dataset '!$A$1:$C$5,3,0)</f>
        <v>45488</v>
      </c>
      <c r="T140" s="1" t="str">
        <f t="shared" si="8"/>
        <v>Before Campaign</v>
      </c>
      <c r="U140" s="1">
        <f>SUM(Posts_Cleaned[[#This Row],[Likes]]+Posts_Cleaned[[#This Row],[Shares]]+Posts_Cleaned[[#This Row],[Comments]]+Posts_Cleaned[[#This Row],[Clicks]])</f>
        <v>3252</v>
      </c>
      <c r="V140" s="1">
        <f ca="1">AVERAGEIF(Posts_Cleaned[[#This Row],[Period]]:T:T,"Before Campaign",Posts_Cleaned[[#This Row],[Engagement Rate ]])</f>
        <v>0.16021511499318447</v>
      </c>
      <c r="W140" s="5">
        <f t="shared" ca="1" si="10"/>
        <v>0.19600948452953182</v>
      </c>
      <c r="X140" s="6">
        <f ca="1">(Posts_Cleaned[[#This Row],[During ]]-Posts_Cleaned[[#This Row],[Before ]])/Posts_Cleaned[[#This Row],[During ]]</f>
        <v>0.18261549752177619</v>
      </c>
      <c r="Y140" s="1">
        <f>IFERROR(VLOOKUP(O140, 'Campaign Metadata Dataset '!$A$1:$G$5,5,0),0)</f>
        <v>150000</v>
      </c>
      <c r="Z140" s="1">
        <f t="shared" si="11"/>
        <v>2.1680000000000001E-2</v>
      </c>
      <c r="AA140" s="1">
        <f t="shared" ca="1" si="9"/>
        <v>0.18261549752177619</v>
      </c>
    </row>
    <row r="141" spans="1:27" x14ac:dyDescent="0.25">
      <c r="A141" t="s">
        <v>197</v>
      </c>
      <c r="B141" s="1" t="s">
        <v>40</v>
      </c>
      <c r="C141" s="2">
        <v>45488</v>
      </c>
      <c r="D141" s="1" t="s">
        <v>46</v>
      </c>
      <c r="E141" s="1" t="s">
        <v>51</v>
      </c>
      <c r="F141">
        <v>2291</v>
      </c>
      <c r="G141">
        <v>78</v>
      </c>
      <c r="H141">
        <v>485</v>
      </c>
      <c r="I141">
        <v>18328</v>
      </c>
      <c r="J141">
        <v>18101</v>
      </c>
      <c r="K141">
        <v>10</v>
      </c>
      <c r="L141" s="1" t="s">
        <v>36</v>
      </c>
      <c r="M141" s="1" t="s">
        <v>198</v>
      </c>
      <c r="N141" s="1"/>
      <c r="O141" s="1" t="s">
        <v>27</v>
      </c>
      <c r="P141" s="5">
        <f>IFERROR(((Posts_Cleaned[[#This Row],[Likes]]+Posts_Cleaned[[#This Row],[Shares]]+Posts_Cleaned[[#This Row],[Comments]])/Posts_Cleaned[[#This Row],[Impressions]]),0)</f>
        <v>0.15571802706241816</v>
      </c>
      <c r="Q141" s="3" t="str">
        <f>_xlfn.TEXTJOIN(", ", TRUE, Posts_Cleaned[[#This Row],[Hashtags Used.1]], Posts_Cleaned[[#This Row],[Hashtags Used.2]], Posts_Cleaned[[#This Row],[Hashtags Used.3]])</f>
        <v>#EVRevolution, #SmoothLikeNitroTesla</v>
      </c>
      <c r="R141" s="2">
        <f>VLOOKUP(Posts_Cleaned[[#This Row],[Campaign_Name]],'Campaign Metadata Dataset '!$A$2:$B$5,2,0)</f>
        <v>45566</v>
      </c>
      <c r="S141" s="2">
        <f>VLOOKUP(Posts_Cleaned[[#This Row],[Campaign_Name]],'Campaign Metadata Dataset '!$A$1:$C$5,3,0)</f>
        <v>45596</v>
      </c>
      <c r="T141" s="1" t="str">
        <f t="shared" si="8"/>
        <v>Before Campaign</v>
      </c>
      <c r="U141" s="1">
        <f>SUM(Posts_Cleaned[[#This Row],[Likes]]+Posts_Cleaned[[#This Row],[Shares]]+Posts_Cleaned[[#This Row],[Comments]]+Posts_Cleaned[[#This Row],[Clicks]])</f>
        <v>2864</v>
      </c>
      <c r="V141" s="1">
        <f ca="1">AVERAGEIF(Posts_Cleaned[[#This Row],[Period]]:T:T,"Before Campaign",Posts_Cleaned[[#This Row],[Engagement Rate ]])</f>
        <v>0.15076853505201565</v>
      </c>
      <c r="W141" s="5">
        <f t="shared" ca="1" si="10"/>
        <v>0.1037933143658442</v>
      </c>
      <c r="X141" s="6">
        <f ca="1">(Posts_Cleaned[[#This Row],[During ]]-Posts_Cleaned[[#This Row],[Before ]])/Posts_Cleaned[[#This Row],[During ]]</f>
        <v>-0.45258426299593946</v>
      </c>
      <c r="Y141" s="1">
        <f>IFERROR(VLOOKUP(O141, 'Campaign Metadata Dataset '!$A$1:$G$5,5,0),0)</f>
        <v>200000</v>
      </c>
      <c r="Z141" s="1">
        <f t="shared" si="11"/>
        <v>1.4319999999999999E-2</v>
      </c>
      <c r="AA141" s="1">
        <f t="shared" ca="1" si="9"/>
        <v>-0.45258426299593946</v>
      </c>
    </row>
    <row r="142" spans="1:27" x14ac:dyDescent="0.25">
      <c r="A142" t="s">
        <v>199</v>
      </c>
      <c r="B142" s="1" t="s">
        <v>16</v>
      </c>
      <c r="C142" s="2">
        <v>45535</v>
      </c>
      <c r="D142" s="1" t="s">
        <v>46</v>
      </c>
      <c r="E142" s="1" t="s">
        <v>92</v>
      </c>
      <c r="F142">
        <v>3170</v>
      </c>
      <c r="G142">
        <v>857</v>
      </c>
      <c r="H142">
        <v>379</v>
      </c>
      <c r="I142">
        <v>19020</v>
      </c>
      <c r="J142">
        <v>18559</v>
      </c>
      <c r="K142">
        <v>240</v>
      </c>
      <c r="L142" s="1" t="s">
        <v>19</v>
      </c>
      <c r="M142" s="1"/>
      <c r="N142" s="1"/>
      <c r="O142" s="1"/>
      <c r="P142" s="5">
        <f>IFERROR(((Posts_Cleaned[[#This Row],[Likes]]+Posts_Cleaned[[#This Row],[Shares]]+Posts_Cleaned[[#This Row],[Comments]])/Posts_Cleaned[[#This Row],[Impressions]]),0)</f>
        <v>0.2316508937960042</v>
      </c>
      <c r="Q142" s="3" t="str">
        <f>_xlfn.TEXTJOIN(", ", TRUE, Posts_Cleaned[[#This Row],[Hashtags Used.1]], Posts_Cleaned[[#This Row],[Hashtags Used.2]], Posts_Cleaned[[#This Row],[Hashtags Used.3]])</f>
        <v>#FutureOfDriving</v>
      </c>
      <c r="R142" s="2" t="e">
        <f>VLOOKUP(Posts_Cleaned[[#This Row],[Campaign_Name]],'Campaign Metadata Dataset '!$A$2:$B$5,2,0)</f>
        <v>#N/A</v>
      </c>
      <c r="S142" s="2" t="e">
        <f>VLOOKUP(Posts_Cleaned[[#This Row],[Campaign_Name]],'Campaign Metadata Dataset '!$A$1:$C$5,3,0)</f>
        <v>#N/A</v>
      </c>
      <c r="T142" s="1" t="e">
        <f t="shared" si="8"/>
        <v>#N/A</v>
      </c>
      <c r="U142" s="1">
        <f>SUM(Posts_Cleaned[[#This Row],[Likes]]+Posts_Cleaned[[#This Row],[Shares]]+Posts_Cleaned[[#This Row],[Comments]]+Posts_Cleaned[[#This Row],[Clicks]])</f>
        <v>4646</v>
      </c>
      <c r="V142" s="1">
        <f ca="1">AVERAGEIF(Posts_Cleaned[[#This Row],[Period]]:T:T,"Before Campaign",Posts_Cleaned[[#This Row],[Engagement Rate ]])</f>
        <v>0.1440632320970604</v>
      </c>
      <c r="W142" s="5">
        <f t="shared" ca="1" si="10"/>
        <v>0.14116415875327359</v>
      </c>
      <c r="X142" s="6">
        <f ca="1">(Posts_Cleaned[[#This Row],[During ]]-Posts_Cleaned[[#This Row],[Before ]])/Posts_Cleaned[[#This Row],[During ]]</f>
        <v>-2.0536893850327833E-2</v>
      </c>
      <c r="Y142" s="1">
        <f>IFERROR(VLOOKUP(O142, 'Campaign Metadata Dataset '!$A$1:$G$5,5,0),0)</f>
        <v>0</v>
      </c>
      <c r="Z142" s="1">
        <v>0</v>
      </c>
      <c r="AA142" s="1">
        <f t="shared" ca="1" si="9"/>
        <v>-2.0536893850327833E-2</v>
      </c>
    </row>
    <row r="143" spans="1:27" x14ac:dyDescent="0.25">
      <c r="A143" t="s">
        <v>200</v>
      </c>
      <c r="B143" s="1" t="s">
        <v>29</v>
      </c>
      <c r="C143" s="2">
        <v>45741</v>
      </c>
      <c r="D143" s="1" t="s">
        <v>34</v>
      </c>
      <c r="E143" s="1" t="s">
        <v>105</v>
      </c>
      <c r="F143">
        <v>2070</v>
      </c>
      <c r="G143">
        <v>275</v>
      </c>
      <c r="H143">
        <v>386</v>
      </c>
      <c r="I143">
        <v>39330</v>
      </c>
      <c r="J143">
        <v>38627</v>
      </c>
      <c r="K143">
        <v>114</v>
      </c>
      <c r="L143" s="1" t="s">
        <v>19</v>
      </c>
      <c r="M143" s="1"/>
      <c r="N143" s="1"/>
      <c r="O143" s="1" t="s">
        <v>37</v>
      </c>
      <c r="P143" s="5">
        <f>IFERROR(((Posts_Cleaned[[#This Row],[Likes]]+Posts_Cleaned[[#This Row],[Shares]]+Posts_Cleaned[[#This Row],[Comments]])/Posts_Cleaned[[#This Row],[Impressions]]),0)</f>
        <v>6.9438087973557078E-2</v>
      </c>
      <c r="Q143" s="3" t="str">
        <f>_xlfn.TEXTJOIN(", ", TRUE, Posts_Cleaned[[#This Row],[Hashtags Used.1]], Posts_Cleaned[[#This Row],[Hashtags Used.2]], Posts_Cleaned[[#This Row],[Hashtags Used.3]])</f>
        <v>#FutureOfDriving</v>
      </c>
      <c r="R143" s="2">
        <f>VLOOKUP(Posts_Cleaned[[#This Row],[Campaign_Name]],'Campaign Metadata Dataset '!$A$2:$B$5,2,0)</f>
        <v>45717</v>
      </c>
      <c r="S143" s="2">
        <f>VLOOKUP(Posts_Cleaned[[#This Row],[Campaign_Name]],'Campaign Metadata Dataset '!$A$1:$C$5,3,0)</f>
        <v>45747</v>
      </c>
      <c r="T143" s="1" t="str">
        <f t="shared" si="8"/>
        <v>During Campaign</v>
      </c>
      <c r="U143" s="1">
        <f>SUM(Posts_Cleaned[[#This Row],[Likes]]+Posts_Cleaned[[#This Row],[Shares]]+Posts_Cleaned[[#This Row],[Comments]]+Posts_Cleaned[[#This Row],[Clicks]])</f>
        <v>2845</v>
      </c>
      <c r="V143" s="1">
        <f ca="1">AVERAGEIF(Posts_Cleaned[[#This Row],[Period]]:T:T,"Before Campaign",Posts_Cleaned[[#This Row],[Engagement Rate ]])</f>
        <v>0.16367893564929736</v>
      </c>
      <c r="W143" s="5">
        <f t="shared" ca="1" si="10"/>
        <v>0.32822059788046032</v>
      </c>
      <c r="X143" s="6">
        <f ca="1">(Posts_Cleaned[[#This Row],[During ]]-Posts_Cleaned[[#This Row],[Before ]])/Posts_Cleaned[[#This Row],[During ]]</f>
        <v>0.50131424808107228</v>
      </c>
      <c r="Y143" s="1">
        <f>IFERROR(VLOOKUP(O143, 'Campaign Metadata Dataset '!$A$1:$G$5,5,0),0)</f>
        <v>180000</v>
      </c>
      <c r="Z143" s="1">
        <f t="shared" si="11"/>
        <v>1.5805555555555555E-2</v>
      </c>
      <c r="AA143" s="1">
        <f t="shared" ca="1" si="9"/>
        <v>0.50131424808107228</v>
      </c>
    </row>
    <row r="144" spans="1:27" x14ac:dyDescent="0.25">
      <c r="A144" t="s">
        <v>201</v>
      </c>
      <c r="B144" s="1" t="s">
        <v>29</v>
      </c>
      <c r="C144" s="2">
        <v>45567</v>
      </c>
      <c r="D144" s="1" t="s">
        <v>41</v>
      </c>
      <c r="E144" s="1" t="s">
        <v>56</v>
      </c>
      <c r="F144">
        <v>80</v>
      </c>
      <c r="G144">
        <v>362</v>
      </c>
      <c r="H144">
        <v>80</v>
      </c>
      <c r="I144">
        <v>1040</v>
      </c>
      <c r="J144">
        <v>349</v>
      </c>
      <c r="K144">
        <v>117</v>
      </c>
      <c r="L144" s="1" t="s">
        <v>25</v>
      </c>
      <c r="M144" s="1"/>
      <c r="N144" s="1"/>
      <c r="O144" s="1" t="s">
        <v>31</v>
      </c>
      <c r="P144" s="5">
        <f>IFERROR(((Posts_Cleaned[[#This Row],[Likes]]+Posts_Cleaned[[#This Row],[Shares]]+Posts_Cleaned[[#This Row],[Comments]])/Posts_Cleaned[[#This Row],[Impressions]]),0)</f>
        <v>0.50192307692307692</v>
      </c>
      <c r="Q144" s="3" t="str">
        <f>_xlfn.TEXTJOIN(", ", TRUE, Posts_Cleaned[[#This Row],[Hashtags Used.1]], Posts_Cleaned[[#This Row],[Hashtags Used.2]], Posts_Cleaned[[#This Row],[Hashtags Used.3]])</f>
        <v>#TeslaCoInnovation</v>
      </c>
      <c r="R144" s="2">
        <f>VLOOKUP(Posts_Cleaned[[#This Row],[Campaign_Name]],'Campaign Metadata Dataset '!$A$2:$B$5,2,0)</f>
        <v>45651</v>
      </c>
      <c r="S144" s="2">
        <f>VLOOKUP(Posts_Cleaned[[#This Row],[Campaign_Name]],'Campaign Metadata Dataset '!$A$1:$C$5,3,0)</f>
        <v>45667</v>
      </c>
      <c r="T144" s="1" t="str">
        <f t="shared" si="8"/>
        <v>Before Campaign</v>
      </c>
      <c r="U144" s="1">
        <f>SUM(Posts_Cleaned[[#This Row],[Likes]]+Posts_Cleaned[[#This Row],[Shares]]+Posts_Cleaned[[#This Row],[Comments]]+Posts_Cleaned[[#This Row],[Clicks]])</f>
        <v>639</v>
      </c>
      <c r="V144" s="1">
        <f ca="1">AVERAGEIF(Posts_Cleaned[[#This Row],[Period]]:T:T,"Before Campaign",Posts_Cleaned[[#This Row],[Engagement Rate ]])</f>
        <v>0.14095732657683169</v>
      </c>
      <c r="W144" s="5">
        <f t="shared" ca="1" si="10"/>
        <v>0.15836808386029733</v>
      </c>
      <c r="X144" s="6">
        <f ca="1">(Posts_Cleaned[[#This Row],[During ]]-Posts_Cleaned[[#This Row],[Before ]])/Posts_Cleaned[[#This Row],[During ]]</f>
        <v>0.10993854859558917</v>
      </c>
      <c r="Y144" s="1">
        <f>IFERROR(VLOOKUP(O144, 'Campaign Metadata Dataset '!$A$1:$G$5,5,0),0)</f>
        <v>250000</v>
      </c>
      <c r="Z144" s="1">
        <f t="shared" si="11"/>
        <v>2.5560000000000001E-3</v>
      </c>
      <c r="AA144" s="1">
        <f t="shared" ca="1" si="9"/>
        <v>0.10993854859558917</v>
      </c>
    </row>
    <row r="145" spans="1:27" x14ac:dyDescent="0.25">
      <c r="A145" t="s">
        <v>202</v>
      </c>
      <c r="B145" s="1" t="s">
        <v>29</v>
      </c>
      <c r="C145" s="2">
        <v>45593</v>
      </c>
      <c r="D145" s="1" t="s">
        <v>34</v>
      </c>
      <c r="E145" s="1" t="s">
        <v>105</v>
      </c>
      <c r="F145">
        <v>4929</v>
      </c>
      <c r="G145">
        <v>749</v>
      </c>
      <c r="H145">
        <v>452</v>
      </c>
      <c r="I145">
        <v>93651</v>
      </c>
      <c r="J145">
        <v>92810</v>
      </c>
      <c r="K145">
        <v>66</v>
      </c>
      <c r="L145" s="1" t="s">
        <v>36</v>
      </c>
      <c r="M145" s="1"/>
      <c r="N145" s="1"/>
      <c r="O145" s="1" t="s">
        <v>37</v>
      </c>
      <c r="P145" s="5">
        <f>IFERROR(((Posts_Cleaned[[#This Row],[Likes]]+Posts_Cleaned[[#This Row],[Shares]]+Posts_Cleaned[[#This Row],[Comments]])/Posts_Cleaned[[#This Row],[Impressions]]),0)</f>
        <v>6.5455787978772245E-2</v>
      </c>
      <c r="Q145" s="3" t="str">
        <f>_xlfn.TEXTJOIN(", ", TRUE, Posts_Cleaned[[#This Row],[Hashtags Used.1]], Posts_Cleaned[[#This Row],[Hashtags Used.2]], Posts_Cleaned[[#This Row],[Hashtags Used.3]])</f>
        <v>#EVRevolution</v>
      </c>
      <c r="R145" s="2">
        <f>VLOOKUP(Posts_Cleaned[[#This Row],[Campaign_Name]],'Campaign Metadata Dataset '!$A$2:$B$5,2,0)</f>
        <v>45717</v>
      </c>
      <c r="S145" s="2">
        <f>VLOOKUP(Posts_Cleaned[[#This Row],[Campaign_Name]],'Campaign Metadata Dataset '!$A$1:$C$5,3,0)</f>
        <v>45747</v>
      </c>
      <c r="T145" s="1" t="str">
        <f t="shared" si="8"/>
        <v>Before Campaign</v>
      </c>
      <c r="U145" s="1">
        <f>SUM(Posts_Cleaned[[#This Row],[Likes]]+Posts_Cleaned[[#This Row],[Shares]]+Posts_Cleaned[[#This Row],[Comments]]+Posts_Cleaned[[#This Row],[Clicks]])</f>
        <v>6196</v>
      </c>
      <c r="V145" s="1">
        <f ca="1">AVERAGEIF(Posts_Cleaned[[#This Row],[Period]]:T:T,"Before Campaign",Posts_Cleaned[[#This Row],[Engagement Rate ]])</f>
        <v>0.16415125831565175</v>
      </c>
      <c r="W145" s="5">
        <f t="shared" ca="1" si="10"/>
        <v>0.13674969911818893</v>
      </c>
      <c r="X145" s="6">
        <f ca="1">(Posts_Cleaned[[#This Row],[During ]]-Posts_Cleaned[[#This Row],[Before ]])/Posts_Cleaned[[#This Row],[During ]]</f>
        <v>-0.20037747339963372</v>
      </c>
      <c r="Y145" s="1">
        <f>IFERROR(VLOOKUP(O145, 'Campaign Metadata Dataset '!$A$1:$G$5,5,0),0)</f>
        <v>180000</v>
      </c>
      <c r="Z145" s="1">
        <f t="shared" si="11"/>
        <v>3.4422222222222222E-2</v>
      </c>
      <c r="AA145" s="1">
        <f t="shared" ca="1" si="9"/>
        <v>-0.20037747339963372</v>
      </c>
    </row>
    <row r="146" spans="1:27" x14ac:dyDescent="0.25">
      <c r="A146" t="s">
        <v>203</v>
      </c>
      <c r="B146" s="1" t="s">
        <v>33</v>
      </c>
      <c r="C146" s="2">
        <v>45516</v>
      </c>
      <c r="D146" s="1" t="s">
        <v>41</v>
      </c>
      <c r="E146" s="1" t="s">
        <v>69</v>
      </c>
      <c r="F146">
        <v>1878</v>
      </c>
      <c r="G146">
        <v>62</v>
      </c>
      <c r="H146">
        <v>179</v>
      </c>
      <c r="I146">
        <v>37560</v>
      </c>
      <c r="J146">
        <v>36874</v>
      </c>
      <c r="K146">
        <v>142</v>
      </c>
      <c r="L146" s="1" t="s">
        <v>25</v>
      </c>
      <c r="M146" s="1"/>
      <c r="N146" s="1"/>
      <c r="O146" s="1" t="s">
        <v>37</v>
      </c>
      <c r="P146" s="5">
        <f>IFERROR(((Posts_Cleaned[[#This Row],[Likes]]+Posts_Cleaned[[#This Row],[Shares]]+Posts_Cleaned[[#This Row],[Comments]])/Posts_Cleaned[[#This Row],[Impressions]]),0)</f>
        <v>5.6416400425985093E-2</v>
      </c>
      <c r="Q146" s="3" t="str">
        <f>_xlfn.TEXTJOIN(", ", TRUE, Posts_Cleaned[[#This Row],[Hashtags Used.1]], Posts_Cleaned[[#This Row],[Hashtags Used.2]], Posts_Cleaned[[#This Row],[Hashtags Used.3]])</f>
        <v>#TeslaCoInnovation</v>
      </c>
      <c r="R146" s="2">
        <f>VLOOKUP(Posts_Cleaned[[#This Row],[Campaign_Name]],'Campaign Metadata Dataset '!$A$2:$B$5,2,0)</f>
        <v>45717</v>
      </c>
      <c r="S146" s="2">
        <f>VLOOKUP(Posts_Cleaned[[#This Row],[Campaign_Name]],'Campaign Metadata Dataset '!$A$1:$C$5,3,0)</f>
        <v>45747</v>
      </c>
      <c r="T146" s="1" t="str">
        <f t="shared" si="8"/>
        <v>Before Campaign</v>
      </c>
      <c r="U146" s="1">
        <f>SUM(Posts_Cleaned[[#This Row],[Likes]]+Posts_Cleaned[[#This Row],[Shares]]+Posts_Cleaned[[#This Row],[Comments]]+Posts_Cleaned[[#This Row],[Clicks]])</f>
        <v>2261</v>
      </c>
      <c r="V146" s="1">
        <f ca="1">AVERAGEIF(Posts_Cleaned[[#This Row],[Period]]:T:T,"Before Campaign",Posts_Cleaned[[#This Row],[Engagement Rate ]])</f>
        <v>0.15651477158666391</v>
      </c>
      <c r="W146" s="5">
        <f t="shared" ca="1" si="10"/>
        <v>0.11189727306552245</v>
      </c>
      <c r="X146" s="6">
        <f ca="1">(Posts_Cleaned[[#This Row],[During ]]-Posts_Cleaned[[#This Row],[Before ]])/Posts_Cleaned[[#This Row],[During ]]</f>
        <v>-0.39873624529719576</v>
      </c>
      <c r="Y146" s="1">
        <f>IFERROR(VLOOKUP(O146, 'Campaign Metadata Dataset '!$A$1:$G$5,5,0),0)</f>
        <v>180000</v>
      </c>
      <c r="Z146" s="1">
        <f t="shared" si="11"/>
        <v>1.2561111111111111E-2</v>
      </c>
      <c r="AA146" s="1">
        <f t="shared" ca="1" si="9"/>
        <v>-0.39873624529719576</v>
      </c>
    </row>
    <row r="147" spans="1:27" x14ac:dyDescent="0.25">
      <c r="A147" t="s">
        <v>204</v>
      </c>
      <c r="B147" s="1" t="s">
        <v>29</v>
      </c>
      <c r="C147" s="2">
        <v>45448</v>
      </c>
      <c r="D147" s="1" t="s">
        <v>17</v>
      </c>
      <c r="E147" s="1" t="s">
        <v>30</v>
      </c>
      <c r="F147">
        <v>3065</v>
      </c>
      <c r="G147">
        <v>772</v>
      </c>
      <c r="H147">
        <v>142</v>
      </c>
      <c r="I147">
        <v>18390</v>
      </c>
      <c r="J147">
        <v>17875</v>
      </c>
      <c r="K147">
        <v>200</v>
      </c>
      <c r="L147" s="1" t="s">
        <v>36</v>
      </c>
      <c r="M147" s="1" t="s">
        <v>20</v>
      </c>
      <c r="N147" s="1"/>
      <c r="O147" s="1"/>
      <c r="P147" s="5">
        <f>IFERROR(((Posts_Cleaned[[#This Row],[Likes]]+Posts_Cleaned[[#This Row],[Shares]]+Posts_Cleaned[[#This Row],[Comments]])/Posts_Cleaned[[#This Row],[Impressions]]),0)</f>
        <v>0.21636759108210984</v>
      </c>
      <c r="Q147" s="3" t="str">
        <f>_xlfn.TEXTJOIN(", ", TRUE, Posts_Cleaned[[#This Row],[Hashtags Used.1]], Posts_Cleaned[[#This Row],[Hashtags Used.2]], Posts_Cleaned[[#This Row],[Hashtags Used.3]])</f>
        <v>#EVRevolution, #AnytimeIsTeslaTime</v>
      </c>
      <c r="R147" s="2" t="e">
        <f>VLOOKUP(Posts_Cleaned[[#This Row],[Campaign_Name]],'Campaign Metadata Dataset '!$A$2:$B$5,2,0)</f>
        <v>#N/A</v>
      </c>
      <c r="S147" s="2" t="e">
        <f>VLOOKUP(Posts_Cleaned[[#This Row],[Campaign_Name]],'Campaign Metadata Dataset '!$A$1:$C$5,3,0)</f>
        <v>#N/A</v>
      </c>
      <c r="T147" s="1" t="e">
        <f t="shared" si="8"/>
        <v>#N/A</v>
      </c>
      <c r="U147" s="1">
        <f>SUM(Posts_Cleaned[[#This Row],[Likes]]+Posts_Cleaned[[#This Row],[Shares]]+Posts_Cleaned[[#This Row],[Comments]]+Posts_Cleaned[[#This Row],[Clicks]])</f>
        <v>4179</v>
      </c>
      <c r="V147" s="1">
        <f ca="1">AVERAGEIF(Posts_Cleaned[[#This Row],[Period]]:T:T,"Before Campaign",Posts_Cleaned[[#This Row],[Engagement Rate ]])</f>
        <v>0.16619840976201669</v>
      </c>
      <c r="W147" s="5">
        <f t="shared" ca="1" si="10"/>
        <v>0.12901494735800967</v>
      </c>
      <c r="X147" s="6">
        <f ca="1">(Posts_Cleaned[[#This Row],[During ]]-Posts_Cleaned[[#This Row],[Before ]])/Posts_Cleaned[[#This Row],[During ]]</f>
        <v>-0.28821049936814591</v>
      </c>
      <c r="Y147" s="1">
        <f>IFERROR(VLOOKUP(O147, 'Campaign Metadata Dataset '!$A$1:$G$5,5,0),0)</f>
        <v>0</v>
      </c>
      <c r="Z147" s="1">
        <v>0</v>
      </c>
      <c r="AA147" s="1">
        <f t="shared" ca="1" si="9"/>
        <v>-0.28821049936814591</v>
      </c>
    </row>
    <row r="148" spans="1:27" x14ac:dyDescent="0.25">
      <c r="A148" t="s">
        <v>205</v>
      </c>
      <c r="B148" s="1" t="s">
        <v>33</v>
      </c>
      <c r="C148" s="2">
        <v>45586</v>
      </c>
      <c r="D148" s="1" t="s">
        <v>17</v>
      </c>
      <c r="E148" s="1" t="s">
        <v>65</v>
      </c>
      <c r="F148">
        <v>3256</v>
      </c>
      <c r="G148">
        <v>459</v>
      </c>
      <c r="H148">
        <v>266</v>
      </c>
      <c r="I148">
        <v>26048</v>
      </c>
      <c r="J148">
        <v>25529</v>
      </c>
      <c r="K148">
        <v>143</v>
      </c>
      <c r="L148" s="1" t="s">
        <v>25</v>
      </c>
      <c r="M148" s="1"/>
      <c r="N148" s="1"/>
      <c r="O148" s="1" t="s">
        <v>27</v>
      </c>
      <c r="P148" s="5">
        <f>IFERROR(((Posts_Cleaned[[#This Row],[Likes]]+Posts_Cleaned[[#This Row],[Shares]]+Posts_Cleaned[[#This Row],[Comments]])/Posts_Cleaned[[#This Row],[Impressions]]),0)</f>
        <v>0.15283323095823095</v>
      </c>
      <c r="Q148" s="3" t="str">
        <f>_xlfn.TEXTJOIN(", ", TRUE, Posts_Cleaned[[#This Row],[Hashtags Used.1]], Posts_Cleaned[[#This Row],[Hashtags Used.2]], Posts_Cleaned[[#This Row],[Hashtags Used.3]])</f>
        <v>#TeslaCoInnovation</v>
      </c>
      <c r="R148" s="2">
        <f>VLOOKUP(Posts_Cleaned[[#This Row],[Campaign_Name]],'Campaign Metadata Dataset '!$A$2:$B$5,2,0)</f>
        <v>45566</v>
      </c>
      <c r="S148" s="2">
        <f>VLOOKUP(Posts_Cleaned[[#This Row],[Campaign_Name]],'Campaign Metadata Dataset '!$A$1:$C$5,3,0)</f>
        <v>45596</v>
      </c>
      <c r="T148" s="1" t="str">
        <f t="shared" si="8"/>
        <v>During Campaign</v>
      </c>
      <c r="U148" s="1">
        <f>SUM(Posts_Cleaned[[#This Row],[Likes]]+Posts_Cleaned[[#This Row],[Shares]]+Posts_Cleaned[[#This Row],[Comments]]+Posts_Cleaned[[#This Row],[Clicks]])</f>
        <v>4124</v>
      </c>
      <c r="V148" s="1">
        <f ca="1">AVERAGEIF(Posts_Cleaned[[#This Row],[Period]]:T:T,"Before Campaign",Posts_Cleaned[[#This Row],[Engagement Rate ]])</f>
        <v>0.16348776555401012</v>
      </c>
      <c r="W148" s="5">
        <f t="shared" ca="1" si="10"/>
        <v>0.10963554098536717</v>
      </c>
      <c r="X148" s="6">
        <f ca="1">(Posts_Cleaned[[#This Row],[During ]]-Posts_Cleaned[[#This Row],[Before ]])/Posts_Cleaned[[#This Row],[During ]]</f>
        <v>-0.4911931302991473</v>
      </c>
      <c r="Y148" s="1">
        <f>IFERROR(VLOOKUP(O148, 'Campaign Metadata Dataset '!$A$1:$G$5,5,0),0)</f>
        <v>200000</v>
      </c>
      <c r="Z148" s="1">
        <f t="shared" si="11"/>
        <v>2.0619999999999999E-2</v>
      </c>
      <c r="AA148" s="1">
        <f t="shared" ca="1" si="9"/>
        <v>-0.4911931302991473</v>
      </c>
    </row>
    <row r="149" spans="1:27" x14ac:dyDescent="0.25">
      <c r="A149" t="s">
        <v>206</v>
      </c>
      <c r="B149" s="1" t="s">
        <v>33</v>
      </c>
      <c r="C149" s="2">
        <v>45762</v>
      </c>
      <c r="D149" s="1" t="s">
        <v>60</v>
      </c>
      <c r="E149" s="1" t="s">
        <v>67</v>
      </c>
      <c r="F149">
        <v>4133</v>
      </c>
      <c r="G149">
        <v>466</v>
      </c>
      <c r="H149">
        <v>327</v>
      </c>
      <c r="I149">
        <v>24798</v>
      </c>
      <c r="J149">
        <v>24620</v>
      </c>
      <c r="K149">
        <v>176</v>
      </c>
      <c r="L149" s="1" t="s">
        <v>36</v>
      </c>
      <c r="M149" s="1"/>
      <c r="N149" s="1"/>
      <c r="O149" s="1" t="s">
        <v>37</v>
      </c>
      <c r="P149" s="5">
        <f>IFERROR(((Posts_Cleaned[[#This Row],[Likes]]+Posts_Cleaned[[#This Row],[Shares]]+Posts_Cleaned[[#This Row],[Comments]])/Posts_Cleaned[[#This Row],[Impressions]]),0)</f>
        <v>0.19864505202032423</v>
      </c>
      <c r="Q149" s="3" t="str">
        <f>_xlfn.TEXTJOIN(", ", TRUE, Posts_Cleaned[[#This Row],[Hashtags Used.1]], Posts_Cleaned[[#This Row],[Hashtags Used.2]], Posts_Cleaned[[#This Row],[Hashtags Used.3]])</f>
        <v>#EVRevolution</v>
      </c>
      <c r="R149" s="2">
        <f>VLOOKUP(Posts_Cleaned[[#This Row],[Campaign_Name]],'Campaign Metadata Dataset '!$A$2:$B$5,2,0)</f>
        <v>45717</v>
      </c>
      <c r="S149" s="2">
        <f>VLOOKUP(Posts_Cleaned[[#This Row],[Campaign_Name]],'Campaign Metadata Dataset '!$A$1:$C$5,3,0)</f>
        <v>45747</v>
      </c>
      <c r="T149" s="1" t="str">
        <f t="shared" si="8"/>
        <v>Before Campaign</v>
      </c>
      <c r="U149" s="1">
        <f>SUM(Posts_Cleaned[[#This Row],[Likes]]+Posts_Cleaned[[#This Row],[Shares]]+Posts_Cleaned[[#This Row],[Comments]]+Posts_Cleaned[[#This Row],[Clicks]])</f>
        <v>5102</v>
      </c>
      <c r="V149" s="1">
        <f ca="1">AVERAGEIF(Posts_Cleaned[[#This Row],[Period]]:T:T,"Before Campaign",Posts_Cleaned[[#This Row],[Engagement Rate ]])</f>
        <v>0.15600082053753658</v>
      </c>
      <c r="W149" s="5">
        <f t="shared" ca="1" si="10"/>
        <v>0.17838154664626449</v>
      </c>
      <c r="X149" s="6">
        <f ca="1">(Posts_Cleaned[[#This Row],[During ]]-Posts_Cleaned[[#This Row],[Before ]])/Posts_Cleaned[[#This Row],[During ]]</f>
        <v>0.12546547851785084</v>
      </c>
      <c r="Y149" s="1">
        <f>IFERROR(VLOOKUP(O149, 'Campaign Metadata Dataset '!$A$1:$G$5,5,0),0)</f>
        <v>180000</v>
      </c>
      <c r="Z149" s="1">
        <f t="shared" si="11"/>
        <v>2.8344444444444443E-2</v>
      </c>
      <c r="AA149" s="1">
        <f t="shared" ca="1" si="9"/>
        <v>0.12546547851785084</v>
      </c>
    </row>
    <row r="150" spans="1:27" x14ac:dyDescent="0.25">
      <c r="A150" t="s">
        <v>207</v>
      </c>
      <c r="B150" s="1" t="s">
        <v>16</v>
      </c>
      <c r="C150" s="2">
        <v>45459</v>
      </c>
      <c r="D150" s="1" t="s">
        <v>60</v>
      </c>
      <c r="E150" s="1" t="s">
        <v>99</v>
      </c>
      <c r="F150">
        <v>1702</v>
      </c>
      <c r="G150">
        <v>750</v>
      </c>
      <c r="H150">
        <v>179</v>
      </c>
      <c r="I150">
        <v>34040</v>
      </c>
      <c r="J150">
        <v>33174</v>
      </c>
      <c r="K150">
        <v>76</v>
      </c>
      <c r="L150" s="1" t="s">
        <v>36</v>
      </c>
      <c r="M150" s="1"/>
      <c r="N150" s="1"/>
      <c r="O150" s="1" t="s">
        <v>21</v>
      </c>
      <c r="P150" s="5">
        <f>IFERROR(((Posts_Cleaned[[#This Row],[Likes]]+Posts_Cleaned[[#This Row],[Shares]]+Posts_Cleaned[[#This Row],[Comments]])/Posts_Cleaned[[#This Row],[Impressions]]),0)</f>
        <v>7.7291421856639245E-2</v>
      </c>
      <c r="Q150" s="3" t="str">
        <f>_xlfn.TEXTJOIN(", ", TRUE, Posts_Cleaned[[#This Row],[Hashtags Used.1]], Posts_Cleaned[[#This Row],[Hashtags Used.2]], Posts_Cleaned[[#This Row],[Hashtags Used.3]])</f>
        <v>#EVRevolution</v>
      </c>
      <c r="R150" s="2">
        <f>VLOOKUP(Posts_Cleaned[[#This Row],[Campaign_Name]],'Campaign Metadata Dataset '!$A$2:$B$5,2,0)</f>
        <v>45458</v>
      </c>
      <c r="S150" s="2">
        <f>VLOOKUP(Posts_Cleaned[[#This Row],[Campaign_Name]],'Campaign Metadata Dataset '!$A$1:$C$5,3,0)</f>
        <v>45488</v>
      </c>
      <c r="T150" s="1" t="str">
        <f t="shared" si="8"/>
        <v>During Campaign</v>
      </c>
      <c r="U150" s="1">
        <f>SUM(Posts_Cleaned[[#This Row],[Likes]]+Posts_Cleaned[[#This Row],[Shares]]+Posts_Cleaned[[#This Row],[Comments]]+Posts_Cleaned[[#This Row],[Clicks]])</f>
        <v>2707</v>
      </c>
      <c r="V150" s="1">
        <f ca="1">AVERAGEIF(Posts_Cleaned[[#This Row],[Period]]:T:T,"Before Campaign",Posts_Cleaned[[#This Row],[Engagement Rate ]])</f>
        <v>0.15994442733172631</v>
      </c>
      <c r="W150" s="5">
        <f t="shared" ca="1" si="10"/>
        <v>0.13600531829588439</v>
      </c>
      <c r="X150" s="6">
        <f ca="1">(Posts_Cleaned[[#This Row],[During ]]-Posts_Cleaned[[#This Row],[Before ]])/Posts_Cleaned[[#This Row],[During ]]</f>
        <v>-0.1760159774323056</v>
      </c>
      <c r="Y150" s="1">
        <f>IFERROR(VLOOKUP(O150, 'Campaign Metadata Dataset '!$A$1:$G$5,5,0),0)</f>
        <v>150000</v>
      </c>
      <c r="Z150" s="1">
        <f t="shared" si="11"/>
        <v>1.8046666666666666E-2</v>
      </c>
      <c r="AA150" s="1">
        <f t="shared" ca="1" si="9"/>
        <v>-0.1760159774323056</v>
      </c>
    </row>
    <row r="151" spans="1:27" x14ac:dyDescent="0.25">
      <c r="A151" t="s">
        <v>208</v>
      </c>
      <c r="B151" s="1" t="s">
        <v>29</v>
      </c>
      <c r="C151" s="2">
        <v>45526</v>
      </c>
      <c r="D151" s="1" t="s">
        <v>41</v>
      </c>
      <c r="E151" s="1" t="s">
        <v>56</v>
      </c>
      <c r="F151">
        <v>4295</v>
      </c>
      <c r="G151">
        <v>853</v>
      </c>
      <c r="H151">
        <v>325</v>
      </c>
      <c r="I151">
        <v>85900</v>
      </c>
      <c r="J151">
        <v>85788</v>
      </c>
      <c r="K151">
        <v>290</v>
      </c>
      <c r="L151" s="1" t="s">
        <v>25</v>
      </c>
      <c r="M151" s="1"/>
      <c r="N151" s="1"/>
      <c r="O151" s="1" t="s">
        <v>37</v>
      </c>
      <c r="P151" s="5">
        <f>IFERROR(((Posts_Cleaned[[#This Row],[Likes]]+Posts_Cleaned[[#This Row],[Shares]]+Posts_Cleaned[[#This Row],[Comments]])/Posts_Cleaned[[#This Row],[Impressions]]),0)</f>
        <v>6.3713620488940623E-2</v>
      </c>
      <c r="Q151" s="3" t="str">
        <f>_xlfn.TEXTJOIN(", ", TRUE, Posts_Cleaned[[#This Row],[Hashtags Used.1]], Posts_Cleaned[[#This Row],[Hashtags Used.2]], Posts_Cleaned[[#This Row],[Hashtags Used.3]])</f>
        <v>#TeslaCoInnovation</v>
      </c>
      <c r="R151" s="2">
        <f>VLOOKUP(Posts_Cleaned[[#This Row],[Campaign_Name]],'Campaign Metadata Dataset '!$A$2:$B$5,2,0)</f>
        <v>45717</v>
      </c>
      <c r="S151" s="2">
        <f>VLOOKUP(Posts_Cleaned[[#This Row],[Campaign_Name]],'Campaign Metadata Dataset '!$A$1:$C$5,3,0)</f>
        <v>45747</v>
      </c>
      <c r="T151" s="1" t="str">
        <f t="shared" si="8"/>
        <v>Before Campaign</v>
      </c>
      <c r="U151" s="1">
        <f>SUM(Posts_Cleaned[[#This Row],[Likes]]+Posts_Cleaned[[#This Row],[Shares]]+Posts_Cleaned[[#This Row],[Comments]]+Posts_Cleaned[[#This Row],[Clicks]])</f>
        <v>5763</v>
      </c>
      <c r="V151" s="1">
        <f ca="1">AVERAGEIF(Posts_Cleaned[[#This Row],[Period]]:T:T,"Before Campaign",Posts_Cleaned[[#This Row],[Engagement Rate ]])</f>
        <v>0.14166329790624635</v>
      </c>
      <c r="W151" s="5">
        <f t="shared" ca="1" si="10"/>
        <v>0.11082661629997728</v>
      </c>
      <c r="X151" s="6">
        <f ca="1">(Posts_Cleaned[[#This Row],[During ]]-Posts_Cleaned[[#This Row],[Before ]])/Posts_Cleaned[[#This Row],[During ]]</f>
        <v>-0.27824256154137755</v>
      </c>
      <c r="Y151" s="1">
        <f>IFERROR(VLOOKUP(O151, 'Campaign Metadata Dataset '!$A$1:$G$5,5,0),0)</f>
        <v>180000</v>
      </c>
      <c r="Z151" s="1">
        <f t="shared" si="11"/>
        <v>3.2016666666666665E-2</v>
      </c>
      <c r="AA151" s="1">
        <f t="shared" ca="1" si="9"/>
        <v>-0.27824256154137755</v>
      </c>
    </row>
    <row r="152" spans="1:27" x14ac:dyDescent="0.25">
      <c r="A152" t="s">
        <v>209</v>
      </c>
      <c r="B152" s="1" t="s">
        <v>33</v>
      </c>
      <c r="C152" s="2">
        <v>45499</v>
      </c>
      <c r="D152" s="1" t="s">
        <v>46</v>
      </c>
      <c r="E152" s="1" t="s">
        <v>138</v>
      </c>
      <c r="F152">
        <v>3559</v>
      </c>
      <c r="G152">
        <v>59</v>
      </c>
      <c r="H152">
        <v>289</v>
      </c>
      <c r="I152">
        <v>35590</v>
      </c>
      <c r="J152">
        <v>35105</v>
      </c>
      <c r="K152">
        <v>122</v>
      </c>
      <c r="L152" s="1" t="s">
        <v>36</v>
      </c>
      <c r="M152" s="1"/>
      <c r="N152" s="1"/>
      <c r="O152" s="1" t="s">
        <v>21</v>
      </c>
      <c r="P152" s="5">
        <f>IFERROR(((Posts_Cleaned[[#This Row],[Likes]]+Posts_Cleaned[[#This Row],[Shares]]+Posts_Cleaned[[#This Row],[Comments]])/Posts_Cleaned[[#This Row],[Impressions]]),0)</f>
        <v>0.10977802753582468</v>
      </c>
      <c r="Q152" s="3" t="str">
        <f>_xlfn.TEXTJOIN(", ", TRUE, Posts_Cleaned[[#This Row],[Hashtags Used.1]], Posts_Cleaned[[#This Row],[Hashtags Used.2]], Posts_Cleaned[[#This Row],[Hashtags Used.3]])</f>
        <v>#EVRevolution</v>
      </c>
      <c r="R152" s="2">
        <f>VLOOKUP(Posts_Cleaned[[#This Row],[Campaign_Name]],'Campaign Metadata Dataset '!$A$2:$B$5,2,0)</f>
        <v>45458</v>
      </c>
      <c r="S152" s="2">
        <f>VLOOKUP(Posts_Cleaned[[#This Row],[Campaign_Name]],'Campaign Metadata Dataset '!$A$1:$C$5,3,0)</f>
        <v>45488</v>
      </c>
      <c r="T152" s="1" t="str">
        <f t="shared" si="8"/>
        <v>Before Campaign</v>
      </c>
      <c r="U152" s="1">
        <f>SUM(Posts_Cleaned[[#This Row],[Likes]]+Posts_Cleaned[[#This Row],[Shares]]+Posts_Cleaned[[#This Row],[Comments]]+Posts_Cleaned[[#This Row],[Clicks]])</f>
        <v>4029</v>
      </c>
      <c r="V152" s="1">
        <f ca="1">AVERAGEIF(Posts_Cleaned[[#This Row],[Period]]:T:T,"Before Campaign",Posts_Cleaned[[#This Row],[Engagement Rate ]])</f>
        <v>0.16599427663570979</v>
      </c>
      <c r="W152" s="5">
        <f t="shared" ca="1" si="10"/>
        <v>0.18570738065579445</v>
      </c>
      <c r="X152" s="6">
        <f ca="1">(Posts_Cleaned[[#This Row],[During ]]-Posts_Cleaned[[#This Row],[Before ]])/Posts_Cleaned[[#This Row],[During ]]</f>
        <v>0.10615143001032672</v>
      </c>
      <c r="Y152" s="1">
        <f>IFERROR(VLOOKUP(O152, 'Campaign Metadata Dataset '!$A$1:$G$5,5,0),0)</f>
        <v>150000</v>
      </c>
      <c r="Z152" s="1">
        <f t="shared" si="11"/>
        <v>2.6859999999999998E-2</v>
      </c>
      <c r="AA152" s="1">
        <f t="shared" ca="1" si="9"/>
        <v>0.10615143001032672</v>
      </c>
    </row>
    <row r="153" spans="1:27" x14ac:dyDescent="0.25">
      <c r="A153" t="s">
        <v>210</v>
      </c>
      <c r="B153" s="1" t="s">
        <v>40</v>
      </c>
      <c r="C153" s="2">
        <v>45769</v>
      </c>
      <c r="D153" s="1" t="s">
        <v>46</v>
      </c>
      <c r="E153" s="1" t="s">
        <v>51</v>
      </c>
      <c r="F153">
        <v>4804</v>
      </c>
      <c r="G153">
        <v>550</v>
      </c>
      <c r="H153">
        <v>270</v>
      </c>
      <c r="I153">
        <v>28824</v>
      </c>
      <c r="J153">
        <v>28370</v>
      </c>
      <c r="K153">
        <v>47</v>
      </c>
      <c r="L153" s="1" t="s">
        <v>36</v>
      </c>
      <c r="M153" s="1"/>
      <c r="N153" s="1"/>
      <c r="O153" s="1" t="s">
        <v>37</v>
      </c>
      <c r="P153" s="5">
        <f>IFERROR(((Posts_Cleaned[[#This Row],[Likes]]+Posts_Cleaned[[#This Row],[Shares]]+Posts_Cleaned[[#This Row],[Comments]])/Posts_Cleaned[[#This Row],[Impressions]]),0)</f>
        <v>0.19511518179295032</v>
      </c>
      <c r="Q153" s="3" t="str">
        <f>_xlfn.TEXTJOIN(", ", TRUE, Posts_Cleaned[[#This Row],[Hashtags Used.1]], Posts_Cleaned[[#This Row],[Hashtags Used.2]], Posts_Cleaned[[#This Row],[Hashtags Used.3]])</f>
        <v>#EVRevolution</v>
      </c>
      <c r="R153" s="2">
        <f>VLOOKUP(Posts_Cleaned[[#This Row],[Campaign_Name]],'Campaign Metadata Dataset '!$A$2:$B$5,2,0)</f>
        <v>45717</v>
      </c>
      <c r="S153" s="2">
        <f>VLOOKUP(Posts_Cleaned[[#This Row],[Campaign_Name]],'Campaign Metadata Dataset '!$A$1:$C$5,3,0)</f>
        <v>45747</v>
      </c>
      <c r="T153" s="1" t="str">
        <f t="shared" si="8"/>
        <v>Before Campaign</v>
      </c>
      <c r="U153" s="1">
        <f>SUM(Posts_Cleaned[[#This Row],[Likes]]+Posts_Cleaned[[#This Row],[Shares]]+Posts_Cleaned[[#This Row],[Comments]]+Posts_Cleaned[[#This Row],[Clicks]])</f>
        <v>5671</v>
      </c>
      <c r="V153" s="1">
        <f ca="1">AVERAGEIF(Posts_Cleaned[[#This Row],[Period]]:T:T,"Before Campaign",Posts_Cleaned[[#This Row],[Engagement Rate ]])</f>
        <v>0.15070717073482057</v>
      </c>
      <c r="W153" s="5">
        <f t="shared" ca="1" si="10"/>
        <v>0.10575495900744118</v>
      </c>
      <c r="X153" s="6">
        <f ca="1">(Posts_Cleaned[[#This Row],[During ]]-Posts_Cleaned[[#This Row],[Before ]])/Posts_Cleaned[[#This Row],[During ]]</f>
        <v>-0.42506008369987108</v>
      </c>
      <c r="Y153" s="1">
        <f>IFERROR(VLOOKUP(O153, 'Campaign Metadata Dataset '!$A$1:$G$5,5,0),0)</f>
        <v>180000</v>
      </c>
      <c r="Z153" s="1">
        <f t="shared" si="11"/>
        <v>3.1505555555555557E-2</v>
      </c>
      <c r="AA153" s="1">
        <f t="shared" ca="1" si="9"/>
        <v>-0.42506008369987108</v>
      </c>
    </row>
    <row r="154" spans="1:27" x14ac:dyDescent="0.25">
      <c r="A154" t="s">
        <v>211</v>
      </c>
      <c r="B154" s="1" t="s">
        <v>16</v>
      </c>
      <c r="C154" s="2">
        <v>45658</v>
      </c>
      <c r="D154" s="1" t="s">
        <v>60</v>
      </c>
      <c r="E154" s="1" t="s">
        <v>99</v>
      </c>
      <c r="F154">
        <v>754</v>
      </c>
      <c r="G154">
        <v>197</v>
      </c>
      <c r="H154">
        <v>257</v>
      </c>
      <c r="I154">
        <v>6786</v>
      </c>
      <c r="J154">
        <v>6221</v>
      </c>
      <c r="K154">
        <v>212</v>
      </c>
      <c r="L154" s="1" t="s">
        <v>25</v>
      </c>
      <c r="M154" s="1"/>
      <c r="N154" s="1"/>
      <c r="O154" s="1" t="s">
        <v>31</v>
      </c>
      <c r="P154" s="5">
        <f>IFERROR(((Posts_Cleaned[[#This Row],[Likes]]+Posts_Cleaned[[#This Row],[Shares]]+Posts_Cleaned[[#This Row],[Comments]])/Posts_Cleaned[[#This Row],[Impressions]]),0)</f>
        <v>0.17801355732390214</v>
      </c>
      <c r="Q154" s="3" t="str">
        <f>_xlfn.TEXTJOIN(", ", TRUE, Posts_Cleaned[[#This Row],[Hashtags Used.1]], Posts_Cleaned[[#This Row],[Hashtags Used.2]], Posts_Cleaned[[#This Row],[Hashtags Used.3]])</f>
        <v>#TeslaCoInnovation</v>
      </c>
      <c r="R154" s="2">
        <f>VLOOKUP(Posts_Cleaned[[#This Row],[Campaign_Name]],'Campaign Metadata Dataset '!$A$2:$B$5,2,0)</f>
        <v>45651</v>
      </c>
      <c r="S154" s="2">
        <f>VLOOKUP(Posts_Cleaned[[#This Row],[Campaign_Name]],'Campaign Metadata Dataset '!$A$1:$C$5,3,0)</f>
        <v>45667</v>
      </c>
      <c r="T154" s="1" t="str">
        <f t="shared" si="8"/>
        <v>During Campaign</v>
      </c>
      <c r="U154" s="1">
        <f>SUM(Posts_Cleaned[[#This Row],[Likes]]+Posts_Cleaned[[#This Row],[Shares]]+Posts_Cleaned[[#This Row],[Comments]]+Posts_Cleaned[[#This Row],[Clicks]])</f>
        <v>1420</v>
      </c>
      <c r="V154" s="1">
        <f ca="1">AVERAGEIF(Posts_Cleaned[[#This Row],[Period]]:T:T,"Before Campaign",Posts_Cleaned[[#This Row],[Engagement Rate ]])</f>
        <v>0.15611751203217106</v>
      </c>
      <c r="W154" s="5">
        <f t="shared" ca="1" si="10"/>
        <v>0.10337278155077921</v>
      </c>
      <c r="X154" s="6">
        <f ca="1">(Posts_Cleaned[[#This Row],[During ]]-Posts_Cleaned[[#This Row],[Before ]])/Posts_Cleaned[[#This Row],[During ]]</f>
        <v>-0.51023808869341836</v>
      </c>
      <c r="Y154" s="1">
        <f>IFERROR(VLOOKUP(O154, 'Campaign Metadata Dataset '!$A$1:$G$5,5,0),0)</f>
        <v>250000</v>
      </c>
      <c r="Z154" s="1">
        <f t="shared" si="11"/>
        <v>5.6800000000000002E-3</v>
      </c>
      <c r="AA154" s="1">
        <f t="shared" ca="1" si="9"/>
        <v>-0.51023808869341836</v>
      </c>
    </row>
    <row r="155" spans="1:27" x14ac:dyDescent="0.25">
      <c r="A155" t="s">
        <v>212</v>
      </c>
      <c r="B155" s="1" t="s">
        <v>33</v>
      </c>
      <c r="C155" s="2">
        <v>45574</v>
      </c>
      <c r="D155" s="1" t="s">
        <v>41</v>
      </c>
      <c r="E155" s="1" t="s">
        <v>69</v>
      </c>
      <c r="F155">
        <v>985</v>
      </c>
      <c r="G155">
        <v>932</v>
      </c>
      <c r="H155">
        <v>287</v>
      </c>
      <c r="I155">
        <v>6895</v>
      </c>
      <c r="J155">
        <v>6757</v>
      </c>
      <c r="K155">
        <v>64</v>
      </c>
      <c r="L155" s="1" t="s">
        <v>19</v>
      </c>
      <c r="M155" s="1"/>
      <c r="N155" s="1"/>
      <c r="O155" s="1" t="s">
        <v>37</v>
      </c>
      <c r="P155" s="5">
        <f>IFERROR(((Posts_Cleaned[[#This Row],[Likes]]+Posts_Cleaned[[#This Row],[Shares]]+Posts_Cleaned[[#This Row],[Comments]])/Posts_Cleaned[[#This Row],[Impressions]]),0)</f>
        <v>0.31965192168237855</v>
      </c>
      <c r="Q155" s="3" t="str">
        <f>_xlfn.TEXTJOIN(", ", TRUE, Posts_Cleaned[[#This Row],[Hashtags Used.1]], Posts_Cleaned[[#This Row],[Hashtags Used.2]], Posts_Cleaned[[#This Row],[Hashtags Used.3]])</f>
        <v>#FutureOfDriving</v>
      </c>
      <c r="R155" s="2">
        <f>VLOOKUP(Posts_Cleaned[[#This Row],[Campaign_Name]],'Campaign Metadata Dataset '!$A$2:$B$5,2,0)</f>
        <v>45717</v>
      </c>
      <c r="S155" s="2">
        <f>VLOOKUP(Posts_Cleaned[[#This Row],[Campaign_Name]],'Campaign Metadata Dataset '!$A$1:$C$5,3,0)</f>
        <v>45747</v>
      </c>
      <c r="T155" s="1" t="str">
        <f t="shared" si="8"/>
        <v>Before Campaign</v>
      </c>
      <c r="U155" s="1">
        <f>SUM(Posts_Cleaned[[#This Row],[Likes]]+Posts_Cleaned[[#This Row],[Shares]]+Posts_Cleaned[[#This Row],[Comments]]+Posts_Cleaned[[#This Row],[Clicks]])</f>
        <v>2268</v>
      </c>
      <c r="V155" s="1">
        <f ca="1">AVERAGEIF(Posts_Cleaned[[#This Row],[Period]]:T:T,"Before Campaign",Posts_Cleaned[[#This Row],[Engagement Rate ]])</f>
        <v>0.17105316755040137</v>
      </c>
      <c r="W155" s="5">
        <f t="shared" ca="1" si="10"/>
        <v>0.21427796163252757</v>
      </c>
      <c r="X155" s="6">
        <f ca="1">(Posts_Cleaned[[#This Row],[During ]]-Posts_Cleaned[[#This Row],[Before ]])/Posts_Cleaned[[#This Row],[During ]]</f>
        <v>0.2017230038628697</v>
      </c>
      <c r="Y155" s="1">
        <f>IFERROR(VLOOKUP(O155, 'Campaign Metadata Dataset '!$A$1:$G$5,5,0),0)</f>
        <v>180000</v>
      </c>
      <c r="Z155" s="1">
        <f t="shared" si="11"/>
        <v>1.26E-2</v>
      </c>
      <c r="AA155" s="1">
        <f t="shared" ca="1" si="9"/>
        <v>0.2017230038628697</v>
      </c>
    </row>
    <row r="156" spans="1:27" x14ac:dyDescent="0.25">
      <c r="A156" t="s">
        <v>213</v>
      </c>
      <c r="B156" s="1" t="s">
        <v>29</v>
      </c>
      <c r="C156" s="2">
        <v>45647</v>
      </c>
      <c r="D156" s="1" t="s">
        <v>46</v>
      </c>
      <c r="E156" s="1" t="s">
        <v>47</v>
      </c>
      <c r="F156">
        <v>2283</v>
      </c>
      <c r="G156">
        <v>210</v>
      </c>
      <c r="H156">
        <v>130</v>
      </c>
      <c r="I156">
        <v>22830</v>
      </c>
      <c r="J156">
        <v>22617</v>
      </c>
      <c r="K156">
        <v>143</v>
      </c>
      <c r="L156" s="1" t="s">
        <v>19</v>
      </c>
      <c r="M156" s="1"/>
      <c r="N156" s="1"/>
      <c r="O156" s="1" t="s">
        <v>27</v>
      </c>
      <c r="P156" s="5">
        <f>IFERROR(((Posts_Cleaned[[#This Row],[Likes]]+Posts_Cleaned[[#This Row],[Shares]]+Posts_Cleaned[[#This Row],[Comments]])/Posts_Cleaned[[#This Row],[Impressions]]),0)</f>
        <v>0.11489268506351293</v>
      </c>
      <c r="Q156" s="3" t="str">
        <f>_xlfn.TEXTJOIN(", ", TRUE, Posts_Cleaned[[#This Row],[Hashtags Used.1]], Posts_Cleaned[[#This Row],[Hashtags Used.2]], Posts_Cleaned[[#This Row],[Hashtags Used.3]])</f>
        <v>#FutureOfDriving</v>
      </c>
      <c r="R156" s="2">
        <f>VLOOKUP(Posts_Cleaned[[#This Row],[Campaign_Name]],'Campaign Metadata Dataset '!$A$2:$B$5,2,0)</f>
        <v>45566</v>
      </c>
      <c r="S156" s="2">
        <f>VLOOKUP(Posts_Cleaned[[#This Row],[Campaign_Name]],'Campaign Metadata Dataset '!$A$1:$C$5,3,0)</f>
        <v>45596</v>
      </c>
      <c r="T156" s="1" t="str">
        <f t="shared" si="8"/>
        <v>Before Campaign</v>
      </c>
      <c r="U156" s="1">
        <f>SUM(Posts_Cleaned[[#This Row],[Likes]]+Posts_Cleaned[[#This Row],[Shares]]+Posts_Cleaned[[#This Row],[Comments]]+Posts_Cleaned[[#This Row],[Clicks]])</f>
        <v>2766</v>
      </c>
      <c r="V156" s="1">
        <f ca="1">AVERAGEIF(Posts_Cleaned[[#This Row],[Period]]:T:T,"Before Campaign",Posts_Cleaned[[#This Row],[Engagement Rate ]])</f>
        <v>0.14486764878889891</v>
      </c>
      <c r="W156" s="5">
        <f t="shared" ca="1" si="10"/>
        <v>0.10870611589846894</v>
      </c>
      <c r="X156" s="6">
        <f ca="1">(Posts_Cleaned[[#This Row],[During ]]-Posts_Cleaned[[#This Row],[Before ]])/Posts_Cleaned[[#This Row],[During ]]</f>
        <v>-0.3326540792259074</v>
      </c>
      <c r="Y156" s="1">
        <f>IFERROR(VLOOKUP(O156, 'Campaign Metadata Dataset '!$A$1:$G$5,5,0),0)</f>
        <v>200000</v>
      </c>
      <c r="Z156" s="1">
        <f t="shared" si="11"/>
        <v>1.383E-2</v>
      </c>
      <c r="AA156" s="1">
        <f t="shared" ca="1" si="9"/>
        <v>-0.3326540792259074</v>
      </c>
    </row>
    <row r="157" spans="1:27" x14ac:dyDescent="0.25">
      <c r="A157" t="s">
        <v>214</v>
      </c>
      <c r="B157" s="1" t="s">
        <v>40</v>
      </c>
      <c r="C157" s="2">
        <v>45587</v>
      </c>
      <c r="D157" s="1" t="s">
        <v>41</v>
      </c>
      <c r="E157" s="1" t="s">
        <v>42</v>
      </c>
      <c r="F157">
        <v>3352</v>
      </c>
      <c r="G157">
        <v>941</v>
      </c>
      <c r="H157">
        <v>482</v>
      </c>
      <c r="I157">
        <v>43576</v>
      </c>
      <c r="J157">
        <v>43338</v>
      </c>
      <c r="K157">
        <v>240</v>
      </c>
      <c r="L157" s="1" t="s">
        <v>19</v>
      </c>
      <c r="M157" s="1"/>
      <c r="N157" s="1"/>
      <c r="O157" s="1" t="s">
        <v>27</v>
      </c>
      <c r="P157" s="5">
        <f>IFERROR(((Posts_Cleaned[[#This Row],[Likes]]+Posts_Cleaned[[#This Row],[Shares]]+Posts_Cleaned[[#This Row],[Comments]])/Posts_Cleaned[[#This Row],[Impressions]]),0)</f>
        <v>0.1095786671562328</v>
      </c>
      <c r="Q157" s="3" t="str">
        <f>_xlfn.TEXTJOIN(", ", TRUE, Posts_Cleaned[[#This Row],[Hashtags Used.1]], Posts_Cleaned[[#This Row],[Hashtags Used.2]], Posts_Cleaned[[#This Row],[Hashtags Used.3]])</f>
        <v>#FutureOfDriving</v>
      </c>
      <c r="R157" s="2">
        <f>VLOOKUP(Posts_Cleaned[[#This Row],[Campaign_Name]],'Campaign Metadata Dataset '!$A$2:$B$5,2,0)</f>
        <v>45566</v>
      </c>
      <c r="S157" s="2">
        <f>VLOOKUP(Posts_Cleaned[[#This Row],[Campaign_Name]],'Campaign Metadata Dataset '!$A$1:$C$5,3,0)</f>
        <v>45596</v>
      </c>
      <c r="T157" s="1" t="str">
        <f t="shared" si="8"/>
        <v>During Campaign</v>
      </c>
      <c r="U157" s="1">
        <f>SUM(Posts_Cleaned[[#This Row],[Likes]]+Posts_Cleaned[[#This Row],[Shares]]+Posts_Cleaned[[#This Row],[Comments]]+Posts_Cleaned[[#This Row],[Clicks]])</f>
        <v>5015</v>
      </c>
      <c r="V157" s="1">
        <f ca="1">AVERAGEIF(Posts_Cleaned[[#This Row],[Period]]:T:T,"Before Campaign",Posts_Cleaned[[#This Row],[Engagement Rate ]])</f>
        <v>0.16045736482203565</v>
      </c>
      <c r="W157" s="5">
        <f t="shared" ca="1" si="10"/>
        <v>0.17325345788466678</v>
      </c>
      <c r="X157" s="6">
        <f ca="1">(Posts_Cleaned[[#This Row],[During ]]-Posts_Cleaned[[#This Row],[Before ]])/Posts_Cleaned[[#This Row],[During ]]</f>
        <v>7.3857648896966721E-2</v>
      </c>
      <c r="Y157" s="1">
        <f>IFERROR(VLOOKUP(O157, 'Campaign Metadata Dataset '!$A$1:$G$5,5,0),0)</f>
        <v>200000</v>
      </c>
      <c r="Z157" s="1">
        <f t="shared" si="11"/>
        <v>2.5075E-2</v>
      </c>
      <c r="AA157" s="1">
        <f t="shared" ca="1" si="9"/>
        <v>7.3857648896966721E-2</v>
      </c>
    </row>
    <row r="158" spans="1:27" x14ac:dyDescent="0.25">
      <c r="A158" t="s">
        <v>215</v>
      </c>
      <c r="B158" s="1" t="s">
        <v>29</v>
      </c>
      <c r="C158" s="2">
        <v>45496</v>
      </c>
      <c r="D158" s="1" t="s">
        <v>34</v>
      </c>
      <c r="E158" s="1" t="s">
        <v>105</v>
      </c>
      <c r="F158">
        <v>4775</v>
      </c>
      <c r="G158">
        <v>173</v>
      </c>
      <c r="H158">
        <v>206</v>
      </c>
      <c r="I158">
        <v>47750</v>
      </c>
      <c r="J158">
        <v>47544</v>
      </c>
      <c r="K158">
        <v>187</v>
      </c>
      <c r="L158" s="1" t="s">
        <v>19</v>
      </c>
      <c r="M158" s="1"/>
      <c r="N158" s="1"/>
      <c r="O158" s="1" t="s">
        <v>27</v>
      </c>
      <c r="P158" s="5">
        <f>IFERROR(((Posts_Cleaned[[#This Row],[Likes]]+Posts_Cleaned[[#This Row],[Shares]]+Posts_Cleaned[[#This Row],[Comments]])/Posts_Cleaned[[#This Row],[Impressions]]),0)</f>
        <v>0.10793717277486911</v>
      </c>
      <c r="Q158" s="3" t="str">
        <f>_xlfn.TEXTJOIN(", ", TRUE, Posts_Cleaned[[#This Row],[Hashtags Used.1]], Posts_Cleaned[[#This Row],[Hashtags Used.2]], Posts_Cleaned[[#This Row],[Hashtags Used.3]])</f>
        <v>#FutureOfDriving</v>
      </c>
      <c r="R158" s="2">
        <f>VLOOKUP(Posts_Cleaned[[#This Row],[Campaign_Name]],'Campaign Metadata Dataset '!$A$2:$B$5,2,0)</f>
        <v>45566</v>
      </c>
      <c r="S158" s="2">
        <f>VLOOKUP(Posts_Cleaned[[#This Row],[Campaign_Name]],'Campaign Metadata Dataset '!$A$1:$C$5,3,0)</f>
        <v>45596</v>
      </c>
      <c r="T158" s="1" t="str">
        <f t="shared" si="8"/>
        <v>Before Campaign</v>
      </c>
      <c r="U158" s="1">
        <f>SUM(Posts_Cleaned[[#This Row],[Likes]]+Posts_Cleaned[[#This Row],[Shares]]+Posts_Cleaned[[#This Row],[Comments]]+Posts_Cleaned[[#This Row],[Clicks]])</f>
        <v>5341</v>
      </c>
      <c r="V158" s="1">
        <f ca="1">AVERAGEIF(Posts_Cleaned[[#This Row],[Period]]:T:T,"Before Campaign",Posts_Cleaned[[#This Row],[Engagement Rate ]])</f>
        <v>0.16128958047627134</v>
      </c>
      <c r="W158" s="5">
        <f t="shared" ca="1" si="10"/>
        <v>0.10504131180821237</v>
      </c>
      <c r="X158" s="6">
        <f ca="1">(Posts_Cleaned[[#This Row],[During ]]-Posts_Cleaned[[#This Row],[Before ]])/Posts_Cleaned[[#This Row],[During ]]</f>
        <v>-0.53548711168762608</v>
      </c>
      <c r="Y158" s="1">
        <f>IFERROR(VLOOKUP(O158, 'Campaign Metadata Dataset '!$A$1:$G$5,5,0),0)</f>
        <v>200000</v>
      </c>
      <c r="Z158" s="1">
        <f t="shared" si="11"/>
        <v>2.6705E-2</v>
      </c>
      <c r="AA158" s="1">
        <f t="shared" ca="1" si="9"/>
        <v>-0.53548711168762608</v>
      </c>
    </row>
    <row r="159" spans="1:27" x14ac:dyDescent="0.25">
      <c r="A159" t="s">
        <v>216</v>
      </c>
      <c r="B159" s="1" t="s">
        <v>33</v>
      </c>
      <c r="C159" s="2">
        <v>45515</v>
      </c>
      <c r="D159" s="1" t="s">
        <v>34</v>
      </c>
      <c r="E159" s="1" t="s">
        <v>35</v>
      </c>
      <c r="F159">
        <v>1762</v>
      </c>
      <c r="G159">
        <v>405</v>
      </c>
      <c r="H159">
        <v>423</v>
      </c>
      <c r="I159">
        <v>22906</v>
      </c>
      <c r="J159">
        <v>21925</v>
      </c>
      <c r="K159">
        <v>25</v>
      </c>
      <c r="L159" s="1" t="s">
        <v>25</v>
      </c>
      <c r="M159" s="1"/>
      <c r="N159" s="1"/>
      <c r="O159" s="1" t="s">
        <v>21</v>
      </c>
      <c r="P159" s="5">
        <f>IFERROR(((Posts_Cleaned[[#This Row],[Likes]]+Posts_Cleaned[[#This Row],[Shares]]+Posts_Cleaned[[#This Row],[Comments]])/Posts_Cleaned[[#This Row],[Impressions]]),0)</f>
        <v>0.11307081114118571</v>
      </c>
      <c r="Q159" s="3" t="str">
        <f>_xlfn.TEXTJOIN(", ", TRUE, Posts_Cleaned[[#This Row],[Hashtags Used.1]], Posts_Cleaned[[#This Row],[Hashtags Used.2]], Posts_Cleaned[[#This Row],[Hashtags Used.3]])</f>
        <v>#TeslaCoInnovation</v>
      </c>
      <c r="R159" s="2">
        <f>VLOOKUP(Posts_Cleaned[[#This Row],[Campaign_Name]],'Campaign Metadata Dataset '!$A$2:$B$5,2,0)</f>
        <v>45458</v>
      </c>
      <c r="S159" s="2">
        <f>VLOOKUP(Posts_Cleaned[[#This Row],[Campaign_Name]],'Campaign Metadata Dataset '!$A$1:$C$5,3,0)</f>
        <v>45488</v>
      </c>
      <c r="T159" s="1" t="str">
        <f t="shared" si="8"/>
        <v>Before Campaign</v>
      </c>
      <c r="U159" s="1">
        <f>SUM(Posts_Cleaned[[#This Row],[Likes]]+Posts_Cleaned[[#This Row],[Shares]]+Posts_Cleaned[[#This Row],[Comments]]+Posts_Cleaned[[#This Row],[Clicks]])</f>
        <v>2615</v>
      </c>
      <c r="V159" s="1">
        <f ca="1">AVERAGEIF(Posts_Cleaned[[#This Row],[Period]]:T:T,"Before Campaign",Posts_Cleaned[[#This Row],[Engagement Rate ]])</f>
        <v>0.16464793095890923</v>
      </c>
      <c r="W159" s="5">
        <f t="shared" ca="1" si="10"/>
        <v>0.14078250129329817</v>
      </c>
      <c r="X159" s="6">
        <f ca="1">(Posts_Cleaned[[#This Row],[During ]]-Posts_Cleaned[[#This Row],[Before ]])/Posts_Cleaned[[#This Row],[During ]]</f>
        <v>-0.16951985826627128</v>
      </c>
      <c r="Y159" s="1">
        <f>IFERROR(VLOOKUP(O159, 'Campaign Metadata Dataset '!$A$1:$G$5,5,0),0)</f>
        <v>150000</v>
      </c>
      <c r="Z159" s="1">
        <f t="shared" si="11"/>
        <v>1.7433333333333332E-2</v>
      </c>
      <c r="AA159" s="1">
        <f t="shared" ca="1" si="9"/>
        <v>-0.16951985826627128</v>
      </c>
    </row>
    <row r="160" spans="1:27" x14ac:dyDescent="0.25">
      <c r="A160" t="s">
        <v>217</v>
      </c>
      <c r="B160" s="1" t="s">
        <v>40</v>
      </c>
      <c r="C160" s="2">
        <v>45621</v>
      </c>
      <c r="D160" s="1" t="s">
        <v>34</v>
      </c>
      <c r="E160" s="1" t="s">
        <v>58</v>
      </c>
      <c r="F160">
        <v>2120</v>
      </c>
      <c r="G160">
        <v>158</v>
      </c>
      <c r="H160">
        <v>488</v>
      </c>
      <c r="I160">
        <v>12720</v>
      </c>
      <c r="J160">
        <v>12085</v>
      </c>
      <c r="K160">
        <v>17</v>
      </c>
      <c r="L160" s="1" t="s">
        <v>19</v>
      </c>
      <c r="M160" s="1"/>
      <c r="N160" s="1"/>
      <c r="O160" s="1" t="s">
        <v>27</v>
      </c>
      <c r="P160" s="5">
        <f>IFERROR(((Posts_Cleaned[[#This Row],[Likes]]+Posts_Cleaned[[#This Row],[Shares]]+Posts_Cleaned[[#This Row],[Comments]])/Posts_Cleaned[[#This Row],[Impressions]]),0)</f>
        <v>0.21745283018867925</v>
      </c>
      <c r="Q160" s="3" t="str">
        <f>_xlfn.TEXTJOIN(", ", TRUE, Posts_Cleaned[[#This Row],[Hashtags Used.1]], Posts_Cleaned[[#This Row],[Hashtags Used.2]], Posts_Cleaned[[#This Row],[Hashtags Used.3]])</f>
        <v>#FutureOfDriving</v>
      </c>
      <c r="R160" s="2">
        <f>VLOOKUP(Posts_Cleaned[[#This Row],[Campaign_Name]],'Campaign Metadata Dataset '!$A$2:$B$5,2,0)</f>
        <v>45566</v>
      </c>
      <c r="S160" s="2">
        <f>VLOOKUP(Posts_Cleaned[[#This Row],[Campaign_Name]],'Campaign Metadata Dataset '!$A$1:$C$5,3,0)</f>
        <v>45596</v>
      </c>
      <c r="T160" s="1" t="str">
        <f t="shared" si="8"/>
        <v>Before Campaign</v>
      </c>
      <c r="U160" s="1">
        <f>SUM(Posts_Cleaned[[#This Row],[Likes]]+Posts_Cleaned[[#This Row],[Shares]]+Posts_Cleaned[[#This Row],[Comments]]+Posts_Cleaned[[#This Row],[Clicks]])</f>
        <v>2783</v>
      </c>
      <c r="V160" s="1">
        <f ca="1">AVERAGEIF(Posts_Cleaned[[#This Row],[Period]]:T:T,"Before Campaign",Posts_Cleaned[[#This Row],[Engagement Rate ]])</f>
        <v>0.16494614970279722</v>
      </c>
      <c r="W160" s="5">
        <f t="shared" ca="1" si="10"/>
        <v>0.11946739555497131</v>
      </c>
      <c r="X160" s="6">
        <f ca="1">(Posts_Cleaned[[#This Row],[During ]]-Posts_Cleaned[[#This Row],[Before ]])/Posts_Cleaned[[#This Row],[During ]]</f>
        <v>-0.38067921324106779</v>
      </c>
      <c r="Y160" s="1">
        <f>IFERROR(VLOOKUP(O160, 'Campaign Metadata Dataset '!$A$1:$G$5,5,0),0)</f>
        <v>200000</v>
      </c>
      <c r="Z160" s="1">
        <f t="shared" si="11"/>
        <v>1.3915E-2</v>
      </c>
      <c r="AA160" s="1">
        <f t="shared" ca="1" si="9"/>
        <v>-0.38067921324106779</v>
      </c>
    </row>
    <row r="161" spans="1:27" x14ac:dyDescent="0.25">
      <c r="A161" t="s">
        <v>218</v>
      </c>
      <c r="B161" s="1" t="s">
        <v>16</v>
      </c>
      <c r="C161" s="2">
        <v>45528</v>
      </c>
      <c r="D161" s="1" t="s">
        <v>60</v>
      </c>
      <c r="E161" s="1" t="s">
        <v>99</v>
      </c>
      <c r="F161">
        <v>1082</v>
      </c>
      <c r="G161">
        <v>209</v>
      </c>
      <c r="H161">
        <v>484</v>
      </c>
      <c r="I161">
        <v>19476</v>
      </c>
      <c r="J161">
        <v>18654</v>
      </c>
      <c r="K161">
        <v>20</v>
      </c>
      <c r="L161" s="1" t="s">
        <v>25</v>
      </c>
      <c r="M161" s="1"/>
      <c r="N161" s="1"/>
      <c r="O161" s="1"/>
      <c r="P161" s="5">
        <f>IFERROR(((Posts_Cleaned[[#This Row],[Likes]]+Posts_Cleaned[[#This Row],[Shares]]+Posts_Cleaned[[#This Row],[Comments]])/Posts_Cleaned[[#This Row],[Impressions]]),0)</f>
        <v>9.1137810638734856E-2</v>
      </c>
      <c r="Q161" s="3" t="str">
        <f>_xlfn.TEXTJOIN(", ", TRUE, Posts_Cleaned[[#This Row],[Hashtags Used.1]], Posts_Cleaned[[#This Row],[Hashtags Used.2]], Posts_Cleaned[[#This Row],[Hashtags Used.3]])</f>
        <v>#TeslaCoInnovation</v>
      </c>
      <c r="R161" s="2" t="e">
        <f>VLOOKUP(Posts_Cleaned[[#This Row],[Campaign_Name]],'Campaign Metadata Dataset '!$A$2:$B$5,2,0)</f>
        <v>#N/A</v>
      </c>
      <c r="S161" s="2" t="e">
        <f>VLOOKUP(Posts_Cleaned[[#This Row],[Campaign_Name]],'Campaign Metadata Dataset '!$A$1:$C$5,3,0)</f>
        <v>#N/A</v>
      </c>
      <c r="T161" s="1" t="e">
        <f t="shared" si="8"/>
        <v>#N/A</v>
      </c>
      <c r="U161" s="1">
        <f>SUM(Posts_Cleaned[[#This Row],[Likes]]+Posts_Cleaned[[#This Row],[Shares]]+Posts_Cleaned[[#This Row],[Comments]]+Posts_Cleaned[[#This Row],[Clicks]])</f>
        <v>1795</v>
      </c>
      <c r="V161" s="1">
        <f ca="1">AVERAGEIF(Posts_Cleaned[[#This Row],[Period]]:T:T,"Before Campaign",Posts_Cleaned[[#This Row],[Engagement Rate ]])</f>
        <v>0.17257345242623157</v>
      </c>
      <c r="W161" s="5">
        <f t="shared" ca="1" si="10"/>
        <v>8.3133107228974865E-2</v>
      </c>
      <c r="X161" s="6">
        <f ca="1">(Posts_Cleaned[[#This Row],[During ]]-Posts_Cleaned[[#This Row],[Before ]])/Posts_Cleaned[[#This Row],[During ]]</f>
        <v>-1.0758691474253417</v>
      </c>
      <c r="Y161" s="1">
        <f>IFERROR(VLOOKUP(O161, 'Campaign Metadata Dataset '!$A$1:$G$5,5,0),0)</f>
        <v>0</v>
      </c>
      <c r="Z161" s="1">
        <v>0</v>
      </c>
      <c r="AA161" s="1">
        <f t="shared" ca="1" si="9"/>
        <v>-1.0758691474253417</v>
      </c>
    </row>
    <row r="162" spans="1:27" x14ac:dyDescent="0.25">
      <c r="A162" t="s">
        <v>219</v>
      </c>
      <c r="B162" s="1" t="s">
        <v>16</v>
      </c>
      <c r="C162" s="2">
        <v>45707</v>
      </c>
      <c r="D162" s="1" t="s">
        <v>23</v>
      </c>
      <c r="E162" s="1" t="s">
        <v>24</v>
      </c>
      <c r="F162">
        <v>4671</v>
      </c>
      <c r="G162">
        <v>876</v>
      </c>
      <c r="H162">
        <v>366</v>
      </c>
      <c r="I162">
        <v>51381</v>
      </c>
      <c r="J162">
        <v>50565</v>
      </c>
      <c r="K162">
        <v>245</v>
      </c>
      <c r="L162" s="1" t="s">
        <v>25</v>
      </c>
      <c r="M162" s="1"/>
      <c r="N162" s="1"/>
      <c r="O162" s="1" t="s">
        <v>37</v>
      </c>
      <c r="P162" s="5">
        <f>IFERROR(((Posts_Cleaned[[#This Row],[Likes]]+Posts_Cleaned[[#This Row],[Shares]]+Posts_Cleaned[[#This Row],[Comments]])/Posts_Cleaned[[#This Row],[Impressions]]),0)</f>
        <v>0.11508145034156594</v>
      </c>
      <c r="Q162" s="3" t="str">
        <f>_xlfn.TEXTJOIN(", ", TRUE, Posts_Cleaned[[#This Row],[Hashtags Used.1]], Posts_Cleaned[[#This Row],[Hashtags Used.2]], Posts_Cleaned[[#This Row],[Hashtags Used.3]])</f>
        <v>#TeslaCoInnovation</v>
      </c>
      <c r="R162" s="2">
        <f>VLOOKUP(Posts_Cleaned[[#This Row],[Campaign_Name]],'Campaign Metadata Dataset '!$A$2:$B$5,2,0)</f>
        <v>45717</v>
      </c>
      <c r="S162" s="2">
        <f>VLOOKUP(Posts_Cleaned[[#This Row],[Campaign_Name]],'Campaign Metadata Dataset '!$A$1:$C$5,3,0)</f>
        <v>45747</v>
      </c>
      <c r="T162" s="1" t="str">
        <f t="shared" si="8"/>
        <v>Before Campaign</v>
      </c>
      <c r="U162" s="1">
        <f>SUM(Posts_Cleaned[[#This Row],[Likes]]+Posts_Cleaned[[#This Row],[Shares]]+Posts_Cleaned[[#This Row],[Comments]]+Posts_Cleaned[[#This Row],[Clicks]])</f>
        <v>6158</v>
      </c>
      <c r="V162" s="1">
        <f ca="1">AVERAGEIF(Posts_Cleaned[[#This Row],[Period]]:T:T,"Before Campaign",Posts_Cleaned[[#This Row],[Engagement Rate ]])</f>
        <v>0.14796487526397842</v>
      </c>
      <c r="W162" s="5">
        <f t="shared" ca="1" si="10"/>
        <v>0.1261588113761099</v>
      </c>
      <c r="X162" s="6">
        <f ca="1">(Posts_Cleaned[[#This Row],[During ]]-Posts_Cleaned[[#This Row],[Before ]])/Posts_Cleaned[[#This Row],[During ]]</f>
        <v>-0.17284614249304686</v>
      </c>
      <c r="Y162" s="1">
        <f>IFERROR(VLOOKUP(O162, 'Campaign Metadata Dataset '!$A$1:$G$5,5,0),0)</f>
        <v>180000</v>
      </c>
      <c r="Z162" s="1">
        <f t="shared" si="11"/>
        <v>3.4211111111111109E-2</v>
      </c>
      <c r="AA162" s="1">
        <f t="shared" ca="1" si="9"/>
        <v>-0.17284614249304686</v>
      </c>
    </row>
    <row r="163" spans="1:27" x14ac:dyDescent="0.25">
      <c r="A163" t="s">
        <v>220</v>
      </c>
      <c r="B163" s="1" t="s">
        <v>40</v>
      </c>
      <c r="C163" s="2">
        <v>45748</v>
      </c>
      <c r="D163" s="1" t="s">
        <v>34</v>
      </c>
      <c r="E163" s="1" t="s">
        <v>58</v>
      </c>
      <c r="F163">
        <v>3430</v>
      </c>
      <c r="G163">
        <v>566</v>
      </c>
      <c r="H163">
        <v>164</v>
      </c>
      <c r="I163">
        <v>48020</v>
      </c>
      <c r="J163">
        <v>47305</v>
      </c>
      <c r="K163">
        <v>120</v>
      </c>
      <c r="L163" s="1" t="s">
        <v>19</v>
      </c>
      <c r="M163" s="1"/>
      <c r="N163" s="1"/>
      <c r="O163" s="1"/>
      <c r="P163" s="5">
        <f>IFERROR(((Posts_Cleaned[[#This Row],[Likes]]+Posts_Cleaned[[#This Row],[Shares]]+Posts_Cleaned[[#This Row],[Comments]])/Posts_Cleaned[[#This Row],[Impressions]]),0)</f>
        <v>8.6630570595585168E-2</v>
      </c>
      <c r="Q163" s="3" t="str">
        <f>_xlfn.TEXTJOIN(", ", TRUE, Posts_Cleaned[[#This Row],[Hashtags Used.1]], Posts_Cleaned[[#This Row],[Hashtags Used.2]], Posts_Cleaned[[#This Row],[Hashtags Used.3]])</f>
        <v>#FutureOfDriving</v>
      </c>
      <c r="R163" s="2" t="e">
        <f>VLOOKUP(Posts_Cleaned[[#This Row],[Campaign_Name]],'Campaign Metadata Dataset '!$A$2:$B$5,2,0)</f>
        <v>#N/A</v>
      </c>
      <c r="S163" s="2" t="e">
        <f>VLOOKUP(Posts_Cleaned[[#This Row],[Campaign_Name]],'Campaign Metadata Dataset '!$A$1:$C$5,3,0)</f>
        <v>#N/A</v>
      </c>
      <c r="T163" s="1" t="e">
        <f t="shared" si="8"/>
        <v>#N/A</v>
      </c>
      <c r="U163" s="1">
        <f>SUM(Posts_Cleaned[[#This Row],[Likes]]+Posts_Cleaned[[#This Row],[Shares]]+Posts_Cleaned[[#This Row],[Comments]]+Posts_Cleaned[[#This Row],[Clicks]])</f>
        <v>4280</v>
      </c>
      <c r="V163" s="1">
        <f ca="1">AVERAGEIF(Posts_Cleaned[[#This Row],[Period]]:T:T,"Before Campaign",Posts_Cleaned[[#This Row],[Engagement Rate ]])</f>
        <v>0.16193373540287861</v>
      </c>
      <c r="W163" s="5">
        <f t="shared" ca="1" si="10"/>
        <v>9.8646635711463315E-2</v>
      </c>
      <c r="X163" s="6">
        <f ca="1">(Posts_Cleaned[[#This Row],[During ]]-Posts_Cleaned[[#This Row],[Before ]])/Posts_Cleaned[[#This Row],[During ]]</f>
        <v>-0.6415535536004191</v>
      </c>
      <c r="Y163" s="1">
        <f>IFERROR(VLOOKUP(O163, 'Campaign Metadata Dataset '!$A$1:$G$5,5,0),0)</f>
        <v>0</v>
      </c>
      <c r="Z163" s="1">
        <v>0</v>
      </c>
      <c r="AA163" s="1">
        <f t="shared" ca="1" si="9"/>
        <v>-0.6415535536004191</v>
      </c>
    </row>
    <row r="164" spans="1:27" x14ac:dyDescent="0.25">
      <c r="A164" t="s">
        <v>221</v>
      </c>
      <c r="B164" s="1" t="s">
        <v>33</v>
      </c>
      <c r="C164" s="2">
        <v>45755</v>
      </c>
      <c r="D164" s="1" t="s">
        <v>46</v>
      </c>
      <c r="E164" s="1" t="s">
        <v>138</v>
      </c>
      <c r="F164">
        <v>4501</v>
      </c>
      <c r="G164">
        <v>375</v>
      </c>
      <c r="H164">
        <v>323</v>
      </c>
      <c r="I164">
        <v>22505</v>
      </c>
      <c r="J164">
        <v>21836</v>
      </c>
      <c r="K164">
        <v>132</v>
      </c>
      <c r="L164" s="1" t="s">
        <v>25</v>
      </c>
      <c r="M164" s="1"/>
      <c r="N164" s="1"/>
      <c r="O164" s="1" t="s">
        <v>27</v>
      </c>
      <c r="P164" s="5">
        <f>IFERROR(((Posts_Cleaned[[#This Row],[Likes]]+Posts_Cleaned[[#This Row],[Shares]]+Posts_Cleaned[[#This Row],[Comments]])/Posts_Cleaned[[#This Row],[Impressions]]),0)</f>
        <v>0.23101532992668297</v>
      </c>
      <c r="Q164" s="3" t="str">
        <f>_xlfn.TEXTJOIN(", ", TRUE, Posts_Cleaned[[#This Row],[Hashtags Used.1]], Posts_Cleaned[[#This Row],[Hashtags Used.2]], Posts_Cleaned[[#This Row],[Hashtags Used.3]])</f>
        <v>#TeslaCoInnovation</v>
      </c>
      <c r="R164" s="2">
        <f>VLOOKUP(Posts_Cleaned[[#This Row],[Campaign_Name]],'Campaign Metadata Dataset '!$A$2:$B$5,2,0)</f>
        <v>45566</v>
      </c>
      <c r="S164" s="2">
        <f>VLOOKUP(Posts_Cleaned[[#This Row],[Campaign_Name]],'Campaign Metadata Dataset '!$A$1:$C$5,3,0)</f>
        <v>45596</v>
      </c>
      <c r="T164" s="1" t="str">
        <f t="shared" si="8"/>
        <v>Before Campaign</v>
      </c>
      <c r="U164" s="1">
        <f>SUM(Posts_Cleaned[[#This Row],[Likes]]+Posts_Cleaned[[#This Row],[Shares]]+Posts_Cleaned[[#This Row],[Comments]]+Posts_Cleaned[[#This Row],[Clicks]])</f>
        <v>5331</v>
      </c>
      <c r="V164" s="1">
        <f ca="1">AVERAGEIF(Posts_Cleaned[[#This Row],[Period]]:T:T,"Before Campaign",Posts_Cleaned[[#This Row],[Engagement Rate ]])</f>
        <v>0.16591237012932866</v>
      </c>
      <c r="W164" s="5">
        <f t="shared" ca="1" si="10"/>
        <v>9.3383217608628818E-2</v>
      </c>
      <c r="X164" s="6">
        <f ca="1">(Posts_Cleaned[[#This Row],[During ]]-Posts_Cleaned[[#This Row],[Before ]])/Posts_Cleaned[[#This Row],[During ]]</f>
        <v>-0.77668294558740913</v>
      </c>
      <c r="Y164" s="1">
        <f>IFERROR(VLOOKUP(O164, 'Campaign Metadata Dataset '!$A$1:$G$5,5,0),0)</f>
        <v>200000</v>
      </c>
      <c r="Z164" s="1">
        <f t="shared" si="11"/>
        <v>2.6655000000000002E-2</v>
      </c>
      <c r="AA164" s="1">
        <f t="shared" ca="1" si="9"/>
        <v>-0.77668294558740913</v>
      </c>
    </row>
    <row r="165" spans="1:27" x14ac:dyDescent="0.25">
      <c r="A165" t="s">
        <v>222</v>
      </c>
      <c r="B165" s="1" t="s">
        <v>29</v>
      </c>
      <c r="C165" s="2">
        <v>45715</v>
      </c>
      <c r="D165" s="1" t="s">
        <v>23</v>
      </c>
      <c r="E165" s="1" t="s">
        <v>77</v>
      </c>
      <c r="F165">
        <v>4934</v>
      </c>
      <c r="G165">
        <v>971</v>
      </c>
      <c r="H165">
        <v>156</v>
      </c>
      <c r="I165">
        <v>39472</v>
      </c>
      <c r="J165">
        <v>39025</v>
      </c>
      <c r="K165">
        <v>169</v>
      </c>
      <c r="L165" s="1" t="s">
        <v>25</v>
      </c>
      <c r="M165" s="1" t="s">
        <v>20</v>
      </c>
      <c r="N165" s="1"/>
      <c r="O165" s="1" t="s">
        <v>37</v>
      </c>
      <c r="P165" s="5">
        <f>IFERROR(((Posts_Cleaned[[#This Row],[Likes]]+Posts_Cleaned[[#This Row],[Shares]]+Posts_Cleaned[[#This Row],[Comments]])/Posts_Cleaned[[#This Row],[Impressions]]),0)</f>
        <v>0.15355188488042157</v>
      </c>
      <c r="Q165" s="3" t="str">
        <f>_xlfn.TEXTJOIN(", ", TRUE, Posts_Cleaned[[#This Row],[Hashtags Used.1]], Posts_Cleaned[[#This Row],[Hashtags Used.2]], Posts_Cleaned[[#This Row],[Hashtags Used.3]])</f>
        <v>#TeslaCoInnovation, #AnytimeIsTeslaTime</v>
      </c>
      <c r="R165" s="2">
        <f>VLOOKUP(Posts_Cleaned[[#This Row],[Campaign_Name]],'Campaign Metadata Dataset '!$A$2:$B$5,2,0)</f>
        <v>45717</v>
      </c>
      <c r="S165" s="2">
        <f>VLOOKUP(Posts_Cleaned[[#This Row],[Campaign_Name]],'Campaign Metadata Dataset '!$A$1:$C$5,3,0)</f>
        <v>45747</v>
      </c>
      <c r="T165" s="1" t="str">
        <f t="shared" si="8"/>
        <v>Before Campaign</v>
      </c>
      <c r="U165" s="1">
        <f>SUM(Posts_Cleaned[[#This Row],[Likes]]+Posts_Cleaned[[#This Row],[Shares]]+Posts_Cleaned[[#This Row],[Comments]]+Posts_Cleaned[[#This Row],[Clicks]])</f>
        <v>6230</v>
      </c>
      <c r="V165" s="1">
        <f ca="1">AVERAGEIF(Posts_Cleaned[[#This Row],[Period]]:T:T,"Before Campaign",Posts_Cleaned[[#This Row],[Engagement Rate ]])</f>
        <v>0.1552069494229591</v>
      </c>
      <c r="W165" s="5">
        <f t="shared" ca="1" si="10"/>
        <v>0.13834530726748565</v>
      </c>
      <c r="X165" s="6">
        <f ca="1">(Posts_Cleaned[[#This Row],[During ]]-Posts_Cleaned[[#This Row],[Before ]])/Posts_Cleaned[[#This Row],[During ]]</f>
        <v>-0.12188083924575825</v>
      </c>
      <c r="Y165" s="1">
        <f>IFERROR(VLOOKUP(O165, 'Campaign Metadata Dataset '!$A$1:$G$5,5,0),0)</f>
        <v>180000</v>
      </c>
      <c r="Z165" s="1">
        <f t="shared" si="11"/>
        <v>3.4611111111111113E-2</v>
      </c>
      <c r="AA165" s="1">
        <f t="shared" ca="1" si="9"/>
        <v>-0.12188083924575825</v>
      </c>
    </row>
    <row r="166" spans="1:27" x14ac:dyDescent="0.25">
      <c r="A166" t="s">
        <v>223</v>
      </c>
      <c r="B166" s="1" t="s">
        <v>16</v>
      </c>
      <c r="C166" s="2">
        <v>45637</v>
      </c>
      <c r="D166" s="1" t="s">
        <v>23</v>
      </c>
      <c r="E166" s="1" t="s">
        <v>24</v>
      </c>
      <c r="F166">
        <v>3239</v>
      </c>
      <c r="G166">
        <v>43</v>
      </c>
      <c r="H166">
        <v>211</v>
      </c>
      <c r="I166">
        <v>22673</v>
      </c>
      <c r="J166">
        <v>22171</v>
      </c>
      <c r="K166">
        <v>230</v>
      </c>
      <c r="L166" s="1" t="s">
        <v>25</v>
      </c>
      <c r="M166" s="1"/>
      <c r="N166" s="1"/>
      <c r="O166" s="1" t="s">
        <v>27</v>
      </c>
      <c r="P166" s="5">
        <f>IFERROR(((Posts_Cleaned[[#This Row],[Likes]]+Posts_Cleaned[[#This Row],[Shares]]+Posts_Cleaned[[#This Row],[Comments]])/Posts_Cleaned[[#This Row],[Impressions]]),0)</f>
        <v>0.15405989502933004</v>
      </c>
      <c r="Q166" s="3" t="str">
        <f>_xlfn.TEXTJOIN(", ", TRUE, Posts_Cleaned[[#This Row],[Hashtags Used.1]], Posts_Cleaned[[#This Row],[Hashtags Used.2]], Posts_Cleaned[[#This Row],[Hashtags Used.3]])</f>
        <v>#TeslaCoInnovation</v>
      </c>
      <c r="R166" s="2">
        <f>VLOOKUP(Posts_Cleaned[[#This Row],[Campaign_Name]],'Campaign Metadata Dataset '!$A$2:$B$5,2,0)</f>
        <v>45566</v>
      </c>
      <c r="S166" s="2">
        <f>VLOOKUP(Posts_Cleaned[[#This Row],[Campaign_Name]],'Campaign Metadata Dataset '!$A$1:$C$5,3,0)</f>
        <v>45596</v>
      </c>
      <c r="T166" s="1" t="str">
        <f t="shared" si="8"/>
        <v>Before Campaign</v>
      </c>
      <c r="U166" s="1">
        <f>SUM(Posts_Cleaned[[#This Row],[Likes]]+Posts_Cleaned[[#This Row],[Shares]]+Posts_Cleaned[[#This Row],[Comments]]+Posts_Cleaned[[#This Row],[Clicks]])</f>
        <v>3723</v>
      </c>
      <c r="V166" s="1">
        <f ca="1">AVERAGEIF(Posts_Cleaned[[#This Row],[Period]]:T:T,"Before Campaign",Posts_Cleaned[[#This Row],[Engagement Rate ]])</f>
        <v>0.16242012302764594</v>
      </c>
      <c r="W166" s="5">
        <f t="shared" ca="1" si="10"/>
        <v>0.14387833460875038</v>
      </c>
      <c r="X166" s="6">
        <f ca="1">(Posts_Cleaned[[#This Row],[During ]]-Posts_Cleaned[[#This Row],[Before ]])/Posts_Cleaned[[#This Row],[During ]]</f>
        <v>-0.12887130275254025</v>
      </c>
      <c r="Y166" s="1">
        <f>IFERROR(VLOOKUP(O166, 'Campaign Metadata Dataset '!$A$1:$G$5,5,0),0)</f>
        <v>200000</v>
      </c>
      <c r="Z166" s="1">
        <f t="shared" si="11"/>
        <v>1.8615E-2</v>
      </c>
      <c r="AA166" s="1">
        <f t="shared" ca="1" si="9"/>
        <v>-0.12887130275254025</v>
      </c>
    </row>
    <row r="167" spans="1:27" x14ac:dyDescent="0.25">
      <c r="A167" t="s">
        <v>224</v>
      </c>
      <c r="B167" s="1" t="s">
        <v>16</v>
      </c>
      <c r="C167" s="2">
        <v>45704</v>
      </c>
      <c r="D167" s="1" t="s">
        <v>17</v>
      </c>
      <c r="E167" s="1" t="s">
        <v>18</v>
      </c>
      <c r="F167">
        <v>1076</v>
      </c>
      <c r="G167">
        <v>313</v>
      </c>
      <c r="H167">
        <v>306</v>
      </c>
      <c r="I167">
        <v>11836</v>
      </c>
      <c r="J167">
        <v>11596</v>
      </c>
      <c r="K167">
        <v>104</v>
      </c>
      <c r="L167" s="1" t="s">
        <v>19</v>
      </c>
      <c r="M167" s="1"/>
      <c r="N167" s="1"/>
      <c r="O167" s="1" t="s">
        <v>21</v>
      </c>
      <c r="P167" s="5">
        <f>IFERROR(((Posts_Cleaned[[#This Row],[Likes]]+Posts_Cleaned[[#This Row],[Shares]]+Posts_Cleaned[[#This Row],[Comments]])/Posts_Cleaned[[#This Row],[Impressions]]),0)</f>
        <v>0.14320716458262928</v>
      </c>
      <c r="Q167" s="3" t="str">
        <f>_xlfn.TEXTJOIN(", ", TRUE, Posts_Cleaned[[#This Row],[Hashtags Used.1]], Posts_Cleaned[[#This Row],[Hashtags Used.2]], Posts_Cleaned[[#This Row],[Hashtags Used.3]])</f>
        <v>#FutureOfDriving</v>
      </c>
      <c r="R167" s="2">
        <f>VLOOKUP(Posts_Cleaned[[#This Row],[Campaign_Name]],'Campaign Metadata Dataset '!$A$2:$B$5,2,0)</f>
        <v>45458</v>
      </c>
      <c r="S167" s="2">
        <f>VLOOKUP(Posts_Cleaned[[#This Row],[Campaign_Name]],'Campaign Metadata Dataset '!$A$1:$C$5,3,0)</f>
        <v>45488</v>
      </c>
      <c r="T167" s="1" t="str">
        <f t="shared" si="8"/>
        <v>Before Campaign</v>
      </c>
      <c r="U167" s="1">
        <f>SUM(Posts_Cleaned[[#This Row],[Likes]]+Posts_Cleaned[[#This Row],[Shares]]+Posts_Cleaned[[#This Row],[Comments]]+Posts_Cleaned[[#This Row],[Clicks]])</f>
        <v>1799</v>
      </c>
      <c r="V167" s="1">
        <f ca="1">AVERAGEIF(Posts_Cleaned[[#This Row],[Period]]:T:T,"Before Campaign",Posts_Cleaned[[#This Row],[Engagement Rate ]])</f>
        <v>0.1633085803228867</v>
      </c>
      <c r="W167" s="5">
        <f t="shared" ca="1" si="10"/>
        <v>0.13699329479790875</v>
      </c>
      <c r="X167" s="6">
        <f ca="1">(Posts_Cleaned[[#This Row],[During ]]-Posts_Cleaned[[#This Row],[Before ]])/Posts_Cleaned[[#This Row],[During ]]</f>
        <v>-0.1920917776581548</v>
      </c>
      <c r="Y167" s="1">
        <f>IFERROR(VLOOKUP(O167, 'Campaign Metadata Dataset '!$A$1:$G$5,5,0),0)</f>
        <v>150000</v>
      </c>
      <c r="Z167" s="1">
        <f t="shared" si="11"/>
        <v>1.1993333333333333E-2</v>
      </c>
      <c r="AA167" s="1">
        <f t="shared" ca="1" si="9"/>
        <v>-0.1920917776581548</v>
      </c>
    </row>
    <row r="168" spans="1:27" x14ac:dyDescent="0.25">
      <c r="A168" t="s">
        <v>225</v>
      </c>
      <c r="B168" s="1" t="s">
        <v>33</v>
      </c>
      <c r="C168" s="2">
        <v>45624</v>
      </c>
      <c r="D168" s="1" t="s">
        <v>23</v>
      </c>
      <c r="E168" s="1" t="s">
        <v>82</v>
      </c>
      <c r="F168">
        <v>4771</v>
      </c>
      <c r="G168">
        <v>818</v>
      </c>
      <c r="H168">
        <v>56</v>
      </c>
      <c r="I168">
        <v>57252</v>
      </c>
      <c r="J168">
        <v>56378</v>
      </c>
      <c r="K168">
        <v>150</v>
      </c>
      <c r="L168" s="1" t="s">
        <v>19</v>
      </c>
      <c r="M168" s="1"/>
      <c r="N168" s="1"/>
      <c r="O168" s="1"/>
      <c r="P168" s="5">
        <f>IFERROR(((Posts_Cleaned[[#This Row],[Likes]]+Posts_Cleaned[[#This Row],[Shares]]+Posts_Cleaned[[#This Row],[Comments]])/Posts_Cleaned[[#This Row],[Impressions]]),0)</f>
        <v>9.859917557465242E-2</v>
      </c>
      <c r="Q168" s="3" t="str">
        <f>_xlfn.TEXTJOIN(", ", TRUE, Posts_Cleaned[[#This Row],[Hashtags Used.1]], Posts_Cleaned[[#This Row],[Hashtags Used.2]], Posts_Cleaned[[#This Row],[Hashtags Used.3]])</f>
        <v>#FutureOfDriving</v>
      </c>
      <c r="R168" s="2" t="e">
        <f>VLOOKUP(Posts_Cleaned[[#This Row],[Campaign_Name]],'Campaign Metadata Dataset '!$A$2:$B$5,2,0)</f>
        <v>#N/A</v>
      </c>
      <c r="S168" s="2" t="e">
        <f>VLOOKUP(Posts_Cleaned[[#This Row],[Campaign_Name]],'Campaign Metadata Dataset '!$A$1:$C$5,3,0)</f>
        <v>#N/A</v>
      </c>
      <c r="T168" s="1" t="e">
        <f t="shared" si="8"/>
        <v>#N/A</v>
      </c>
      <c r="U168" s="1">
        <f>SUM(Posts_Cleaned[[#This Row],[Likes]]+Posts_Cleaned[[#This Row],[Shares]]+Posts_Cleaned[[#This Row],[Comments]]+Posts_Cleaned[[#This Row],[Clicks]])</f>
        <v>5795</v>
      </c>
      <c r="V168" s="1">
        <f ca="1">AVERAGEIF(Posts_Cleaned[[#This Row],[Period]]:T:T,"Before Campaign",Posts_Cleaned[[#This Row],[Engagement Rate ]])</f>
        <v>0.14198380674216421</v>
      </c>
      <c r="W168" s="5">
        <f t="shared" ca="1" si="10"/>
        <v>9.7013233745483776E-2</v>
      </c>
      <c r="X168" s="6">
        <f ca="1">(Posts_Cleaned[[#This Row],[During ]]-Posts_Cleaned[[#This Row],[Before ]])/Posts_Cleaned[[#This Row],[During ]]</f>
        <v>-0.46355091218443106</v>
      </c>
      <c r="Y168" s="1">
        <f>IFERROR(VLOOKUP(O168, 'Campaign Metadata Dataset '!$A$1:$G$5,5,0),0)</f>
        <v>0</v>
      </c>
      <c r="Z168" s="1">
        <v>0</v>
      </c>
      <c r="AA168" s="1">
        <f t="shared" ca="1" si="9"/>
        <v>-0.46355091218443106</v>
      </c>
    </row>
    <row r="169" spans="1:27" x14ac:dyDescent="0.25">
      <c r="A169" t="s">
        <v>226</v>
      </c>
      <c r="B169" s="1" t="s">
        <v>40</v>
      </c>
      <c r="C169" s="2">
        <v>45608</v>
      </c>
      <c r="D169" s="1" t="s">
        <v>23</v>
      </c>
      <c r="E169" s="1" t="s">
        <v>49</v>
      </c>
      <c r="F169">
        <v>2418</v>
      </c>
      <c r="G169">
        <v>754</v>
      </c>
      <c r="H169">
        <v>54</v>
      </c>
      <c r="I169">
        <v>43524</v>
      </c>
      <c r="J169">
        <v>42743</v>
      </c>
      <c r="K169">
        <v>182</v>
      </c>
      <c r="L169" s="1" t="s">
        <v>36</v>
      </c>
      <c r="M169" s="1"/>
      <c r="N169" s="1"/>
      <c r="O169" s="1" t="s">
        <v>21</v>
      </c>
      <c r="P169" s="5">
        <f>IFERROR(((Posts_Cleaned[[#This Row],[Likes]]+Posts_Cleaned[[#This Row],[Shares]]+Posts_Cleaned[[#This Row],[Comments]])/Posts_Cleaned[[#This Row],[Impressions]]),0)</f>
        <v>7.412002573292896E-2</v>
      </c>
      <c r="Q169" s="3" t="str">
        <f>_xlfn.TEXTJOIN(", ", TRUE, Posts_Cleaned[[#This Row],[Hashtags Used.1]], Posts_Cleaned[[#This Row],[Hashtags Used.2]], Posts_Cleaned[[#This Row],[Hashtags Used.3]])</f>
        <v>#EVRevolution</v>
      </c>
      <c r="R169" s="2">
        <f>VLOOKUP(Posts_Cleaned[[#This Row],[Campaign_Name]],'Campaign Metadata Dataset '!$A$2:$B$5,2,0)</f>
        <v>45458</v>
      </c>
      <c r="S169" s="2">
        <f>VLOOKUP(Posts_Cleaned[[#This Row],[Campaign_Name]],'Campaign Metadata Dataset '!$A$1:$C$5,3,0)</f>
        <v>45488</v>
      </c>
      <c r="T169" s="1" t="str">
        <f t="shared" si="8"/>
        <v>Before Campaign</v>
      </c>
      <c r="U169" s="1">
        <f>SUM(Posts_Cleaned[[#This Row],[Likes]]+Posts_Cleaned[[#This Row],[Shares]]+Posts_Cleaned[[#This Row],[Comments]]+Posts_Cleaned[[#This Row],[Clicks]])</f>
        <v>3408</v>
      </c>
      <c r="V169" s="1">
        <f ca="1">AVERAGEIF(Posts_Cleaned[[#This Row],[Period]]:T:T,"Before Campaign",Posts_Cleaned[[#This Row],[Engagement Rate ]])</f>
        <v>0.16017600686240441</v>
      </c>
      <c r="W169" s="5">
        <f t="shared" ca="1" si="10"/>
        <v>0.13681088856633328</v>
      </c>
      <c r="X169" s="6">
        <f ca="1">(Posts_Cleaned[[#This Row],[During ]]-Posts_Cleaned[[#This Row],[Before ]])/Posts_Cleaned[[#This Row],[During ]]</f>
        <v>-0.17078405484328438</v>
      </c>
      <c r="Y169" s="1">
        <f>IFERROR(VLOOKUP(O169, 'Campaign Metadata Dataset '!$A$1:$G$5,5,0),0)</f>
        <v>150000</v>
      </c>
      <c r="Z169" s="1">
        <f t="shared" si="11"/>
        <v>2.2720000000000001E-2</v>
      </c>
      <c r="AA169" s="1">
        <f t="shared" ca="1" si="9"/>
        <v>-0.17078405484328438</v>
      </c>
    </row>
    <row r="170" spans="1:27" x14ac:dyDescent="0.25">
      <c r="A170" t="s">
        <v>227</v>
      </c>
      <c r="B170" s="1" t="s">
        <v>29</v>
      </c>
      <c r="C170" s="2">
        <v>45629</v>
      </c>
      <c r="D170" s="1" t="s">
        <v>60</v>
      </c>
      <c r="E170" s="1" t="s">
        <v>140</v>
      </c>
      <c r="F170">
        <v>3809</v>
      </c>
      <c r="G170">
        <v>273</v>
      </c>
      <c r="H170">
        <v>200</v>
      </c>
      <c r="I170">
        <v>34281</v>
      </c>
      <c r="J170">
        <v>33534</v>
      </c>
      <c r="K170">
        <v>83</v>
      </c>
      <c r="L170" s="1" t="s">
        <v>36</v>
      </c>
      <c r="M170" s="1"/>
      <c r="N170" s="1"/>
      <c r="O170" s="1" t="s">
        <v>21</v>
      </c>
      <c r="P170" s="5">
        <f>IFERROR(((Posts_Cleaned[[#This Row],[Likes]]+Posts_Cleaned[[#This Row],[Shares]]+Posts_Cleaned[[#This Row],[Comments]])/Posts_Cleaned[[#This Row],[Impressions]]),0)</f>
        <v>0.12490884163239112</v>
      </c>
      <c r="Q170" s="3" t="str">
        <f>_xlfn.TEXTJOIN(", ", TRUE, Posts_Cleaned[[#This Row],[Hashtags Used.1]], Posts_Cleaned[[#This Row],[Hashtags Used.2]], Posts_Cleaned[[#This Row],[Hashtags Used.3]])</f>
        <v>#EVRevolution</v>
      </c>
      <c r="R170" s="2">
        <f>VLOOKUP(Posts_Cleaned[[#This Row],[Campaign_Name]],'Campaign Metadata Dataset '!$A$2:$B$5,2,0)</f>
        <v>45458</v>
      </c>
      <c r="S170" s="2">
        <f>VLOOKUP(Posts_Cleaned[[#This Row],[Campaign_Name]],'Campaign Metadata Dataset '!$A$1:$C$5,3,0)</f>
        <v>45488</v>
      </c>
      <c r="T170" s="1" t="str">
        <f t="shared" si="8"/>
        <v>Before Campaign</v>
      </c>
      <c r="U170" s="1">
        <f>SUM(Posts_Cleaned[[#This Row],[Likes]]+Posts_Cleaned[[#This Row],[Shares]]+Posts_Cleaned[[#This Row],[Comments]]+Posts_Cleaned[[#This Row],[Clicks]])</f>
        <v>4365</v>
      </c>
      <c r="V170" s="1">
        <f ca="1">AVERAGEIF(Posts_Cleaned[[#This Row],[Period]]:T:T,"Before Campaign",Posts_Cleaned[[#This Row],[Engagement Rate ]])</f>
        <v>0.15775765978112544</v>
      </c>
      <c r="W170" s="5">
        <f t="shared" ca="1" si="10"/>
        <v>0.12963237504804523</v>
      </c>
      <c r="X170" s="6">
        <f ca="1">(Posts_Cleaned[[#This Row],[During ]]-Posts_Cleaned[[#This Row],[Before ]])/Posts_Cleaned[[#This Row],[During ]]</f>
        <v>-0.21696188720337975</v>
      </c>
      <c r="Y170" s="1">
        <f>IFERROR(VLOOKUP(O170, 'Campaign Metadata Dataset '!$A$1:$G$5,5,0),0)</f>
        <v>150000</v>
      </c>
      <c r="Z170" s="1">
        <f t="shared" si="11"/>
        <v>2.9100000000000001E-2</v>
      </c>
      <c r="AA170" s="1">
        <f t="shared" ca="1" si="9"/>
        <v>-0.21696188720337975</v>
      </c>
    </row>
    <row r="171" spans="1:27" x14ac:dyDescent="0.25">
      <c r="A171" t="s">
        <v>228</v>
      </c>
      <c r="B171" s="1" t="s">
        <v>16</v>
      </c>
      <c r="C171" s="2">
        <v>45775</v>
      </c>
      <c r="D171" s="1" t="s">
        <v>23</v>
      </c>
      <c r="E171" s="1" t="s">
        <v>24</v>
      </c>
      <c r="F171">
        <v>3577</v>
      </c>
      <c r="G171">
        <v>596</v>
      </c>
      <c r="H171">
        <v>493</v>
      </c>
      <c r="I171">
        <v>67963</v>
      </c>
      <c r="J171">
        <v>67839</v>
      </c>
      <c r="K171">
        <v>53</v>
      </c>
      <c r="L171" s="1" t="s">
        <v>25</v>
      </c>
      <c r="M171" s="1"/>
      <c r="N171" s="1"/>
      <c r="O171" s="1" t="s">
        <v>31</v>
      </c>
      <c r="P171" s="5">
        <f>IFERROR(((Posts_Cleaned[[#This Row],[Likes]]+Posts_Cleaned[[#This Row],[Shares]]+Posts_Cleaned[[#This Row],[Comments]])/Posts_Cleaned[[#This Row],[Impressions]]),0)</f>
        <v>6.8655003457763777E-2</v>
      </c>
      <c r="Q171" s="3" t="str">
        <f>_xlfn.TEXTJOIN(", ", TRUE, Posts_Cleaned[[#This Row],[Hashtags Used.1]], Posts_Cleaned[[#This Row],[Hashtags Used.2]], Posts_Cleaned[[#This Row],[Hashtags Used.3]])</f>
        <v>#TeslaCoInnovation</v>
      </c>
      <c r="R171" s="2">
        <f>VLOOKUP(Posts_Cleaned[[#This Row],[Campaign_Name]],'Campaign Metadata Dataset '!$A$2:$B$5,2,0)</f>
        <v>45651</v>
      </c>
      <c r="S171" s="2">
        <f>VLOOKUP(Posts_Cleaned[[#This Row],[Campaign_Name]],'Campaign Metadata Dataset '!$A$1:$C$5,3,0)</f>
        <v>45667</v>
      </c>
      <c r="T171" s="1" t="str">
        <f t="shared" si="8"/>
        <v>Before Campaign</v>
      </c>
      <c r="U171" s="1">
        <f>SUM(Posts_Cleaned[[#This Row],[Likes]]+Posts_Cleaned[[#This Row],[Shares]]+Posts_Cleaned[[#This Row],[Comments]]+Posts_Cleaned[[#This Row],[Clicks]])</f>
        <v>4719</v>
      </c>
      <c r="V171" s="1">
        <f ca="1">AVERAGEIF(Posts_Cleaned[[#This Row],[Period]]:T:T,"Before Campaign",Posts_Cleaned[[#This Row],[Engagement Rate ]])</f>
        <v>0.16286907141668969</v>
      </c>
      <c r="W171" s="5">
        <f t="shared" ca="1" si="10"/>
        <v>0.23055326998484987</v>
      </c>
      <c r="X171" s="6">
        <f ca="1">(Posts_Cleaned[[#This Row],[During ]]-Posts_Cleaned[[#This Row],[Before ]])/Posts_Cleaned[[#This Row],[During ]]</f>
        <v>0.29357292816800151</v>
      </c>
      <c r="Y171" s="1">
        <f>IFERROR(VLOOKUP(O171, 'Campaign Metadata Dataset '!$A$1:$G$5,5,0),0)</f>
        <v>250000</v>
      </c>
      <c r="Z171" s="1">
        <f t="shared" si="11"/>
        <v>1.8876E-2</v>
      </c>
      <c r="AA171" s="1">
        <f t="shared" ca="1" si="9"/>
        <v>0.29357292816800151</v>
      </c>
    </row>
    <row r="172" spans="1:27" x14ac:dyDescent="0.25">
      <c r="A172" t="s">
        <v>229</v>
      </c>
      <c r="B172" s="1" t="s">
        <v>29</v>
      </c>
      <c r="C172" s="2">
        <v>45657</v>
      </c>
      <c r="D172" s="1" t="s">
        <v>60</v>
      </c>
      <c r="E172" s="1" t="s">
        <v>140</v>
      </c>
      <c r="F172">
        <v>1018</v>
      </c>
      <c r="G172">
        <v>447</v>
      </c>
      <c r="H172">
        <v>332</v>
      </c>
      <c r="I172">
        <v>18324</v>
      </c>
      <c r="J172">
        <v>18164</v>
      </c>
      <c r="K172">
        <v>38</v>
      </c>
      <c r="L172" s="1" t="s">
        <v>19</v>
      </c>
      <c r="M172" s="1"/>
      <c r="N172" s="1"/>
      <c r="O172" s="1" t="s">
        <v>27</v>
      </c>
      <c r="P172" s="5">
        <f>IFERROR(((Posts_Cleaned[[#This Row],[Likes]]+Posts_Cleaned[[#This Row],[Shares]]+Posts_Cleaned[[#This Row],[Comments]])/Posts_Cleaned[[#This Row],[Impressions]]),0)</f>
        <v>9.8068107400130972E-2</v>
      </c>
      <c r="Q172" s="3" t="str">
        <f>_xlfn.TEXTJOIN(", ", TRUE, Posts_Cleaned[[#This Row],[Hashtags Used.1]], Posts_Cleaned[[#This Row],[Hashtags Used.2]], Posts_Cleaned[[#This Row],[Hashtags Used.3]])</f>
        <v>#FutureOfDriving</v>
      </c>
      <c r="R172" s="2">
        <f>VLOOKUP(Posts_Cleaned[[#This Row],[Campaign_Name]],'Campaign Metadata Dataset '!$A$2:$B$5,2,0)</f>
        <v>45566</v>
      </c>
      <c r="S172" s="2">
        <f>VLOOKUP(Posts_Cleaned[[#This Row],[Campaign_Name]],'Campaign Metadata Dataset '!$A$1:$C$5,3,0)</f>
        <v>45596</v>
      </c>
      <c r="T172" s="1" t="str">
        <f t="shared" si="8"/>
        <v>Before Campaign</v>
      </c>
      <c r="U172" s="1">
        <f>SUM(Posts_Cleaned[[#This Row],[Likes]]+Posts_Cleaned[[#This Row],[Shares]]+Posts_Cleaned[[#This Row],[Comments]]+Posts_Cleaned[[#This Row],[Clicks]])</f>
        <v>1835</v>
      </c>
      <c r="V172" s="1">
        <f ca="1">AVERAGEIF(Posts_Cleaned[[#This Row],[Period]]:T:T,"Before Campaign",Posts_Cleaned[[#This Row],[Engagement Rate ]])</f>
        <v>0.16221506566640184</v>
      </c>
      <c r="W172" s="5">
        <f t="shared" ca="1" si="10"/>
        <v>0.23362357084602298</v>
      </c>
      <c r="X172" s="6">
        <f ca="1">(Posts_Cleaned[[#This Row],[During ]]-Posts_Cleaned[[#This Row],[Before ]])/Posts_Cleaned[[#This Row],[During ]]</f>
        <v>0.30565625258200158</v>
      </c>
      <c r="Y172" s="1">
        <f>IFERROR(VLOOKUP(O172, 'Campaign Metadata Dataset '!$A$1:$G$5,5,0),0)</f>
        <v>200000</v>
      </c>
      <c r="Z172" s="1">
        <f t="shared" si="11"/>
        <v>9.1750000000000009E-3</v>
      </c>
      <c r="AA172" s="1">
        <f t="shared" ca="1" si="9"/>
        <v>0.30565625258200158</v>
      </c>
    </row>
    <row r="173" spans="1:27" x14ac:dyDescent="0.25">
      <c r="A173" t="s">
        <v>230</v>
      </c>
      <c r="B173" s="1" t="s">
        <v>40</v>
      </c>
      <c r="C173" s="2">
        <v>45518</v>
      </c>
      <c r="D173" s="1" t="s">
        <v>41</v>
      </c>
      <c r="E173" s="1" t="s">
        <v>42</v>
      </c>
      <c r="F173">
        <v>3073</v>
      </c>
      <c r="G173">
        <v>553</v>
      </c>
      <c r="H173">
        <v>174</v>
      </c>
      <c r="I173">
        <v>52241</v>
      </c>
      <c r="J173">
        <v>51605</v>
      </c>
      <c r="K173">
        <v>246</v>
      </c>
      <c r="L173" s="1" t="s">
        <v>36</v>
      </c>
      <c r="M173" s="1"/>
      <c r="N173" s="1"/>
      <c r="O173" s="1" t="s">
        <v>31</v>
      </c>
      <c r="P173" s="5">
        <f>IFERROR(((Posts_Cleaned[[#This Row],[Likes]]+Posts_Cleaned[[#This Row],[Shares]]+Posts_Cleaned[[#This Row],[Comments]])/Posts_Cleaned[[#This Row],[Impressions]]),0)</f>
        <v>7.2739802071170159E-2</v>
      </c>
      <c r="Q173" s="3" t="str">
        <f>_xlfn.TEXTJOIN(", ", TRUE, Posts_Cleaned[[#This Row],[Hashtags Used.1]], Posts_Cleaned[[#This Row],[Hashtags Used.2]], Posts_Cleaned[[#This Row],[Hashtags Used.3]])</f>
        <v>#EVRevolution</v>
      </c>
      <c r="R173" s="2">
        <f>VLOOKUP(Posts_Cleaned[[#This Row],[Campaign_Name]],'Campaign Metadata Dataset '!$A$2:$B$5,2,0)</f>
        <v>45651</v>
      </c>
      <c r="S173" s="2">
        <f>VLOOKUP(Posts_Cleaned[[#This Row],[Campaign_Name]],'Campaign Metadata Dataset '!$A$1:$C$5,3,0)</f>
        <v>45667</v>
      </c>
      <c r="T173" s="1" t="str">
        <f t="shared" si="8"/>
        <v>Before Campaign</v>
      </c>
      <c r="U173" s="1">
        <f>SUM(Posts_Cleaned[[#This Row],[Likes]]+Posts_Cleaned[[#This Row],[Shares]]+Posts_Cleaned[[#This Row],[Comments]]+Posts_Cleaned[[#This Row],[Clicks]])</f>
        <v>4046</v>
      </c>
      <c r="V173" s="1">
        <f ca="1">AVERAGEIF(Posts_Cleaned[[#This Row],[Period]]:T:T,"Before Campaign",Posts_Cleaned[[#This Row],[Engagement Rate ]])</f>
        <v>0.15285503190515112</v>
      </c>
      <c r="W173" s="5">
        <f t="shared" ca="1" si="10"/>
        <v>0.11143148839443785</v>
      </c>
      <c r="X173" s="6">
        <f ca="1">(Posts_Cleaned[[#This Row],[During ]]-Posts_Cleaned[[#This Row],[Before ]])/Posts_Cleaned[[#This Row],[During ]]</f>
        <v>-0.37174001808254536</v>
      </c>
      <c r="Y173" s="1">
        <f>IFERROR(VLOOKUP(O173, 'Campaign Metadata Dataset '!$A$1:$G$5,5,0),0)</f>
        <v>250000</v>
      </c>
      <c r="Z173" s="1">
        <f t="shared" si="11"/>
        <v>1.6184E-2</v>
      </c>
      <c r="AA173" s="1">
        <f t="shared" ca="1" si="9"/>
        <v>-0.37174001808254536</v>
      </c>
    </row>
    <row r="174" spans="1:27" x14ac:dyDescent="0.25">
      <c r="A174" t="s">
        <v>231</v>
      </c>
      <c r="B174" s="1" t="s">
        <v>16</v>
      </c>
      <c r="C174" s="2">
        <v>45631</v>
      </c>
      <c r="D174" s="1" t="s">
        <v>60</v>
      </c>
      <c r="E174" s="1" t="s">
        <v>99</v>
      </c>
      <c r="F174">
        <v>1330</v>
      </c>
      <c r="G174">
        <v>925</v>
      </c>
      <c r="H174">
        <v>35</v>
      </c>
      <c r="I174">
        <v>15960</v>
      </c>
      <c r="J174">
        <v>15379</v>
      </c>
      <c r="K174">
        <v>229</v>
      </c>
      <c r="L174" s="1" t="s">
        <v>19</v>
      </c>
      <c r="M174" s="1"/>
      <c r="N174" s="1"/>
      <c r="O174" s="1" t="s">
        <v>31</v>
      </c>
      <c r="P174" s="5">
        <f>IFERROR(((Posts_Cleaned[[#This Row],[Likes]]+Posts_Cleaned[[#This Row],[Shares]]+Posts_Cleaned[[#This Row],[Comments]])/Posts_Cleaned[[#This Row],[Impressions]]),0)</f>
        <v>0.14348370927318296</v>
      </c>
      <c r="Q174" s="3" t="str">
        <f>_xlfn.TEXTJOIN(", ", TRUE, Posts_Cleaned[[#This Row],[Hashtags Used.1]], Posts_Cleaned[[#This Row],[Hashtags Used.2]], Posts_Cleaned[[#This Row],[Hashtags Used.3]])</f>
        <v>#FutureOfDriving</v>
      </c>
      <c r="R174" s="2">
        <f>VLOOKUP(Posts_Cleaned[[#This Row],[Campaign_Name]],'Campaign Metadata Dataset '!$A$2:$B$5,2,0)</f>
        <v>45651</v>
      </c>
      <c r="S174" s="2">
        <f>VLOOKUP(Posts_Cleaned[[#This Row],[Campaign_Name]],'Campaign Metadata Dataset '!$A$1:$C$5,3,0)</f>
        <v>45667</v>
      </c>
      <c r="T174" s="1" t="str">
        <f t="shared" si="8"/>
        <v>Before Campaign</v>
      </c>
      <c r="U174" s="1">
        <f>SUM(Posts_Cleaned[[#This Row],[Likes]]+Posts_Cleaned[[#This Row],[Shares]]+Posts_Cleaned[[#This Row],[Comments]]+Posts_Cleaned[[#This Row],[Clicks]])</f>
        <v>2519</v>
      </c>
      <c r="V174" s="1">
        <f ca="1">AVERAGEIF(Posts_Cleaned[[#This Row],[Period]]:T:T,"Before Campaign",Posts_Cleaned[[#This Row],[Engagement Rate ]])</f>
        <v>0.13880761316988802</v>
      </c>
      <c r="W174" s="5">
        <f t="shared" ca="1" si="10"/>
        <v>0.20383228074327289</v>
      </c>
      <c r="X174" s="6">
        <f ca="1">(Posts_Cleaned[[#This Row],[During ]]-Posts_Cleaned[[#This Row],[Before ]])/Posts_Cleaned[[#This Row],[During ]]</f>
        <v>0.31901064608742496</v>
      </c>
      <c r="Y174" s="1">
        <f>IFERROR(VLOOKUP(O174, 'Campaign Metadata Dataset '!$A$1:$G$5,5,0),0)</f>
        <v>250000</v>
      </c>
      <c r="Z174" s="1">
        <f t="shared" si="11"/>
        <v>1.0076E-2</v>
      </c>
      <c r="AA174" s="1">
        <f t="shared" ca="1" si="9"/>
        <v>0.31901064608742496</v>
      </c>
    </row>
    <row r="175" spans="1:27" x14ac:dyDescent="0.25">
      <c r="A175" t="s">
        <v>232</v>
      </c>
      <c r="B175" s="1" t="s">
        <v>40</v>
      </c>
      <c r="C175" s="2">
        <v>45465</v>
      </c>
      <c r="D175" s="1" t="s">
        <v>23</v>
      </c>
      <c r="E175" s="1" t="s">
        <v>49</v>
      </c>
      <c r="F175">
        <v>3828</v>
      </c>
      <c r="G175">
        <v>148</v>
      </c>
      <c r="H175">
        <v>253</v>
      </c>
      <c r="I175">
        <v>30624</v>
      </c>
      <c r="J175">
        <v>30229</v>
      </c>
      <c r="K175">
        <v>235</v>
      </c>
      <c r="L175" s="1" t="s">
        <v>36</v>
      </c>
      <c r="M175" s="1"/>
      <c r="N175" s="1"/>
      <c r="O175" s="1"/>
      <c r="P175" s="5">
        <f>IFERROR(((Posts_Cleaned[[#This Row],[Likes]]+Posts_Cleaned[[#This Row],[Shares]]+Posts_Cleaned[[#This Row],[Comments]])/Posts_Cleaned[[#This Row],[Impressions]]),0)</f>
        <v>0.13809430512016718</v>
      </c>
      <c r="Q175" s="3" t="str">
        <f>_xlfn.TEXTJOIN(", ", TRUE, Posts_Cleaned[[#This Row],[Hashtags Used.1]], Posts_Cleaned[[#This Row],[Hashtags Used.2]], Posts_Cleaned[[#This Row],[Hashtags Used.3]])</f>
        <v>#EVRevolution</v>
      </c>
      <c r="R175" s="2" t="e">
        <f>VLOOKUP(Posts_Cleaned[[#This Row],[Campaign_Name]],'Campaign Metadata Dataset '!$A$2:$B$5,2,0)</f>
        <v>#N/A</v>
      </c>
      <c r="S175" s="2" t="e">
        <f>VLOOKUP(Posts_Cleaned[[#This Row],[Campaign_Name]],'Campaign Metadata Dataset '!$A$1:$C$5,3,0)</f>
        <v>#N/A</v>
      </c>
      <c r="T175" s="1" t="e">
        <f t="shared" si="8"/>
        <v>#N/A</v>
      </c>
      <c r="U175" s="1">
        <f>SUM(Posts_Cleaned[[#This Row],[Likes]]+Posts_Cleaned[[#This Row],[Shares]]+Posts_Cleaned[[#This Row],[Comments]]+Posts_Cleaned[[#This Row],[Clicks]])</f>
        <v>4464</v>
      </c>
      <c r="V175" s="1">
        <f ca="1">AVERAGEIF(Posts_Cleaned[[#This Row],[Period]]:T:T,"Before Campaign",Posts_Cleaned[[#This Row],[Engagement Rate ]])</f>
        <v>0.16955779088998776</v>
      </c>
      <c r="W175" s="5">
        <f t="shared" ca="1" si="10"/>
        <v>0.27355377080420867</v>
      </c>
      <c r="X175" s="6">
        <f ca="1">(Posts_Cleaned[[#This Row],[During ]]-Posts_Cleaned[[#This Row],[Before ]])/Posts_Cleaned[[#This Row],[During ]]</f>
        <v>0.38016650111781575</v>
      </c>
      <c r="Y175" s="1">
        <f>IFERROR(VLOOKUP(O175, 'Campaign Metadata Dataset '!$A$1:$G$5,5,0),0)</f>
        <v>0</v>
      </c>
      <c r="Z175" s="1">
        <v>0</v>
      </c>
      <c r="AA175" s="1">
        <f t="shared" ca="1" si="9"/>
        <v>0.38016650111781575</v>
      </c>
    </row>
    <row r="176" spans="1:27" x14ac:dyDescent="0.25">
      <c r="A176" t="s">
        <v>233</v>
      </c>
      <c r="B176" s="1" t="s">
        <v>33</v>
      </c>
      <c r="C176" s="2">
        <v>45674</v>
      </c>
      <c r="D176" s="1" t="s">
        <v>17</v>
      </c>
      <c r="E176" s="1" t="s">
        <v>65</v>
      </c>
      <c r="F176">
        <v>142</v>
      </c>
      <c r="G176">
        <v>784</v>
      </c>
      <c r="H176">
        <v>183</v>
      </c>
      <c r="I176">
        <v>1704</v>
      </c>
      <c r="J176">
        <v>995</v>
      </c>
      <c r="K176">
        <v>154</v>
      </c>
      <c r="L176" s="1" t="s">
        <v>19</v>
      </c>
      <c r="M176" s="1"/>
      <c r="N176" s="1"/>
      <c r="O176" s="1" t="s">
        <v>37</v>
      </c>
      <c r="P176" s="5">
        <f>IFERROR(((Posts_Cleaned[[#This Row],[Likes]]+Posts_Cleaned[[#This Row],[Shares]]+Posts_Cleaned[[#This Row],[Comments]])/Posts_Cleaned[[#This Row],[Impressions]]),0)</f>
        <v>0.6508215962441315</v>
      </c>
      <c r="Q176" s="3" t="str">
        <f>_xlfn.TEXTJOIN(", ", TRUE, Posts_Cleaned[[#This Row],[Hashtags Used.1]], Posts_Cleaned[[#This Row],[Hashtags Used.2]], Posts_Cleaned[[#This Row],[Hashtags Used.3]])</f>
        <v>#FutureOfDriving</v>
      </c>
      <c r="R176" s="2">
        <f>VLOOKUP(Posts_Cleaned[[#This Row],[Campaign_Name]],'Campaign Metadata Dataset '!$A$2:$B$5,2,0)</f>
        <v>45717</v>
      </c>
      <c r="S176" s="2">
        <f>VLOOKUP(Posts_Cleaned[[#This Row],[Campaign_Name]],'Campaign Metadata Dataset '!$A$1:$C$5,3,0)</f>
        <v>45747</v>
      </c>
      <c r="T176" s="1" t="str">
        <f t="shared" si="8"/>
        <v>Before Campaign</v>
      </c>
      <c r="U176" s="1">
        <f>SUM(Posts_Cleaned[[#This Row],[Likes]]+Posts_Cleaned[[#This Row],[Shares]]+Posts_Cleaned[[#This Row],[Comments]]+Posts_Cleaned[[#This Row],[Clicks]])</f>
        <v>1263</v>
      </c>
      <c r="V176" s="1">
        <f ca="1">AVERAGEIF(Posts_Cleaned[[#This Row],[Period]]:T:T,"Before Campaign",Posts_Cleaned[[#This Row],[Engagement Rate ]])</f>
        <v>0.16372656415793377</v>
      </c>
      <c r="W176" s="5">
        <f t="shared" ca="1" si="10"/>
        <v>0.13729717323585791</v>
      </c>
      <c r="X176" s="6">
        <f ca="1">(Posts_Cleaned[[#This Row],[During ]]-Posts_Cleaned[[#This Row],[Before ]])/Posts_Cleaned[[#This Row],[During ]]</f>
        <v>-0.19249770624682672</v>
      </c>
      <c r="Y176" s="1">
        <f>IFERROR(VLOOKUP(O176, 'Campaign Metadata Dataset '!$A$1:$G$5,5,0),0)</f>
        <v>180000</v>
      </c>
      <c r="Z176" s="1">
        <f t="shared" si="11"/>
        <v>7.0166666666666667E-3</v>
      </c>
      <c r="AA176" s="1">
        <f t="shared" ca="1" si="9"/>
        <v>-0.19249770624682672</v>
      </c>
    </row>
    <row r="177" spans="1:27" x14ac:dyDescent="0.25">
      <c r="A177" t="s">
        <v>234</v>
      </c>
      <c r="B177" s="1" t="s">
        <v>40</v>
      </c>
      <c r="C177" s="2">
        <v>45463</v>
      </c>
      <c r="D177" s="1" t="s">
        <v>60</v>
      </c>
      <c r="E177" s="1" t="s">
        <v>61</v>
      </c>
      <c r="F177">
        <v>3798</v>
      </c>
      <c r="G177">
        <v>31</v>
      </c>
      <c r="H177">
        <v>279</v>
      </c>
      <c r="I177">
        <v>75960</v>
      </c>
      <c r="J177">
        <v>75813</v>
      </c>
      <c r="K177">
        <v>266</v>
      </c>
      <c r="L177" s="1" t="s">
        <v>25</v>
      </c>
      <c r="M177" s="1"/>
      <c r="N177" s="1"/>
      <c r="O177" s="1" t="s">
        <v>21</v>
      </c>
      <c r="P177" s="5">
        <f>IFERROR(((Posts_Cleaned[[#This Row],[Likes]]+Posts_Cleaned[[#This Row],[Shares]]+Posts_Cleaned[[#This Row],[Comments]])/Posts_Cleaned[[#This Row],[Impressions]]),0)</f>
        <v>5.4081095313322801E-2</v>
      </c>
      <c r="Q177" s="3" t="str">
        <f>_xlfn.TEXTJOIN(", ", TRUE, Posts_Cleaned[[#This Row],[Hashtags Used.1]], Posts_Cleaned[[#This Row],[Hashtags Used.2]], Posts_Cleaned[[#This Row],[Hashtags Used.3]])</f>
        <v>#TeslaCoInnovation</v>
      </c>
      <c r="R177" s="2">
        <f>VLOOKUP(Posts_Cleaned[[#This Row],[Campaign_Name]],'Campaign Metadata Dataset '!$A$2:$B$5,2,0)</f>
        <v>45458</v>
      </c>
      <c r="S177" s="2">
        <f>VLOOKUP(Posts_Cleaned[[#This Row],[Campaign_Name]],'Campaign Metadata Dataset '!$A$1:$C$5,3,0)</f>
        <v>45488</v>
      </c>
      <c r="T177" s="1" t="str">
        <f t="shared" si="8"/>
        <v>During Campaign</v>
      </c>
      <c r="U177" s="1">
        <f>SUM(Posts_Cleaned[[#This Row],[Likes]]+Posts_Cleaned[[#This Row],[Shares]]+Posts_Cleaned[[#This Row],[Comments]]+Posts_Cleaned[[#This Row],[Clicks]])</f>
        <v>4374</v>
      </c>
      <c r="V177" s="1">
        <f ca="1">AVERAGEIF(Posts_Cleaned[[#This Row],[Period]]:T:T,"Before Campaign",Posts_Cleaned[[#This Row],[Engagement Rate ]])</f>
        <v>0.14339976782372693</v>
      </c>
      <c r="W177" s="5">
        <f t="shared" ca="1" si="10"/>
        <v>0.12405035066351851</v>
      </c>
      <c r="X177" s="6">
        <f ca="1">(Posts_Cleaned[[#This Row],[During ]]-Posts_Cleaned[[#This Row],[Before ]])/Posts_Cleaned[[#This Row],[During ]]</f>
        <v>-0.15598035037154329</v>
      </c>
      <c r="Y177" s="1">
        <f>IFERROR(VLOOKUP(O177, 'Campaign Metadata Dataset '!$A$1:$G$5,5,0),0)</f>
        <v>150000</v>
      </c>
      <c r="Z177" s="1">
        <f t="shared" si="11"/>
        <v>2.9159999999999998E-2</v>
      </c>
      <c r="AA177" s="1">
        <f t="shared" ca="1" si="9"/>
        <v>-0.15598035037154329</v>
      </c>
    </row>
    <row r="178" spans="1:27" x14ac:dyDescent="0.25">
      <c r="A178" t="s">
        <v>235</v>
      </c>
      <c r="B178" s="1" t="s">
        <v>33</v>
      </c>
      <c r="C178" s="2">
        <v>45483</v>
      </c>
      <c r="D178" s="1" t="s">
        <v>41</v>
      </c>
      <c r="E178" s="1" t="s">
        <v>69</v>
      </c>
      <c r="F178">
        <v>3099</v>
      </c>
      <c r="G178">
        <v>694</v>
      </c>
      <c r="H178">
        <v>171</v>
      </c>
      <c r="I178">
        <v>43386</v>
      </c>
      <c r="J178">
        <v>42921</v>
      </c>
      <c r="K178">
        <v>52</v>
      </c>
      <c r="L178" s="1" t="s">
        <v>25</v>
      </c>
      <c r="M178" s="1"/>
      <c r="N178" s="1"/>
      <c r="O178" s="1" t="s">
        <v>31</v>
      </c>
      <c r="P178" s="5">
        <f>IFERROR(((Posts_Cleaned[[#This Row],[Likes]]+Posts_Cleaned[[#This Row],[Shares]]+Posts_Cleaned[[#This Row],[Comments]])/Posts_Cleaned[[#This Row],[Impressions]]),0)</f>
        <v>9.1365878393951966E-2</v>
      </c>
      <c r="Q178" s="3" t="str">
        <f>_xlfn.TEXTJOIN(", ", TRUE, Posts_Cleaned[[#This Row],[Hashtags Used.1]], Posts_Cleaned[[#This Row],[Hashtags Used.2]], Posts_Cleaned[[#This Row],[Hashtags Used.3]])</f>
        <v>#TeslaCoInnovation</v>
      </c>
      <c r="R178" s="2">
        <f>VLOOKUP(Posts_Cleaned[[#This Row],[Campaign_Name]],'Campaign Metadata Dataset '!$A$2:$B$5,2,0)</f>
        <v>45651</v>
      </c>
      <c r="S178" s="2">
        <f>VLOOKUP(Posts_Cleaned[[#This Row],[Campaign_Name]],'Campaign Metadata Dataset '!$A$1:$C$5,3,0)</f>
        <v>45667</v>
      </c>
      <c r="T178" s="1" t="str">
        <f t="shared" si="8"/>
        <v>Before Campaign</v>
      </c>
      <c r="U178" s="1">
        <f>SUM(Posts_Cleaned[[#This Row],[Likes]]+Posts_Cleaned[[#This Row],[Shares]]+Posts_Cleaned[[#This Row],[Comments]]+Posts_Cleaned[[#This Row],[Clicks]])</f>
        <v>4016</v>
      </c>
      <c r="V178" s="1">
        <f ca="1">AVERAGEIF(Posts_Cleaned[[#This Row],[Period]]:T:T,"Before Campaign",Posts_Cleaned[[#This Row],[Engagement Rate ]])</f>
        <v>0.16863621219174146</v>
      </c>
      <c r="W178" s="5">
        <f t="shared" ca="1" si="10"/>
        <v>0.12482314433052391</v>
      </c>
      <c r="X178" s="6">
        <f ca="1">(Posts_Cleaned[[#This Row],[During ]]-Posts_Cleaned[[#This Row],[Before ]])/Posts_Cleaned[[#This Row],[During ]]</f>
        <v>-0.35100115524412107</v>
      </c>
      <c r="Y178" s="1">
        <f>IFERROR(VLOOKUP(O178, 'Campaign Metadata Dataset '!$A$1:$G$5,5,0),0)</f>
        <v>250000</v>
      </c>
      <c r="Z178" s="1">
        <f t="shared" si="11"/>
        <v>1.6063999999999998E-2</v>
      </c>
      <c r="AA178" s="1">
        <f t="shared" ca="1" si="9"/>
        <v>-0.35100115524412107</v>
      </c>
    </row>
    <row r="179" spans="1:27" x14ac:dyDescent="0.25">
      <c r="A179" t="s">
        <v>236</v>
      </c>
      <c r="B179" s="1" t="s">
        <v>33</v>
      </c>
      <c r="C179" s="2">
        <v>45603</v>
      </c>
      <c r="D179" s="1" t="s">
        <v>60</v>
      </c>
      <c r="E179" s="1" t="s">
        <v>67</v>
      </c>
      <c r="F179">
        <v>129</v>
      </c>
      <c r="G179">
        <v>643</v>
      </c>
      <c r="H179">
        <v>136</v>
      </c>
      <c r="I179">
        <v>1290</v>
      </c>
      <c r="J179">
        <v>839</v>
      </c>
      <c r="K179">
        <v>238</v>
      </c>
      <c r="L179" s="1" t="s">
        <v>25</v>
      </c>
      <c r="M179" s="1"/>
      <c r="N179" s="1"/>
      <c r="O179" s="1" t="s">
        <v>37</v>
      </c>
      <c r="P179" s="5">
        <f>IFERROR(((Posts_Cleaned[[#This Row],[Likes]]+Posts_Cleaned[[#This Row],[Shares]]+Posts_Cleaned[[#This Row],[Comments]])/Posts_Cleaned[[#This Row],[Impressions]]),0)</f>
        <v>0.70387596899224802</v>
      </c>
      <c r="Q179" s="3" t="str">
        <f>_xlfn.TEXTJOIN(", ", TRUE, Posts_Cleaned[[#This Row],[Hashtags Used.1]], Posts_Cleaned[[#This Row],[Hashtags Used.2]], Posts_Cleaned[[#This Row],[Hashtags Used.3]])</f>
        <v>#TeslaCoInnovation</v>
      </c>
      <c r="R179" s="2">
        <f>VLOOKUP(Posts_Cleaned[[#This Row],[Campaign_Name]],'Campaign Metadata Dataset '!$A$2:$B$5,2,0)</f>
        <v>45717</v>
      </c>
      <c r="S179" s="2">
        <f>VLOOKUP(Posts_Cleaned[[#This Row],[Campaign_Name]],'Campaign Metadata Dataset '!$A$1:$C$5,3,0)</f>
        <v>45747</v>
      </c>
      <c r="T179" s="1" t="str">
        <f t="shared" si="8"/>
        <v>Before Campaign</v>
      </c>
      <c r="U179" s="1">
        <f>SUM(Posts_Cleaned[[#This Row],[Likes]]+Posts_Cleaned[[#This Row],[Shares]]+Posts_Cleaned[[#This Row],[Comments]]+Posts_Cleaned[[#This Row],[Clicks]])</f>
        <v>1146</v>
      </c>
      <c r="V179" s="1">
        <f ca="1">AVERAGEIF(Posts_Cleaned[[#This Row],[Period]]:T:T,"Before Campaign",Posts_Cleaned[[#This Row],[Engagement Rate ]])</f>
        <v>0.13980372665697172</v>
      </c>
      <c r="W179" s="5">
        <f t="shared" ca="1" si="10"/>
        <v>0.12796828860483403</v>
      </c>
      <c r="X179" s="6">
        <f ca="1">(Posts_Cleaned[[#This Row],[During ]]-Posts_Cleaned[[#This Row],[Before ]])/Posts_Cleaned[[#This Row],[During ]]</f>
        <v>-9.2487273067201128E-2</v>
      </c>
      <c r="Y179" s="1">
        <f>IFERROR(VLOOKUP(O179, 'Campaign Metadata Dataset '!$A$1:$G$5,5,0),0)</f>
        <v>180000</v>
      </c>
      <c r="Z179" s="1">
        <f t="shared" si="11"/>
        <v>6.3666666666666663E-3</v>
      </c>
      <c r="AA179" s="1">
        <f t="shared" ca="1" si="9"/>
        <v>-9.2487273067201128E-2</v>
      </c>
    </row>
    <row r="180" spans="1:27" x14ac:dyDescent="0.25">
      <c r="A180" t="s">
        <v>237</v>
      </c>
      <c r="B180" s="1" t="s">
        <v>40</v>
      </c>
      <c r="C180" s="2">
        <v>45488</v>
      </c>
      <c r="D180" s="1" t="s">
        <v>41</v>
      </c>
      <c r="E180" s="1" t="s">
        <v>42</v>
      </c>
      <c r="F180">
        <v>3796</v>
      </c>
      <c r="G180">
        <v>667</v>
      </c>
      <c r="H180">
        <v>395</v>
      </c>
      <c r="I180">
        <v>64532</v>
      </c>
      <c r="J180">
        <v>63550</v>
      </c>
      <c r="K180">
        <v>292</v>
      </c>
      <c r="L180" s="1" t="s">
        <v>25</v>
      </c>
      <c r="M180" s="1"/>
      <c r="N180" s="1"/>
      <c r="O180" s="1"/>
      <c r="P180" s="5">
        <f>IFERROR(((Posts_Cleaned[[#This Row],[Likes]]+Posts_Cleaned[[#This Row],[Shares]]+Posts_Cleaned[[#This Row],[Comments]])/Posts_Cleaned[[#This Row],[Impressions]]),0)</f>
        <v>7.5280481001673588E-2</v>
      </c>
      <c r="Q180" s="3" t="str">
        <f>_xlfn.TEXTJOIN(", ", TRUE, Posts_Cleaned[[#This Row],[Hashtags Used.1]], Posts_Cleaned[[#This Row],[Hashtags Used.2]], Posts_Cleaned[[#This Row],[Hashtags Used.3]])</f>
        <v>#TeslaCoInnovation</v>
      </c>
      <c r="R180" s="2" t="e">
        <f>VLOOKUP(Posts_Cleaned[[#This Row],[Campaign_Name]],'Campaign Metadata Dataset '!$A$2:$B$5,2,0)</f>
        <v>#N/A</v>
      </c>
      <c r="S180" s="2" t="e">
        <f>VLOOKUP(Posts_Cleaned[[#This Row],[Campaign_Name]],'Campaign Metadata Dataset '!$A$1:$C$5,3,0)</f>
        <v>#N/A</v>
      </c>
      <c r="T180" s="1" t="e">
        <f t="shared" si="8"/>
        <v>#N/A</v>
      </c>
      <c r="U180" s="1">
        <f>SUM(Posts_Cleaned[[#This Row],[Likes]]+Posts_Cleaned[[#This Row],[Shares]]+Posts_Cleaned[[#This Row],[Comments]]+Posts_Cleaned[[#This Row],[Clicks]])</f>
        <v>5150</v>
      </c>
      <c r="V180" s="1">
        <f ca="1">AVERAGEIF(Posts_Cleaned[[#This Row],[Period]]:T:T,"Before Campaign",Posts_Cleaned[[#This Row],[Engagement Rate ]])</f>
        <v>0.13554041300232808</v>
      </c>
      <c r="W180" s="5">
        <f t="shared" ca="1" si="10"/>
        <v>0.17011350602086411</v>
      </c>
      <c r="X180" s="6">
        <f ca="1">(Posts_Cleaned[[#This Row],[During ]]-Posts_Cleaned[[#This Row],[Before ]])/Posts_Cleaned[[#This Row],[During ]]</f>
        <v>0.20323543866232294</v>
      </c>
      <c r="Y180" s="1">
        <f>IFERROR(VLOOKUP(O180, 'Campaign Metadata Dataset '!$A$1:$G$5,5,0),0)</f>
        <v>0</v>
      </c>
      <c r="Z180" s="1">
        <v>0</v>
      </c>
      <c r="AA180" s="1">
        <f t="shared" ca="1" si="9"/>
        <v>0.20323543866232294</v>
      </c>
    </row>
    <row r="181" spans="1:27" x14ac:dyDescent="0.25">
      <c r="A181" t="s">
        <v>238</v>
      </c>
      <c r="B181" s="1" t="s">
        <v>29</v>
      </c>
      <c r="C181" s="2">
        <v>45629</v>
      </c>
      <c r="D181" s="1" t="s">
        <v>23</v>
      </c>
      <c r="E181" s="1" t="s">
        <v>77</v>
      </c>
      <c r="F181">
        <v>3711</v>
      </c>
      <c r="G181">
        <v>352</v>
      </c>
      <c r="H181">
        <v>290</v>
      </c>
      <c r="I181">
        <v>48243</v>
      </c>
      <c r="J181">
        <v>47579</v>
      </c>
      <c r="K181">
        <v>11</v>
      </c>
      <c r="L181" s="1" t="s">
        <v>25</v>
      </c>
      <c r="M181" s="1"/>
      <c r="N181" s="1"/>
      <c r="O181" s="1" t="s">
        <v>21</v>
      </c>
      <c r="P181" s="5">
        <f>IFERROR(((Posts_Cleaned[[#This Row],[Likes]]+Posts_Cleaned[[#This Row],[Shares]]+Posts_Cleaned[[#This Row],[Comments]])/Posts_Cleaned[[#This Row],[Impressions]]),0)</f>
        <v>9.023070704558174E-2</v>
      </c>
      <c r="Q181" s="3" t="str">
        <f>_xlfn.TEXTJOIN(", ", TRUE, Posts_Cleaned[[#This Row],[Hashtags Used.1]], Posts_Cleaned[[#This Row],[Hashtags Used.2]], Posts_Cleaned[[#This Row],[Hashtags Used.3]])</f>
        <v>#TeslaCoInnovation</v>
      </c>
      <c r="R181" s="2">
        <f>VLOOKUP(Posts_Cleaned[[#This Row],[Campaign_Name]],'Campaign Metadata Dataset '!$A$2:$B$5,2,0)</f>
        <v>45458</v>
      </c>
      <c r="S181" s="2">
        <f>VLOOKUP(Posts_Cleaned[[#This Row],[Campaign_Name]],'Campaign Metadata Dataset '!$A$1:$C$5,3,0)</f>
        <v>45488</v>
      </c>
      <c r="T181" s="1" t="str">
        <f t="shared" si="8"/>
        <v>Before Campaign</v>
      </c>
      <c r="U181" s="1">
        <f>SUM(Posts_Cleaned[[#This Row],[Likes]]+Posts_Cleaned[[#This Row],[Shares]]+Posts_Cleaned[[#This Row],[Comments]]+Posts_Cleaned[[#This Row],[Clicks]])</f>
        <v>4364</v>
      </c>
      <c r="V181" s="1">
        <f ca="1">AVERAGEIF(Posts_Cleaned[[#This Row],[Period]]:T:T,"Before Campaign",Posts_Cleaned[[#This Row],[Engagement Rate ]])</f>
        <v>0.13480532706924558</v>
      </c>
      <c r="W181" s="5">
        <f t="shared" ca="1" si="10"/>
        <v>0.33924306287947764</v>
      </c>
      <c r="X181" s="6">
        <f ca="1">(Posts_Cleaned[[#This Row],[During ]]-Posts_Cleaned[[#This Row],[Before ]])/Posts_Cleaned[[#This Row],[During ]]</f>
        <v>0.60262908274372684</v>
      </c>
      <c r="Y181" s="1">
        <f>IFERROR(VLOOKUP(O181, 'Campaign Metadata Dataset '!$A$1:$G$5,5,0),0)</f>
        <v>150000</v>
      </c>
      <c r="Z181" s="1">
        <f t="shared" si="11"/>
        <v>2.9093333333333332E-2</v>
      </c>
      <c r="AA181" s="1">
        <f t="shared" ca="1" si="9"/>
        <v>0.60262908274372684</v>
      </c>
    </row>
    <row r="182" spans="1:27" x14ac:dyDescent="0.25">
      <c r="A182" t="s">
        <v>239</v>
      </c>
      <c r="B182" s="1" t="s">
        <v>29</v>
      </c>
      <c r="C182" s="2">
        <v>45737</v>
      </c>
      <c r="D182" s="1" t="s">
        <v>46</v>
      </c>
      <c r="E182" s="1" t="s">
        <v>47</v>
      </c>
      <c r="F182">
        <v>606</v>
      </c>
      <c r="G182">
        <v>789</v>
      </c>
      <c r="H182">
        <v>470</v>
      </c>
      <c r="I182">
        <v>7878</v>
      </c>
      <c r="J182">
        <v>7389</v>
      </c>
      <c r="K182">
        <v>239</v>
      </c>
      <c r="L182" s="1" t="s">
        <v>36</v>
      </c>
      <c r="M182" s="1"/>
      <c r="N182" s="1"/>
      <c r="O182" s="1" t="s">
        <v>31</v>
      </c>
      <c r="P182" s="5">
        <f>IFERROR(((Posts_Cleaned[[#This Row],[Likes]]+Posts_Cleaned[[#This Row],[Shares]]+Posts_Cleaned[[#This Row],[Comments]])/Posts_Cleaned[[#This Row],[Impressions]]),0)</f>
        <v>0.23673521198273673</v>
      </c>
      <c r="Q182" s="3" t="str">
        <f>_xlfn.TEXTJOIN(", ", TRUE, Posts_Cleaned[[#This Row],[Hashtags Used.1]], Posts_Cleaned[[#This Row],[Hashtags Used.2]], Posts_Cleaned[[#This Row],[Hashtags Used.3]])</f>
        <v>#EVRevolution</v>
      </c>
      <c r="R182" s="2">
        <f>VLOOKUP(Posts_Cleaned[[#This Row],[Campaign_Name]],'Campaign Metadata Dataset '!$A$2:$B$5,2,0)</f>
        <v>45651</v>
      </c>
      <c r="S182" s="2">
        <f>VLOOKUP(Posts_Cleaned[[#This Row],[Campaign_Name]],'Campaign Metadata Dataset '!$A$1:$C$5,3,0)</f>
        <v>45667</v>
      </c>
      <c r="T182" s="1" t="str">
        <f t="shared" si="8"/>
        <v>Before Campaign</v>
      </c>
      <c r="U182" s="1">
        <f>SUM(Posts_Cleaned[[#This Row],[Likes]]+Posts_Cleaned[[#This Row],[Shares]]+Posts_Cleaned[[#This Row],[Comments]]+Posts_Cleaned[[#This Row],[Clicks]])</f>
        <v>2104</v>
      </c>
      <c r="V182" s="1">
        <f ca="1">AVERAGEIF(Posts_Cleaned[[#This Row],[Period]]:T:T,"Before Campaign",Posts_Cleaned[[#This Row],[Engagement Rate ]])</f>
        <v>0.14275080131259565</v>
      </c>
      <c r="W182" s="5">
        <f t="shared" ca="1" si="10"/>
        <v>0.38628272881401587</v>
      </c>
      <c r="X182" s="6">
        <f ca="1">(Posts_Cleaned[[#This Row],[During ]]-Posts_Cleaned[[#This Row],[Before ]])/Posts_Cleaned[[#This Row],[During ]]</f>
        <v>0.63044995112549773</v>
      </c>
      <c r="Y182" s="1">
        <f>IFERROR(VLOOKUP(O182, 'Campaign Metadata Dataset '!$A$1:$G$5,5,0),0)</f>
        <v>250000</v>
      </c>
      <c r="Z182" s="1">
        <f t="shared" si="11"/>
        <v>8.4159999999999999E-3</v>
      </c>
      <c r="AA182" s="1">
        <f t="shared" ca="1" si="9"/>
        <v>0.63044995112549773</v>
      </c>
    </row>
    <row r="183" spans="1:27" x14ac:dyDescent="0.25">
      <c r="A183" t="s">
        <v>240</v>
      </c>
      <c r="B183" s="1" t="s">
        <v>40</v>
      </c>
      <c r="C183" s="2">
        <v>45504</v>
      </c>
      <c r="D183" s="1" t="s">
        <v>46</v>
      </c>
      <c r="E183" s="1" t="s">
        <v>51</v>
      </c>
      <c r="F183">
        <v>4689</v>
      </c>
      <c r="G183">
        <v>134</v>
      </c>
      <c r="H183">
        <v>403</v>
      </c>
      <c r="I183">
        <v>51579</v>
      </c>
      <c r="J183">
        <v>50924</v>
      </c>
      <c r="K183">
        <v>173</v>
      </c>
      <c r="L183" s="1" t="s">
        <v>25</v>
      </c>
      <c r="M183" s="1"/>
      <c r="N183" s="1"/>
      <c r="O183" s="1" t="s">
        <v>37</v>
      </c>
      <c r="P183" s="5">
        <f>IFERROR(((Posts_Cleaned[[#This Row],[Likes]]+Posts_Cleaned[[#This Row],[Shares]]+Posts_Cleaned[[#This Row],[Comments]])/Posts_Cleaned[[#This Row],[Impressions]]),0)</f>
        <v>0.10132030477519921</v>
      </c>
      <c r="Q183" s="3" t="str">
        <f>_xlfn.TEXTJOIN(", ", TRUE, Posts_Cleaned[[#This Row],[Hashtags Used.1]], Posts_Cleaned[[#This Row],[Hashtags Used.2]], Posts_Cleaned[[#This Row],[Hashtags Used.3]])</f>
        <v>#TeslaCoInnovation</v>
      </c>
      <c r="R183" s="2">
        <f>VLOOKUP(Posts_Cleaned[[#This Row],[Campaign_Name]],'Campaign Metadata Dataset '!$A$2:$B$5,2,0)</f>
        <v>45717</v>
      </c>
      <c r="S183" s="2">
        <f>VLOOKUP(Posts_Cleaned[[#This Row],[Campaign_Name]],'Campaign Metadata Dataset '!$A$1:$C$5,3,0)</f>
        <v>45747</v>
      </c>
      <c r="T183" s="1" t="str">
        <f t="shared" si="8"/>
        <v>Before Campaign</v>
      </c>
      <c r="U183" s="1">
        <f>SUM(Posts_Cleaned[[#This Row],[Likes]]+Posts_Cleaned[[#This Row],[Shares]]+Posts_Cleaned[[#This Row],[Comments]]+Posts_Cleaned[[#This Row],[Clicks]])</f>
        <v>5399</v>
      </c>
      <c r="V183" s="1">
        <f ca="1">AVERAGEIF(Posts_Cleaned[[#This Row],[Period]]:T:T,"Before Campaign",Posts_Cleaned[[#This Row],[Engagement Rate ]])</f>
        <v>0.15767523496664979</v>
      </c>
      <c r="W183" s="5">
        <f t="shared" ca="1" si="10"/>
        <v>0.10751787857998464</v>
      </c>
      <c r="X183" s="6">
        <f ca="1">(Posts_Cleaned[[#This Row],[During ]]-Posts_Cleaned[[#This Row],[Before ]])/Posts_Cleaned[[#This Row],[During ]]</f>
        <v>-0.46650247427782082</v>
      </c>
      <c r="Y183" s="1">
        <f>IFERROR(VLOOKUP(O183, 'Campaign Metadata Dataset '!$A$1:$G$5,5,0),0)</f>
        <v>180000</v>
      </c>
      <c r="Z183" s="1">
        <f t="shared" si="11"/>
        <v>2.9994444444444445E-2</v>
      </c>
      <c r="AA183" s="1">
        <f t="shared" ca="1" si="9"/>
        <v>-0.46650247427782082</v>
      </c>
    </row>
    <row r="184" spans="1:27" x14ac:dyDescent="0.25">
      <c r="A184" t="s">
        <v>241</v>
      </c>
      <c r="B184" s="1" t="s">
        <v>33</v>
      </c>
      <c r="C184" s="2">
        <v>45643</v>
      </c>
      <c r="D184" s="1" t="s">
        <v>34</v>
      </c>
      <c r="E184" s="1" t="s">
        <v>35</v>
      </c>
      <c r="F184">
        <v>360</v>
      </c>
      <c r="G184">
        <v>590</v>
      </c>
      <c r="H184">
        <v>393</v>
      </c>
      <c r="I184">
        <v>4680</v>
      </c>
      <c r="J184">
        <v>4322</v>
      </c>
      <c r="K184">
        <v>208</v>
      </c>
      <c r="L184" s="1" t="s">
        <v>19</v>
      </c>
      <c r="M184" s="1"/>
      <c r="N184" s="1"/>
      <c r="O184" s="1" t="s">
        <v>27</v>
      </c>
      <c r="P184" s="5">
        <f>IFERROR(((Posts_Cleaned[[#This Row],[Likes]]+Posts_Cleaned[[#This Row],[Shares]]+Posts_Cleaned[[#This Row],[Comments]])/Posts_Cleaned[[#This Row],[Impressions]]),0)</f>
        <v>0.28696581196581195</v>
      </c>
      <c r="Q184" s="3" t="str">
        <f>_xlfn.TEXTJOIN(", ", TRUE, Posts_Cleaned[[#This Row],[Hashtags Used.1]], Posts_Cleaned[[#This Row],[Hashtags Used.2]], Posts_Cleaned[[#This Row],[Hashtags Used.3]])</f>
        <v>#FutureOfDriving</v>
      </c>
      <c r="R184" s="2">
        <f>VLOOKUP(Posts_Cleaned[[#This Row],[Campaign_Name]],'Campaign Metadata Dataset '!$A$2:$B$5,2,0)</f>
        <v>45566</v>
      </c>
      <c r="S184" s="2">
        <f>VLOOKUP(Posts_Cleaned[[#This Row],[Campaign_Name]],'Campaign Metadata Dataset '!$A$1:$C$5,3,0)</f>
        <v>45596</v>
      </c>
      <c r="T184" s="1" t="str">
        <f t="shared" si="8"/>
        <v>Before Campaign</v>
      </c>
      <c r="U184" s="1">
        <f>SUM(Posts_Cleaned[[#This Row],[Likes]]+Posts_Cleaned[[#This Row],[Shares]]+Posts_Cleaned[[#This Row],[Comments]]+Posts_Cleaned[[#This Row],[Clicks]])</f>
        <v>1551</v>
      </c>
      <c r="V184" s="1">
        <f ca="1">AVERAGEIF(Posts_Cleaned[[#This Row],[Period]]:T:T,"Before Campaign",Posts_Cleaned[[#This Row],[Engagement Rate ]])</f>
        <v>0.16411521801655171</v>
      </c>
      <c r="W184" s="5">
        <f t="shared" ca="1" si="10"/>
        <v>0.14399394040998822</v>
      </c>
      <c r="X184" s="6">
        <f ca="1">(Posts_Cleaned[[#This Row],[During ]]-Posts_Cleaned[[#This Row],[Before ]])/Posts_Cleaned[[#This Row],[During ]]</f>
        <v>-0.1397369746898583</v>
      </c>
      <c r="Y184" s="1">
        <f>IFERROR(VLOOKUP(O184, 'Campaign Metadata Dataset '!$A$1:$G$5,5,0),0)</f>
        <v>200000</v>
      </c>
      <c r="Z184" s="1">
        <f t="shared" si="11"/>
        <v>7.7549999999999997E-3</v>
      </c>
      <c r="AA184" s="1">
        <f t="shared" ca="1" si="9"/>
        <v>-0.1397369746898583</v>
      </c>
    </row>
    <row r="185" spans="1:27" x14ac:dyDescent="0.25">
      <c r="A185" t="s">
        <v>242</v>
      </c>
      <c r="B185" s="1" t="s">
        <v>16</v>
      </c>
      <c r="C185" s="2">
        <v>45501</v>
      </c>
      <c r="D185" s="1" t="s">
        <v>46</v>
      </c>
      <c r="E185" s="1" t="s">
        <v>92</v>
      </c>
      <c r="F185">
        <v>3215</v>
      </c>
      <c r="G185">
        <v>960</v>
      </c>
      <c r="H185">
        <v>202</v>
      </c>
      <c r="I185">
        <v>32150</v>
      </c>
      <c r="J185">
        <v>31404</v>
      </c>
      <c r="K185">
        <v>251</v>
      </c>
      <c r="L185" s="1" t="s">
        <v>36</v>
      </c>
      <c r="M185" s="1"/>
      <c r="N185" s="1"/>
      <c r="O185" s="1" t="s">
        <v>21</v>
      </c>
      <c r="P185" s="5">
        <f>IFERROR(((Posts_Cleaned[[#This Row],[Likes]]+Posts_Cleaned[[#This Row],[Shares]]+Posts_Cleaned[[#This Row],[Comments]])/Posts_Cleaned[[#This Row],[Impressions]]),0)</f>
        <v>0.13614307931570763</v>
      </c>
      <c r="Q185" s="3" t="str">
        <f>_xlfn.TEXTJOIN(", ", TRUE, Posts_Cleaned[[#This Row],[Hashtags Used.1]], Posts_Cleaned[[#This Row],[Hashtags Used.2]], Posts_Cleaned[[#This Row],[Hashtags Used.3]])</f>
        <v>#EVRevolution</v>
      </c>
      <c r="R185" s="2">
        <f>VLOOKUP(Posts_Cleaned[[#This Row],[Campaign_Name]],'Campaign Metadata Dataset '!$A$2:$B$5,2,0)</f>
        <v>45458</v>
      </c>
      <c r="S185" s="2">
        <f>VLOOKUP(Posts_Cleaned[[#This Row],[Campaign_Name]],'Campaign Metadata Dataset '!$A$1:$C$5,3,0)</f>
        <v>45488</v>
      </c>
      <c r="T185" s="1" t="str">
        <f t="shared" si="8"/>
        <v>Before Campaign</v>
      </c>
      <c r="U185" s="1">
        <f>SUM(Posts_Cleaned[[#This Row],[Likes]]+Posts_Cleaned[[#This Row],[Shares]]+Posts_Cleaned[[#This Row],[Comments]]+Posts_Cleaned[[#This Row],[Clicks]])</f>
        <v>4628</v>
      </c>
      <c r="V185" s="1">
        <f ca="1">AVERAGEIF(Posts_Cleaned[[#This Row],[Period]]:T:T,"Before Campaign",Posts_Cleaned[[#This Row],[Engagement Rate ]])</f>
        <v>0.15043092141247857</v>
      </c>
      <c r="W185" s="5">
        <f t="shared" ca="1" si="10"/>
        <v>0.13699779452873681</v>
      </c>
      <c r="X185" s="6">
        <f ca="1">(Posts_Cleaned[[#This Row],[During ]]-Posts_Cleaned[[#This Row],[Before ]])/Posts_Cleaned[[#This Row],[During ]]</f>
        <v>-9.8053599548451248E-2</v>
      </c>
      <c r="Y185" s="1">
        <f>IFERROR(VLOOKUP(O185, 'Campaign Metadata Dataset '!$A$1:$G$5,5,0),0)</f>
        <v>150000</v>
      </c>
      <c r="Z185" s="1">
        <f t="shared" si="11"/>
        <v>3.0853333333333333E-2</v>
      </c>
      <c r="AA185" s="1">
        <f t="shared" ca="1" si="9"/>
        <v>-9.8053599548451248E-2</v>
      </c>
    </row>
    <row r="186" spans="1:27" x14ac:dyDescent="0.25">
      <c r="A186" t="s">
        <v>243</v>
      </c>
      <c r="B186" s="1" t="s">
        <v>33</v>
      </c>
      <c r="C186" s="2">
        <v>45668</v>
      </c>
      <c r="D186" s="1" t="s">
        <v>41</v>
      </c>
      <c r="E186" s="1" t="s">
        <v>69</v>
      </c>
      <c r="F186">
        <v>4523</v>
      </c>
      <c r="G186">
        <v>61</v>
      </c>
      <c r="H186">
        <v>157</v>
      </c>
      <c r="I186">
        <v>49753</v>
      </c>
      <c r="J186">
        <v>49329</v>
      </c>
      <c r="K186">
        <v>71</v>
      </c>
      <c r="L186" s="1" t="s">
        <v>36</v>
      </c>
      <c r="M186" s="1"/>
      <c r="N186" s="1"/>
      <c r="O186" s="1"/>
      <c r="P186" s="5">
        <f>IFERROR(((Posts_Cleaned[[#This Row],[Likes]]+Posts_Cleaned[[#This Row],[Shares]]+Posts_Cleaned[[#This Row],[Comments]])/Posts_Cleaned[[#This Row],[Impressions]]),0)</f>
        <v>9.5290736237010829E-2</v>
      </c>
      <c r="Q186" s="3" t="str">
        <f>_xlfn.TEXTJOIN(", ", TRUE, Posts_Cleaned[[#This Row],[Hashtags Used.1]], Posts_Cleaned[[#This Row],[Hashtags Used.2]], Posts_Cleaned[[#This Row],[Hashtags Used.3]])</f>
        <v>#EVRevolution</v>
      </c>
      <c r="R186" s="2" t="e">
        <f>VLOOKUP(Posts_Cleaned[[#This Row],[Campaign_Name]],'Campaign Metadata Dataset '!$A$2:$B$5,2,0)</f>
        <v>#N/A</v>
      </c>
      <c r="S186" s="2" t="e">
        <f>VLOOKUP(Posts_Cleaned[[#This Row],[Campaign_Name]],'Campaign Metadata Dataset '!$A$1:$C$5,3,0)</f>
        <v>#N/A</v>
      </c>
      <c r="T186" s="1" t="e">
        <f t="shared" si="8"/>
        <v>#N/A</v>
      </c>
      <c r="U186" s="1">
        <f>SUM(Posts_Cleaned[[#This Row],[Likes]]+Posts_Cleaned[[#This Row],[Shares]]+Posts_Cleaned[[#This Row],[Comments]]+Posts_Cleaned[[#This Row],[Clicks]])</f>
        <v>4812</v>
      </c>
      <c r="V186" s="1">
        <f ca="1">AVERAGEIF(Posts_Cleaned[[#This Row],[Period]]:T:T,"Before Campaign",Posts_Cleaned[[#This Row],[Engagement Rate ]])</f>
        <v>0.14896427459432912</v>
      </c>
      <c r="W186" s="5">
        <f t="shared" ca="1" si="10"/>
        <v>0.15221781055458469</v>
      </c>
      <c r="X186" s="6">
        <f ca="1">(Posts_Cleaned[[#This Row],[During ]]-Posts_Cleaned[[#This Row],[Before ]])/Posts_Cleaned[[#This Row],[During ]]</f>
        <v>2.137421336177258E-2</v>
      </c>
      <c r="Y186" s="1">
        <f>IFERROR(VLOOKUP(O186, 'Campaign Metadata Dataset '!$A$1:$G$5,5,0),0)</f>
        <v>0</v>
      </c>
      <c r="Z186" s="1">
        <v>0</v>
      </c>
      <c r="AA186" s="1">
        <f t="shared" ca="1" si="9"/>
        <v>2.137421336177258E-2</v>
      </c>
    </row>
    <row r="187" spans="1:27" x14ac:dyDescent="0.25">
      <c r="A187" t="s">
        <v>244</v>
      </c>
      <c r="B187" s="1" t="s">
        <v>40</v>
      </c>
      <c r="C187" s="2">
        <v>45528</v>
      </c>
      <c r="D187" s="1" t="s">
        <v>41</v>
      </c>
      <c r="E187" s="1" t="s">
        <v>42</v>
      </c>
      <c r="F187">
        <v>4292</v>
      </c>
      <c r="G187">
        <v>51</v>
      </c>
      <c r="H187">
        <v>392</v>
      </c>
      <c r="I187">
        <v>55796</v>
      </c>
      <c r="J187">
        <v>54826</v>
      </c>
      <c r="K187">
        <v>264</v>
      </c>
      <c r="L187" s="1" t="s">
        <v>36</v>
      </c>
      <c r="M187" s="1"/>
      <c r="N187" s="1"/>
      <c r="O187" s="1" t="s">
        <v>31</v>
      </c>
      <c r="P187" s="5">
        <f>IFERROR(((Posts_Cleaned[[#This Row],[Likes]]+Posts_Cleaned[[#This Row],[Shares]]+Posts_Cleaned[[#This Row],[Comments]])/Posts_Cleaned[[#This Row],[Impressions]]),0)</f>
        <v>8.4862714173059003E-2</v>
      </c>
      <c r="Q187" s="3" t="str">
        <f>_xlfn.TEXTJOIN(", ", TRUE, Posts_Cleaned[[#This Row],[Hashtags Used.1]], Posts_Cleaned[[#This Row],[Hashtags Used.2]], Posts_Cleaned[[#This Row],[Hashtags Used.3]])</f>
        <v>#EVRevolution</v>
      </c>
      <c r="R187" s="2">
        <f>VLOOKUP(Posts_Cleaned[[#This Row],[Campaign_Name]],'Campaign Metadata Dataset '!$A$2:$B$5,2,0)</f>
        <v>45651</v>
      </c>
      <c r="S187" s="2">
        <f>VLOOKUP(Posts_Cleaned[[#This Row],[Campaign_Name]],'Campaign Metadata Dataset '!$A$1:$C$5,3,0)</f>
        <v>45667</v>
      </c>
      <c r="T187" s="1" t="str">
        <f t="shared" si="8"/>
        <v>Before Campaign</v>
      </c>
      <c r="U187" s="1">
        <f>SUM(Posts_Cleaned[[#This Row],[Likes]]+Posts_Cleaned[[#This Row],[Shares]]+Posts_Cleaned[[#This Row],[Comments]]+Posts_Cleaned[[#This Row],[Clicks]])</f>
        <v>4999</v>
      </c>
      <c r="V187" s="1">
        <f ca="1">AVERAGEIF(Posts_Cleaned[[#This Row],[Period]]:T:T,"Before Campaign",Posts_Cleaned[[#This Row],[Engagement Rate ]])</f>
        <v>0.1566166140218678</v>
      </c>
      <c r="W187" s="5">
        <f t="shared" ca="1" si="10"/>
        <v>0.18359804012558109</v>
      </c>
      <c r="X187" s="6">
        <f ca="1">(Posts_Cleaned[[#This Row],[During ]]-Posts_Cleaned[[#This Row],[Before ]])/Posts_Cleaned[[#This Row],[During ]]</f>
        <v>0.14695922726221908</v>
      </c>
      <c r="Y187" s="1">
        <f>IFERROR(VLOOKUP(O187, 'Campaign Metadata Dataset '!$A$1:$G$5,5,0),0)</f>
        <v>250000</v>
      </c>
      <c r="Z187" s="1">
        <f t="shared" si="11"/>
        <v>1.9996E-2</v>
      </c>
      <c r="AA187" s="1">
        <f t="shared" ca="1" si="9"/>
        <v>0.14695922726221908</v>
      </c>
    </row>
    <row r="188" spans="1:27" x14ac:dyDescent="0.25">
      <c r="A188" t="s">
        <v>245</v>
      </c>
      <c r="B188" s="1" t="s">
        <v>16</v>
      </c>
      <c r="C188" s="2">
        <v>45648</v>
      </c>
      <c r="D188" s="1" t="s">
        <v>17</v>
      </c>
      <c r="E188" s="1" t="s">
        <v>18</v>
      </c>
      <c r="F188">
        <v>1644</v>
      </c>
      <c r="G188">
        <v>546</v>
      </c>
      <c r="H188">
        <v>150</v>
      </c>
      <c r="I188">
        <v>27948</v>
      </c>
      <c r="J188">
        <v>27184</v>
      </c>
      <c r="K188">
        <v>300</v>
      </c>
      <c r="L188" s="1" t="s">
        <v>36</v>
      </c>
      <c r="M188" s="1"/>
      <c r="N188" s="1"/>
      <c r="O188" s="1" t="s">
        <v>31</v>
      </c>
      <c r="P188" s="5">
        <f>IFERROR(((Posts_Cleaned[[#This Row],[Likes]]+Posts_Cleaned[[#This Row],[Shares]]+Posts_Cleaned[[#This Row],[Comments]])/Posts_Cleaned[[#This Row],[Impressions]]),0)</f>
        <v>8.3726921425504502E-2</v>
      </c>
      <c r="Q188" s="3" t="str">
        <f>_xlfn.TEXTJOIN(", ", TRUE, Posts_Cleaned[[#This Row],[Hashtags Used.1]], Posts_Cleaned[[#This Row],[Hashtags Used.2]], Posts_Cleaned[[#This Row],[Hashtags Used.3]])</f>
        <v>#EVRevolution</v>
      </c>
      <c r="R188" s="2">
        <f>VLOOKUP(Posts_Cleaned[[#This Row],[Campaign_Name]],'Campaign Metadata Dataset '!$A$2:$B$5,2,0)</f>
        <v>45651</v>
      </c>
      <c r="S188" s="2">
        <f>VLOOKUP(Posts_Cleaned[[#This Row],[Campaign_Name]],'Campaign Metadata Dataset '!$A$1:$C$5,3,0)</f>
        <v>45667</v>
      </c>
      <c r="T188" s="1" t="str">
        <f t="shared" si="8"/>
        <v>Before Campaign</v>
      </c>
      <c r="U188" s="1">
        <f>SUM(Posts_Cleaned[[#This Row],[Likes]]+Posts_Cleaned[[#This Row],[Shares]]+Posts_Cleaned[[#This Row],[Comments]]+Posts_Cleaned[[#This Row],[Clicks]])</f>
        <v>2640</v>
      </c>
      <c r="V188" s="1">
        <f ca="1">AVERAGEIF(Posts_Cleaned[[#This Row],[Period]]:T:T,"Before Campaign",Posts_Cleaned[[#This Row],[Engagement Rate ]])</f>
        <v>0.16047183334703141</v>
      </c>
      <c r="W188" s="5">
        <f t="shared" ca="1" si="10"/>
        <v>0.2130570851994836</v>
      </c>
      <c r="X188" s="6">
        <f ca="1">(Posts_Cleaned[[#This Row],[During ]]-Posts_Cleaned[[#This Row],[Before ]])/Posts_Cleaned[[#This Row],[During ]]</f>
        <v>0.24681296941247952</v>
      </c>
      <c r="Y188" s="1">
        <f>IFERROR(VLOOKUP(O188, 'Campaign Metadata Dataset '!$A$1:$G$5,5,0),0)</f>
        <v>250000</v>
      </c>
      <c r="Z188" s="1">
        <f t="shared" si="11"/>
        <v>1.056E-2</v>
      </c>
      <c r="AA188" s="1">
        <f t="shared" ca="1" si="9"/>
        <v>0.24681296941247952</v>
      </c>
    </row>
    <row r="189" spans="1:27" x14ac:dyDescent="0.25">
      <c r="A189" t="s">
        <v>246</v>
      </c>
      <c r="B189" s="1" t="s">
        <v>29</v>
      </c>
      <c r="C189" s="2">
        <v>45449</v>
      </c>
      <c r="D189" s="1" t="s">
        <v>17</v>
      </c>
      <c r="E189" s="1" t="s">
        <v>30</v>
      </c>
      <c r="F189">
        <v>2728</v>
      </c>
      <c r="G189">
        <v>533</v>
      </c>
      <c r="H189">
        <v>215</v>
      </c>
      <c r="I189">
        <v>40920</v>
      </c>
      <c r="J189">
        <v>40816</v>
      </c>
      <c r="K189">
        <v>137</v>
      </c>
      <c r="L189" s="1" t="s">
        <v>19</v>
      </c>
      <c r="M189" s="1"/>
      <c r="N189" s="1"/>
      <c r="O189" s="1" t="s">
        <v>27</v>
      </c>
      <c r="P189" s="5">
        <f>IFERROR(((Posts_Cleaned[[#This Row],[Likes]]+Posts_Cleaned[[#This Row],[Shares]]+Posts_Cleaned[[#This Row],[Comments]])/Posts_Cleaned[[#This Row],[Impressions]]),0)</f>
        <v>8.4946236559139784E-2</v>
      </c>
      <c r="Q189" s="3" t="str">
        <f>_xlfn.TEXTJOIN(", ", TRUE, Posts_Cleaned[[#This Row],[Hashtags Used.1]], Posts_Cleaned[[#This Row],[Hashtags Used.2]], Posts_Cleaned[[#This Row],[Hashtags Used.3]])</f>
        <v>#FutureOfDriving</v>
      </c>
      <c r="R189" s="2">
        <f>VLOOKUP(Posts_Cleaned[[#This Row],[Campaign_Name]],'Campaign Metadata Dataset '!$A$2:$B$5,2,0)</f>
        <v>45566</v>
      </c>
      <c r="S189" s="2">
        <f>VLOOKUP(Posts_Cleaned[[#This Row],[Campaign_Name]],'Campaign Metadata Dataset '!$A$1:$C$5,3,0)</f>
        <v>45596</v>
      </c>
      <c r="T189" s="1" t="str">
        <f t="shared" si="8"/>
        <v>Before Campaign</v>
      </c>
      <c r="U189" s="1">
        <f>SUM(Posts_Cleaned[[#This Row],[Likes]]+Posts_Cleaned[[#This Row],[Shares]]+Posts_Cleaned[[#This Row],[Comments]]+Posts_Cleaned[[#This Row],[Clicks]])</f>
        <v>3613</v>
      </c>
      <c r="V189" s="1">
        <f ca="1">AVERAGEIF(Posts_Cleaned[[#This Row],[Period]]:T:T,"Before Campaign",Posts_Cleaned[[#This Row],[Engagement Rate ]])</f>
        <v>0.16001785281910824</v>
      </c>
      <c r="W189" s="5">
        <f t="shared" ca="1" si="10"/>
        <v>0.10309217470737801</v>
      </c>
      <c r="X189" s="6">
        <f ca="1">(Posts_Cleaned[[#This Row],[During ]]-Posts_Cleaned[[#This Row],[Before ]])/Posts_Cleaned[[#This Row],[During ]]</f>
        <v>-0.55218233850736897</v>
      </c>
      <c r="Y189" s="1">
        <f>IFERROR(VLOOKUP(O189, 'Campaign Metadata Dataset '!$A$1:$G$5,5,0),0)</f>
        <v>200000</v>
      </c>
      <c r="Z189" s="1">
        <f t="shared" si="11"/>
        <v>1.8065000000000001E-2</v>
      </c>
      <c r="AA189" s="1">
        <f t="shared" ca="1" si="9"/>
        <v>-0.55218233850736897</v>
      </c>
    </row>
    <row r="190" spans="1:27" x14ac:dyDescent="0.25">
      <c r="A190" t="s">
        <v>247</v>
      </c>
      <c r="B190" s="1" t="s">
        <v>40</v>
      </c>
      <c r="C190" s="2">
        <v>45740</v>
      </c>
      <c r="D190" s="1" t="s">
        <v>17</v>
      </c>
      <c r="E190" s="1" t="s">
        <v>54</v>
      </c>
      <c r="F190">
        <v>3360</v>
      </c>
      <c r="G190">
        <v>525</v>
      </c>
      <c r="H190">
        <v>500</v>
      </c>
      <c r="I190">
        <v>60480</v>
      </c>
      <c r="J190">
        <v>59610</v>
      </c>
      <c r="K190">
        <v>192</v>
      </c>
      <c r="L190" s="1" t="s">
        <v>25</v>
      </c>
      <c r="M190" s="1"/>
      <c r="N190" s="1"/>
      <c r="O190" s="1" t="s">
        <v>21</v>
      </c>
      <c r="P190" s="5">
        <f>IFERROR(((Posts_Cleaned[[#This Row],[Likes]]+Posts_Cleaned[[#This Row],[Shares]]+Posts_Cleaned[[#This Row],[Comments]])/Posts_Cleaned[[#This Row],[Impressions]]),0)</f>
        <v>7.2503306878306875E-2</v>
      </c>
      <c r="Q190" s="3" t="str">
        <f>_xlfn.TEXTJOIN(", ", TRUE, Posts_Cleaned[[#This Row],[Hashtags Used.1]], Posts_Cleaned[[#This Row],[Hashtags Used.2]], Posts_Cleaned[[#This Row],[Hashtags Used.3]])</f>
        <v>#TeslaCoInnovation</v>
      </c>
      <c r="R190" s="2">
        <f>VLOOKUP(Posts_Cleaned[[#This Row],[Campaign_Name]],'Campaign Metadata Dataset '!$A$2:$B$5,2,0)</f>
        <v>45458</v>
      </c>
      <c r="S190" s="2">
        <f>VLOOKUP(Posts_Cleaned[[#This Row],[Campaign_Name]],'Campaign Metadata Dataset '!$A$1:$C$5,3,0)</f>
        <v>45488</v>
      </c>
      <c r="T190" s="1" t="str">
        <f t="shared" si="8"/>
        <v>Before Campaign</v>
      </c>
      <c r="U190" s="1">
        <f>SUM(Posts_Cleaned[[#This Row],[Likes]]+Posts_Cleaned[[#This Row],[Shares]]+Posts_Cleaned[[#This Row],[Comments]]+Posts_Cleaned[[#This Row],[Clicks]])</f>
        <v>4577</v>
      </c>
      <c r="V190" s="1">
        <f ca="1">AVERAGEIF(Posts_Cleaned[[#This Row],[Period]]:T:T,"Before Campaign",Posts_Cleaned[[#This Row],[Engagement Rate ]])</f>
        <v>0.16487258069153254</v>
      </c>
      <c r="W190" s="5">
        <f t="shared" ca="1" si="10"/>
        <v>8.3047249772942949E-2</v>
      </c>
      <c r="X190" s="6">
        <f ca="1">(Posts_Cleaned[[#This Row],[During ]]-Posts_Cleaned[[#This Row],[Before ]])/Posts_Cleaned[[#This Row],[During ]]</f>
        <v>-0.98528646213216975</v>
      </c>
      <c r="Y190" s="1">
        <f>IFERROR(VLOOKUP(O190, 'Campaign Metadata Dataset '!$A$1:$G$5,5,0),0)</f>
        <v>150000</v>
      </c>
      <c r="Z190" s="1">
        <f t="shared" si="11"/>
        <v>3.0513333333333333E-2</v>
      </c>
      <c r="AA190" s="1">
        <f t="shared" ca="1" si="9"/>
        <v>-0.98528646213216975</v>
      </c>
    </row>
    <row r="191" spans="1:27" x14ac:dyDescent="0.25">
      <c r="A191" t="s">
        <v>248</v>
      </c>
      <c r="B191" s="1" t="s">
        <v>29</v>
      </c>
      <c r="C191" s="2">
        <v>45569</v>
      </c>
      <c r="D191" s="1" t="s">
        <v>23</v>
      </c>
      <c r="E191" s="1" t="s">
        <v>77</v>
      </c>
      <c r="F191">
        <v>1963</v>
      </c>
      <c r="G191">
        <v>213</v>
      </c>
      <c r="H191">
        <v>19</v>
      </c>
      <c r="I191">
        <v>39260</v>
      </c>
      <c r="J191">
        <v>38771</v>
      </c>
      <c r="K191">
        <v>145</v>
      </c>
      <c r="L191" s="1" t="s">
        <v>19</v>
      </c>
      <c r="M191" s="1"/>
      <c r="N191" s="1"/>
      <c r="O191" s="1"/>
      <c r="P191" s="5">
        <f>IFERROR(((Posts_Cleaned[[#This Row],[Likes]]+Posts_Cleaned[[#This Row],[Shares]]+Posts_Cleaned[[#This Row],[Comments]])/Posts_Cleaned[[#This Row],[Impressions]]),0)</f>
        <v>5.5909322465613857E-2</v>
      </c>
      <c r="Q191" s="3" t="str">
        <f>_xlfn.TEXTJOIN(", ", TRUE, Posts_Cleaned[[#This Row],[Hashtags Used.1]], Posts_Cleaned[[#This Row],[Hashtags Used.2]], Posts_Cleaned[[#This Row],[Hashtags Used.3]])</f>
        <v>#FutureOfDriving</v>
      </c>
      <c r="R191" s="2" t="e">
        <f>VLOOKUP(Posts_Cleaned[[#This Row],[Campaign_Name]],'Campaign Metadata Dataset '!$A$2:$B$5,2,0)</f>
        <v>#N/A</v>
      </c>
      <c r="S191" s="2" t="e">
        <f>VLOOKUP(Posts_Cleaned[[#This Row],[Campaign_Name]],'Campaign Metadata Dataset '!$A$1:$C$5,3,0)</f>
        <v>#N/A</v>
      </c>
      <c r="T191" s="1" t="e">
        <f t="shared" si="8"/>
        <v>#N/A</v>
      </c>
      <c r="U191" s="1">
        <f>SUM(Posts_Cleaned[[#This Row],[Likes]]+Posts_Cleaned[[#This Row],[Shares]]+Posts_Cleaned[[#This Row],[Comments]]+Posts_Cleaned[[#This Row],[Clicks]])</f>
        <v>2340</v>
      </c>
      <c r="V191" s="1">
        <f ca="1">AVERAGEIF(Posts_Cleaned[[#This Row],[Period]]:T:T,"Before Campaign",Posts_Cleaned[[#This Row],[Engagement Rate ]])</f>
        <v>0.14239526861350815</v>
      </c>
      <c r="W191" s="5">
        <f t="shared" ca="1" si="10"/>
        <v>9.4600667673636382E-2</v>
      </c>
      <c r="X191" s="6">
        <f ca="1">(Posts_Cleaned[[#This Row],[During ]]-Posts_Cleaned[[#This Row],[Before ]])/Posts_Cleaned[[#This Row],[During ]]</f>
        <v>-0.50522477393879239</v>
      </c>
      <c r="Y191" s="1">
        <f>IFERROR(VLOOKUP(O191, 'Campaign Metadata Dataset '!$A$1:$G$5,5,0),0)</f>
        <v>0</v>
      </c>
      <c r="Z191" s="1">
        <v>0</v>
      </c>
      <c r="AA191" s="1">
        <f t="shared" ca="1" si="9"/>
        <v>-0.50522477393879239</v>
      </c>
    </row>
    <row r="192" spans="1:27" x14ac:dyDescent="0.25">
      <c r="A192" t="s">
        <v>249</v>
      </c>
      <c r="B192" s="1" t="s">
        <v>29</v>
      </c>
      <c r="C192" s="2">
        <v>45629</v>
      </c>
      <c r="D192" s="1" t="s">
        <v>34</v>
      </c>
      <c r="E192" s="1" t="s">
        <v>105</v>
      </c>
      <c r="F192">
        <v>4285</v>
      </c>
      <c r="G192">
        <v>886</v>
      </c>
      <c r="H192">
        <v>376</v>
      </c>
      <c r="I192">
        <v>55705</v>
      </c>
      <c r="J192">
        <v>55556</v>
      </c>
      <c r="K192">
        <v>51</v>
      </c>
      <c r="L192" s="1" t="s">
        <v>19</v>
      </c>
      <c r="M192" s="1"/>
      <c r="N192" s="1"/>
      <c r="O192" s="1" t="s">
        <v>31</v>
      </c>
      <c r="P192" s="5">
        <f>IFERROR(((Posts_Cleaned[[#This Row],[Likes]]+Posts_Cleaned[[#This Row],[Shares]]+Posts_Cleaned[[#This Row],[Comments]])/Posts_Cleaned[[#This Row],[Impressions]]),0)</f>
        <v>9.9578134817341346E-2</v>
      </c>
      <c r="Q192" s="3" t="str">
        <f>_xlfn.TEXTJOIN(", ", TRUE, Posts_Cleaned[[#This Row],[Hashtags Used.1]], Posts_Cleaned[[#This Row],[Hashtags Used.2]], Posts_Cleaned[[#This Row],[Hashtags Used.3]])</f>
        <v>#FutureOfDriving</v>
      </c>
      <c r="R192" s="2">
        <f>VLOOKUP(Posts_Cleaned[[#This Row],[Campaign_Name]],'Campaign Metadata Dataset '!$A$2:$B$5,2,0)</f>
        <v>45651</v>
      </c>
      <c r="S192" s="2">
        <f>VLOOKUP(Posts_Cleaned[[#This Row],[Campaign_Name]],'Campaign Metadata Dataset '!$A$1:$C$5,3,0)</f>
        <v>45667</v>
      </c>
      <c r="T192" s="1" t="str">
        <f t="shared" si="8"/>
        <v>Before Campaign</v>
      </c>
      <c r="U192" s="1">
        <f>SUM(Posts_Cleaned[[#This Row],[Likes]]+Posts_Cleaned[[#This Row],[Shares]]+Posts_Cleaned[[#This Row],[Comments]]+Posts_Cleaned[[#This Row],[Clicks]])</f>
        <v>5598</v>
      </c>
      <c r="V192" s="1">
        <f ca="1">AVERAGEIF(Posts_Cleaned[[#This Row],[Period]]:T:T,"Before Campaign",Posts_Cleaned[[#This Row],[Engagement Rate ]])</f>
        <v>0.1620506547780009</v>
      </c>
      <c r="W192" s="5">
        <f t="shared" ca="1" si="10"/>
        <v>0.12834911929210971</v>
      </c>
      <c r="X192" s="6">
        <f ca="1">(Posts_Cleaned[[#This Row],[During ]]-Posts_Cleaned[[#This Row],[Before ]])/Posts_Cleaned[[#This Row],[During ]]</f>
        <v>-0.26257706848139628</v>
      </c>
      <c r="Y192" s="1">
        <f>IFERROR(VLOOKUP(O192, 'Campaign Metadata Dataset '!$A$1:$G$5,5,0),0)</f>
        <v>250000</v>
      </c>
      <c r="Z192" s="1">
        <f t="shared" si="11"/>
        <v>2.2391999999999999E-2</v>
      </c>
      <c r="AA192" s="1">
        <f t="shared" ca="1" si="9"/>
        <v>-0.26257706848139628</v>
      </c>
    </row>
    <row r="193" spans="1:27" x14ac:dyDescent="0.25">
      <c r="A193" t="s">
        <v>250</v>
      </c>
      <c r="B193" s="1" t="s">
        <v>33</v>
      </c>
      <c r="C193" s="2">
        <v>45625</v>
      </c>
      <c r="D193" s="1" t="s">
        <v>60</v>
      </c>
      <c r="E193" s="1" t="s">
        <v>67</v>
      </c>
      <c r="F193">
        <v>1176</v>
      </c>
      <c r="G193">
        <v>464</v>
      </c>
      <c r="H193">
        <v>394</v>
      </c>
      <c r="I193">
        <v>14112</v>
      </c>
      <c r="J193">
        <v>13588</v>
      </c>
      <c r="K193">
        <v>272</v>
      </c>
      <c r="L193" s="1" t="s">
        <v>36</v>
      </c>
      <c r="M193" s="1"/>
      <c r="N193" s="1"/>
      <c r="O193" s="1"/>
      <c r="P193" s="5">
        <f>IFERROR(((Posts_Cleaned[[#This Row],[Likes]]+Posts_Cleaned[[#This Row],[Shares]]+Posts_Cleaned[[#This Row],[Comments]])/Posts_Cleaned[[#This Row],[Impressions]]),0)</f>
        <v>0.1441326530612245</v>
      </c>
      <c r="Q193" s="3" t="str">
        <f>_xlfn.TEXTJOIN(", ", TRUE, Posts_Cleaned[[#This Row],[Hashtags Used.1]], Posts_Cleaned[[#This Row],[Hashtags Used.2]], Posts_Cleaned[[#This Row],[Hashtags Used.3]])</f>
        <v>#EVRevolution</v>
      </c>
      <c r="R193" s="2" t="e">
        <f>VLOOKUP(Posts_Cleaned[[#This Row],[Campaign_Name]],'Campaign Metadata Dataset '!$A$2:$B$5,2,0)</f>
        <v>#N/A</v>
      </c>
      <c r="S193" s="2" t="e">
        <f>VLOOKUP(Posts_Cleaned[[#This Row],[Campaign_Name]],'Campaign Metadata Dataset '!$A$1:$C$5,3,0)</f>
        <v>#N/A</v>
      </c>
      <c r="T193" s="1" t="e">
        <f t="shared" si="8"/>
        <v>#N/A</v>
      </c>
      <c r="U193" s="1">
        <f>SUM(Posts_Cleaned[[#This Row],[Likes]]+Posts_Cleaned[[#This Row],[Shares]]+Posts_Cleaned[[#This Row],[Comments]]+Posts_Cleaned[[#This Row],[Clicks]])</f>
        <v>2306</v>
      </c>
      <c r="V193" s="1">
        <f ca="1">AVERAGEIF(Posts_Cleaned[[#This Row],[Period]]:T:T,"Before Campaign",Posts_Cleaned[[#This Row],[Engagement Rate ]])</f>
        <v>0.1432371751058007</v>
      </c>
      <c r="W193" s="5">
        <f t="shared" ca="1" si="10"/>
        <v>0.20350401986742478</v>
      </c>
      <c r="X193" s="6">
        <f ca="1">(Posts_Cleaned[[#This Row],[During ]]-Posts_Cleaned[[#This Row],[Before ]])/Posts_Cleaned[[#This Row],[During ]]</f>
        <v>0.29614572135177314</v>
      </c>
      <c r="Y193" s="1">
        <f>IFERROR(VLOOKUP(O193, 'Campaign Metadata Dataset '!$A$1:$G$5,5,0),0)</f>
        <v>0</v>
      </c>
      <c r="Z193" s="1">
        <v>0</v>
      </c>
      <c r="AA193" s="1">
        <f t="shared" ca="1" si="9"/>
        <v>0.29614572135177314</v>
      </c>
    </row>
    <row r="194" spans="1:27" x14ac:dyDescent="0.25">
      <c r="A194" t="s">
        <v>251</v>
      </c>
      <c r="B194" s="1" t="s">
        <v>16</v>
      </c>
      <c r="C194" s="2">
        <v>45546</v>
      </c>
      <c r="D194" s="1" t="s">
        <v>46</v>
      </c>
      <c r="E194" s="1" t="s">
        <v>92</v>
      </c>
      <c r="F194">
        <v>4858</v>
      </c>
      <c r="G194">
        <v>317</v>
      </c>
      <c r="H194">
        <v>129</v>
      </c>
      <c r="I194">
        <v>53438</v>
      </c>
      <c r="J194">
        <v>52687</v>
      </c>
      <c r="K194">
        <v>223</v>
      </c>
      <c r="L194" s="1" t="s">
        <v>36</v>
      </c>
      <c r="M194" s="1"/>
      <c r="N194" s="1"/>
      <c r="O194" s="1" t="s">
        <v>31</v>
      </c>
      <c r="P194" s="5">
        <f>IFERROR(((Posts_Cleaned[[#This Row],[Likes]]+Posts_Cleaned[[#This Row],[Shares]]+Posts_Cleaned[[#This Row],[Comments]])/Posts_Cleaned[[#This Row],[Impressions]]),0)</f>
        <v>9.9255211647142488E-2</v>
      </c>
      <c r="Q194" s="3" t="str">
        <f>_xlfn.TEXTJOIN(", ", TRUE, Posts_Cleaned[[#This Row],[Hashtags Used.1]], Posts_Cleaned[[#This Row],[Hashtags Used.2]], Posts_Cleaned[[#This Row],[Hashtags Used.3]])</f>
        <v>#EVRevolution</v>
      </c>
      <c r="R194" s="2">
        <f>VLOOKUP(Posts_Cleaned[[#This Row],[Campaign_Name]],'Campaign Metadata Dataset '!$A$2:$B$5,2,0)</f>
        <v>45651</v>
      </c>
      <c r="S194" s="2">
        <f>VLOOKUP(Posts_Cleaned[[#This Row],[Campaign_Name]],'Campaign Metadata Dataset '!$A$1:$C$5,3,0)</f>
        <v>45667</v>
      </c>
      <c r="T194" s="1" t="str">
        <f t="shared" ref="T194:T257" si="12">IF(AND(C194&gt;R194, C194&lt;=S194),"During Campaign","Before Campaign")</f>
        <v>Before Campaign</v>
      </c>
      <c r="U194" s="1">
        <f>SUM(Posts_Cleaned[[#This Row],[Likes]]+Posts_Cleaned[[#This Row],[Shares]]+Posts_Cleaned[[#This Row],[Comments]]+Posts_Cleaned[[#This Row],[Clicks]])</f>
        <v>5527</v>
      </c>
      <c r="V194" s="1">
        <f ca="1">AVERAGEIF(Posts_Cleaned[[#This Row],[Period]]:T:T,"Before Campaign",Posts_Cleaned[[#This Row],[Engagement Rate ]])</f>
        <v>0.16110298410161294</v>
      </c>
      <c r="W194" s="5">
        <f t="shared" ca="1" si="10"/>
        <v>0.44730325925491521</v>
      </c>
      <c r="X194" s="6">
        <f ca="1">(Posts_Cleaned[[#This Row],[During ]]-Posts_Cleaned[[#This Row],[Before ]])/Posts_Cleaned[[#This Row],[During ]]</f>
        <v>0.63983498718527909</v>
      </c>
      <c r="Y194" s="1">
        <f>IFERROR(VLOOKUP(O194, 'Campaign Metadata Dataset '!$A$1:$G$5,5,0),0)</f>
        <v>250000</v>
      </c>
      <c r="Z194" s="1">
        <f t="shared" ref="Z194:Z257" si="13">(F:F+G:G+H:H+K:K)/Y:Y</f>
        <v>2.2107999999999999E-2</v>
      </c>
      <c r="AA194" s="1">
        <f t="shared" ref="AA194:AA257" ca="1" si="14">(W:W-V:V)/W:W</f>
        <v>0.63983498718527909</v>
      </c>
    </row>
    <row r="195" spans="1:27" x14ac:dyDescent="0.25">
      <c r="A195" t="s">
        <v>252</v>
      </c>
      <c r="B195" s="1" t="s">
        <v>29</v>
      </c>
      <c r="C195" s="2">
        <v>45567</v>
      </c>
      <c r="D195" s="1" t="s">
        <v>34</v>
      </c>
      <c r="E195" s="1" t="s">
        <v>105</v>
      </c>
      <c r="F195">
        <v>4350</v>
      </c>
      <c r="G195">
        <v>771</v>
      </c>
      <c r="H195">
        <v>7</v>
      </c>
      <c r="I195">
        <v>60900</v>
      </c>
      <c r="J195">
        <v>60592</v>
      </c>
      <c r="K195">
        <v>195</v>
      </c>
      <c r="L195" s="1" t="s">
        <v>36</v>
      </c>
      <c r="M195" s="1"/>
      <c r="N195" s="1"/>
      <c r="O195" s="1" t="s">
        <v>21</v>
      </c>
      <c r="P195" s="5">
        <f>IFERROR(((Posts_Cleaned[[#This Row],[Likes]]+Posts_Cleaned[[#This Row],[Shares]]+Posts_Cleaned[[#This Row],[Comments]])/Posts_Cleaned[[#This Row],[Impressions]]),0)</f>
        <v>8.4203612479474554E-2</v>
      </c>
      <c r="Q195" s="3" t="str">
        <f>_xlfn.TEXTJOIN(", ", TRUE, Posts_Cleaned[[#This Row],[Hashtags Used.1]], Posts_Cleaned[[#This Row],[Hashtags Used.2]], Posts_Cleaned[[#This Row],[Hashtags Used.3]])</f>
        <v>#EVRevolution</v>
      </c>
      <c r="R195" s="2">
        <f>VLOOKUP(Posts_Cleaned[[#This Row],[Campaign_Name]],'Campaign Metadata Dataset '!$A$2:$B$5,2,0)</f>
        <v>45458</v>
      </c>
      <c r="S195" s="2">
        <f>VLOOKUP(Posts_Cleaned[[#This Row],[Campaign_Name]],'Campaign Metadata Dataset '!$A$1:$C$5,3,0)</f>
        <v>45488</v>
      </c>
      <c r="T195" s="1" t="str">
        <f t="shared" si="12"/>
        <v>Before Campaign</v>
      </c>
      <c r="U195" s="1">
        <f>SUM(Posts_Cleaned[[#This Row],[Likes]]+Posts_Cleaned[[#This Row],[Shares]]+Posts_Cleaned[[#This Row],[Comments]]+Posts_Cleaned[[#This Row],[Clicks]])</f>
        <v>5323</v>
      </c>
      <c r="V195" s="1">
        <f ca="1">AVERAGEIF(Posts_Cleaned[[#This Row],[Period]]:T:T,"Before Campaign",Posts_Cleaned[[#This Row],[Engagement Rate ]])</f>
        <v>0.16349516134621003</v>
      </c>
      <c r="W195" s="5">
        <f t="shared" ref="W195:W258" ca="1" si="15">AVERAGEIF($T$2:$T$302,"During Campaign",P195)</f>
        <v>0.12138372461179624</v>
      </c>
      <c r="X195" s="6">
        <f ca="1">(Posts_Cleaned[[#This Row],[During ]]-Posts_Cleaned[[#This Row],[Before ]])/Posts_Cleaned[[#This Row],[During ]]</f>
        <v>-0.34692819707990202</v>
      </c>
      <c r="Y195" s="1">
        <f>IFERROR(VLOOKUP(O195, 'Campaign Metadata Dataset '!$A$1:$G$5,5,0),0)</f>
        <v>150000</v>
      </c>
      <c r="Z195" s="1">
        <f t="shared" si="13"/>
        <v>3.5486666666666666E-2</v>
      </c>
      <c r="AA195" s="1">
        <f t="shared" ca="1" si="14"/>
        <v>-0.34692819707990202</v>
      </c>
    </row>
    <row r="196" spans="1:27" x14ac:dyDescent="0.25">
      <c r="A196" t="s">
        <v>253</v>
      </c>
      <c r="B196" s="1" t="s">
        <v>33</v>
      </c>
      <c r="C196" s="2">
        <v>45519</v>
      </c>
      <c r="D196" s="1" t="s">
        <v>41</v>
      </c>
      <c r="E196" s="1" t="s">
        <v>69</v>
      </c>
      <c r="F196">
        <v>914</v>
      </c>
      <c r="G196">
        <v>464</v>
      </c>
      <c r="H196">
        <v>246</v>
      </c>
      <c r="I196">
        <v>11882</v>
      </c>
      <c r="J196">
        <v>11500</v>
      </c>
      <c r="K196">
        <v>282</v>
      </c>
      <c r="L196" s="1" t="s">
        <v>19</v>
      </c>
      <c r="M196" s="1" t="s">
        <v>25</v>
      </c>
      <c r="N196" s="1" t="s">
        <v>20</v>
      </c>
      <c r="O196" s="1" t="s">
        <v>37</v>
      </c>
      <c r="P196" s="5">
        <f>IFERROR(((Posts_Cleaned[[#This Row],[Likes]]+Posts_Cleaned[[#This Row],[Shares]]+Posts_Cleaned[[#This Row],[Comments]])/Posts_Cleaned[[#This Row],[Impressions]]),0)</f>
        <v>0.13667732704931829</v>
      </c>
      <c r="Q196" s="3" t="str">
        <f>_xlfn.TEXTJOIN(", ", TRUE, Posts_Cleaned[[#This Row],[Hashtags Used.1]], Posts_Cleaned[[#This Row],[Hashtags Used.2]], Posts_Cleaned[[#This Row],[Hashtags Used.3]])</f>
        <v>#FutureOfDriving, #TeslaCoInnovation, #AnytimeIsTeslaTime</v>
      </c>
      <c r="R196" s="2">
        <f>VLOOKUP(Posts_Cleaned[[#This Row],[Campaign_Name]],'Campaign Metadata Dataset '!$A$2:$B$5,2,0)</f>
        <v>45717</v>
      </c>
      <c r="S196" s="2">
        <f>VLOOKUP(Posts_Cleaned[[#This Row],[Campaign_Name]],'Campaign Metadata Dataset '!$A$1:$C$5,3,0)</f>
        <v>45747</v>
      </c>
      <c r="T196" s="1" t="str">
        <f t="shared" si="12"/>
        <v>Before Campaign</v>
      </c>
      <c r="U196" s="1">
        <f>SUM(Posts_Cleaned[[#This Row],[Likes]]+Posts_Cleaned[[#This Row],[Shares]]+Posts_Cleaned[[#This Row],[Comments]]+Posts_Cleaned[[#This Row],[Clicks]])</f>
        <v>1906</v>
      </c>
      <c r="V196" s="1">
        <f ca="1">AVERAGEIF(Posts_Cleaned[[#This Row],[Period]]:T:T,"Before Campaign",Posts_Cleaned[[#This Row],[Engagement Rate ]])</f>
        <v>0.1474575997291479</v>
      </c>
      <c r="W196" s="5">
        <f t="shared" ca="1" si="15"/>
        <v>9.9520575775038228E-2</v>
      </c>
      <c r="X196" s="6">
        <f ca="1">(Posts_Cleaned[[#This Row],[During ]]-Posts_Cleaned[[#This Row],[Before ]])/Posts_Cleaned[[#This Row],[During ]]</f>
        <v>-0.48167952788445634</v>
      </c>
      <c r="Y196" s="1">
        <f>IFERROR(VLOOKUP(O196, 'Campaign Metadata Dataset '!$A$1:$G$5,5,0),0)</f>
        <v>180000</v>
      </c>
      <c r="Z196" s="1">
        <f t="shared" si="13"/>
        <v>1.0588888888888889E-2</v>
      </c>
      <c r="AA196" s="1">
        <f t="shared" ca="1" si="14"/>
        <v>-0.48167952788445634</v>
      </c>
    </row>
    <row r="197" spans="1:27" x14ac:dyDescent="0.25">
      <c r="A197" t="s">
        <v>254</v>
      </c>
      <c r="B197" s="1" t="s">
        <v>33</v>
      </c>
      <c r="C197" s="2">
        <v>45645</v>
      </c>
      <c r="D197" s="1" t="s">
        <v>23</v>
      </c>
      <c r="E197" s="1" t="s">
        <v>82</v>
      </c>
      <c r="F197">
        <v>1813</v>
      </c>
      <c r="G197">
        <v>623</v>
      </c>
      <c r="H197">
        <v>72</v>
      </c>
      <c r="I197">
        <v>19943</v>
      </c>
      <c r="J197">
        <v>18959</v>
      </c>
      <c r="K197">
        <v>85</v>
      </c>
      <c r="L197" s="1" t="s">
        <v>36</v>
      </c>
      <c r="M197" s="1"/>
      <c r="N197" s="1"/>
      <c r="O197" s="1" t="s">
        <v>31</v>
      </c>
      <c r="P197" s="5">
        <f>IFERROR(((Posts_Cleaned[[#This Row],[Likes]]+Posts_Cleaned[[#This Row],[Shares]]+Posts_Cleaned[[#This Row],[Comments]])/Posts_Cleaned[[#This Row],[Impressions]]),0)</f>
        <v>0.12575841147269717</v>
      </c>
      <c r="Q197" s="3" t="str">
        <f>_xlfn.TEXTJOIN(", ", TRUE, Posts_Cleaned[[#This Row],[Hashtags Used.1]], Posts_Cleaned[[#This Row],[Hashtags Used.2]], Posts_Cleaned[[#This Row],[Hashtags Used.3]])</f>
        <v>#EVRevolution</v>
      </c>
      <c r="R197" s="2">
        <f>VLOOKUP(Posts_Cleaned[[#This Row],[Campaign_Name]],'Campaign Metadata Dataset '!$A$2:$B$5,2,0)</f>
        <v>45651</v>
      </c>
      <c r="S197" s="2">
        <f>VLOOKUP(Posts_Cleaned[[#This Row],[Campaign_Name]],'Campaign Metadata Dataset '!$A$1:$C$5,3,0)</f>
        <v>45667</v>
      </c>
      <c r="T197" s="1" t="str">
        <f t="shared" si="12"/>
        <v>Before Campaign</v>
      </c>
      <c r="U197" s="1">
        <f>SUM(Posts_Cleaned[[#This Row],[Likes]]+Posts_Cleaned[[#This Row],[Shares]]+Posts_Cleaned[[#This Row],[Comments]]+Posts_Cleaned[[#This Row],[Clicks]])</f>
        <v>2593</v>
      </c>
      <c r="V197" s="1">
        <f ca="1">AVERAGEIF(Posts_Cleaned[[#This Row],[Period]]:T:T,"Before Campaign",Posts_Cleaned[[#This Row],[Engagement Rate ]])</f>
        <v>0.15847334108860578</v>
      </c>
      <c r="W197" s="5">
        <f t="shared" ca="1" si="15"/>
        <v>0.10667256339062162</v>
      </c>
      <c r="X197" s="6">
        <f ca="1">(Posts_Cleaned[[#This Row],[During ]]-Posts_Cleaned[[#This Row],[Before ]])/Posts_Cleaned[[#This Row],[During ]]</f>
        <v>-0.48560544578174408</v>
      </c>
      <c r="Y197" s="1">
        <f>IFERROR(VLOOKUP(O197, 'Campaign Metadata Dataset '!$A$1:$G$5,5,0),0)</f>
        <v>250000</v>
      </c>
      <c r="Z197" s="1">
        <f t="shared" si="13"/>
        <v>1.0371999999999999E-2</v>
      </c>
      <c r="AA197" s="1">
        <f t="shared" ca="1" si="14"/>
        <v>-0.48560544578174408</v>
      </c>
    </row>
    <row r="198" spans="1:27" x14ac:dyDescent="0.25">
      <c r="A198" t="s">
        <v>255</v>
      </c>
      <c r="B198" s="1" t="s">
        <v>16</v>
      </c>
      <c r="C198" s="2">
        <v>45587</v>
      </c>
      <c r="D198" s="1" t="s">
        <v>17</v>
      </c>
      <c r="E198" s="1" t="s">
        <v>18</v>
      </c>
      <c r="F198">
        <v>4782</v>
      </c>
      <c r="G198">
        <v>721</v>
      </c>
      <c r="H198">
        <v>82</v>
      </c>
      <c r="I198">
        <v>86076</v>
      </c>
      <c r="J198">
        <v>85339</v>
      </c>
      <c r="K198">
        <v>19</v>
      </c>
      <c r="L198" s="1" t="s">
        <v>36</v>
      </c>
      <c r="M198" s="1"/>
      <c r="N198" s="1"/>
      <c r="O198" s="1" t="s">
        <v>21</v>
      </c>
      <c r="P198" s="5">
        <f>IFERROR(((Posts_Cleaned[[#This Row],[Likes]]+Posts_Cleaned[[#This Row],[Shares]]+Posts_Cleaned[[#This Row],[Comments]])/Posts_Cleaned[[#This Row],[Impressions]]),0)</f>
        <v>6.4884520656164318E-2</v>
      </c>
      <c r="Q198" s="3" t="str">
        <f>_xlfn.TEXTJOIN(", ", TRUE, Posts_Cleaned[[#This Row],[Hashtags Used.1]], Posts_Cleaned[[#This Row],[Hashtags Used.2]], Posts_Cleaned[[#This Row],[Hashtags Used.3]])</f>
        <v>#EVRevolution</v>
      </c>
      <c r="R198" s="2">
        <f>VLOOKUP(Posts_Cleaned[[#This Row],[Campaign_Name]],'Campaign Metadata Dataset '!$A$2:$B$5,2,0)</f>
        <v>45458</v>
      </c>
      <c r="S198" s="2">
        <f>VLOOKUP(Posts_Cleaned[[#This Row],[Campaign_Name]],'Campaign Metadata Dataset '!$A$1:$C$5,3,0)</f>
        <v>45488</v>
      </c>
      <c r="T198" s="1" t="str">
        <f t="shared" si="12"/>
        <v>Before Campaign</v>
      </c>
      <c r="U198" s="1">
        <f>SUM(Posts_Cleaned[[#This Row],[Likes]]+Posts_Cleaned[[#This Row],[Shares]]+Posts_Cleaned[[#This Row],[Comments]]+Posts_Cleaned[[#This Row],[Clicks]])</f>
        <v>5604</v>
      </c>
      <c r="V198" s="1">
        <f ca="1">AVERAGEIF(Posts_Cleaned[[#This Row],[Period]]:T:T,"Before Campaign",Posts_Cleaned[[#This Row],[Engagement Rate ]])</f>
        <v>0.16963864119278285</v>
      </c>
      <c r="W198" s="5">
        <f t="shared" ca="1" si="15"/>
        <v>0.16557537097728328</v>
      </c>
      <c r="X198" s="6">
        <f ca="1">(Posts_Cleaned[[#This Row],[During ]]-Posts_Cleaned[[#This Row],[Before ]])/Posts_Cleaned[[#This Row],[During ]]</f>
        <v>-2.4540305671771956E-2</v>
      </c>
      <c r="Y198" s="1">
        <f>IFERROR(VLOOKUP(O198, 'Campaign Metadata Dataset '!$A$1:$G$5,5,0),0)</f>
        <v>150000</v>
      </c>
      <c r="Z198" s="1">
        <f t="shared" si="13"/>
        <v>3.7359999999999997E-2</v>
      </c>
      <c r="AA198" s="1">
        <f t="shared" ca="1" si="14"/>
        <v>-2.4540305671771956E-2</v>
      </c>
    </row>
    <row r="199" spans="1:27" x14ac:dyDescent="0.25">
      <c r="A199" t="s">
        <v>256</v>
      </c>
      <c r="B199" s="1" t="s">
        <v>16</v>
      </c>
      <c r="C199" s="2">
        <v>45549</v>
      </c>
      <c r="D199" s="1" t="s">
        <v>46</v>
      </c>
      <c r="E199" s="1" t="s">
        <v>92</v>
      </c>
      <c r="F199">
        <v>1048</v>
      </c>
      <c r="G199">
        <v>374</v>
      </c>
      <c r="H199">
        <v>450</v>
      </c>
      <c r="I199">
        <v>9432</v>
      </c>
      <c r="J199">
        <v>8882</v>
      </c>
      <c r="K199">
        <v>158</v>
      </c>
      <c r="L199" s="1" t="s">
        <v>25</v>
      </c>
      <c r="M199" s="1"/>
      <c r="N199" s="1"/>
      <c r="O199" s="1" t="s">
        <v>31</v>
      </c>
      <c r="P199" s="5">
        <f>IFERROR(((Posts_Cleaned[[#This Row],[Likes]]+Posts_Cleaned[[#This Row],[Shares]]+Posts_Cleaned[[#This Row],[Comments]])/Posts_Cleaned[[#This Row],[Impressions]]),0)</f>
        <v>0.19847328244274809</v>
      </c>
      <c r="Q199" s="3" t="str">
        <f>_xlfn.TEXTJOIN(", ", TRUE, Posts_Cleaned[[#This Row],[Hashtags Used.1]], Posts_Cleaned[[#This Row],[Hashtags Used.2]], Posts_Cleaned[[#This Row],[Hashtags Used.3]])</f>
        <v>#TeslaCoInnovation</v>
      </c>
      <c r="R199" s="2">
        <f>VLOOKUP(Posts_Cleaned[[#This Row],[Campaign_Name]],'Campaign Metadata Dataset '!$A$2:$B$5,2,0)</f>
        <v>45651</v>
      </c>
      <c r="S199" s="2">
        <f>VLOOKUP(Posts_Cleaned[[#This Row],[Campaign_Name]],'Campaign Metadata Dataset '!$A$1:$C$5,3,0)</f>
        <v>45667</v>
      </c>
      <c r="T199" s="1" t="str">
        <f t="shared" si="12"/>
        <v>Before Campaign</v>
      </c>
      <c r="U199" s="1">
        <f>SUM(Posts_Cleaned[[#This Row],[Likes]]+Posts_Cleaned[[#This Row],[Shares]]+Posts_Cleaned[[#This Row],[Comments]]+Posts_Cleaned[[#This Row],[Clicks]])</f>
        <v>2030</v>
      </c>
      <c r="V199" s="1">
        <f ca="1">AVERAGEIF(Posts_Cleaned[[#This Row],[Period]]:T:T,"Before Campaign",Posts_Cleaned[[#This Row],[Engagement Rate ]])</f>
        <v>0.16634537780900743</v>
      </c>
      <c r="W199" s="5">
        <f t="shared" ca="1" si="15"/>
        <v>8.6499521014671621E-2</v>
      </c>
      <c r="X199" s="6">
        <f ca="1">(Posts_Cleaned[[#This Row],[During ]]-Posts_Cleaned[[#This Row],[Before ]])/Posts_Cleaned[[#This Row],[During ]]</f>
        <v>-0.9230786004097381</v>
      </c>
      <c r="Y199" s="1">
        <f>IFERROR(VLOOKUP(O199, 'Campaign Metadata Dataset '!$A$1:$G$5,5,0),0)</f>
        <v>250000</v>
      </c>
      <c r="Z199" s="1">
        <f t="shared" si="13"/>
        <v>8.1200000000000005E-3</v>
      </c>
      <c r="AA199" s="1">
        <f t="shared" ca="1" si="14"/>
        <v>-0.9230786004097381</v>
      </c>
    </row>
    <row r="200" spans="1:27" x14ac:dyDescent="0.25">
      <c r="A200" t="s">
        <v>257</v>
      </c>
      <c r="B200" s="1" t="s">
        <v>29</v>
      </c>
      <c r="C200" s="2">
        <v>45626</v>
      </c>
      <c r="D200" s="1" t="s">
        <v>41</v>
      </c>
      <c r="E200" s="1" t="s">
        <v>56</v>
      </c>
      <c r="F200">
        <v>2509</v>
      </c>
      <c r="G200">
        <v>324</v>
      </c>
      <c r="H200">
        <v>171</v>
      </c>
      <c r="I200">
        <v>35126</v>
      </c>
      <c r="J200">
        <v>34685</v>
      </c>
      <c r="K200">
        <v>277</v>
      </c>
      <c r="L200" s="1" t="s">
        <v>25</v>
      </c>
      <c r="M200" s="1"/>
      <c r="N200" s="1"/>
      <c r="O200" s="1" t="s">
        <v>27</v>
      </c>
      <c r="P200" s="5">
        <f>IFERROR(((Posts_Cleaned[[#This Row],[Likes]]+Posts_Cleaned[[#This Row],[Shares]]+Posts_Cleaned[[#This Row],[Comments]])/Posts_Cleaned[[#This Row],[Impressions]]),0)</f>
        <v>8.5520696919660646E-2</v>
      </c>
      <c r="Q200" s="3" t="str">
        <f>_xlfn.TEXTJOIN(", ", TRUE, Posts_Cleaned[[#This Row],[Hashtags Used.1]], Posts_Cleaned[[#This Row],[Hashtags Used.2]], Posts_Cleaned[[#This Row],[Hashtags Used.3]])</f>
        <v>#TeslaCoInnovation</v>
      </c>
      <c r="R200" s="2">
        <f>VLOOKUP(Posts_Cleaned[[#This Row],[Campaign_Name]],'Campaign Metadata Dataset '!$A$2:$B$5,2,0)</f>
        <v>45566</v>
      </c>
      <c r="S200" s="2">
        <f>VLOOKUP(Posts_Cleaned[[#This Row],[Campaign_Name]],'Campaign Metadata Dataset '!$A$1:$C$5,3,0)</f>
        <v>45596</v>
      </c>
      <c r="T200" s="1" t="str">
        <f t="shared" si="12"/>
        <v>Before Campaign</v>
      </c>
      <c r="U200" s="1">
        <f>SUM(Posts_Cleaned[[#This Row],[Likes]]+Posts_Cleaned[[#This Row],[Shares]]+Posts_Cleaned[[#This Row],[Comments]]+Posts_Cleaned[[#This Row],[Clicks]])</f>
        <v>3281</v>
      </c>
      <c r="V200" s="1">
        <f ca="1">AVERAGEIF(Posts_Cleaned[[#This Row],[Period]]:T:T,"Before Campaign",Posts_Cleaned[[#This Row],[Engagement Rate ]])</f>
        <v>0.16145558301511084</v>
      </c>
      <c r="W200" s="5">
        <f t="shared" ca="1" si="15"/>
        <v>0.17909951457954845</v>
      </c>
      <c r="X200" s="6">
        <f ca="1">(Posts_Cleaned[[#This Row],[During ]]-Posts_Cleaned[[#This Row],[Before ]])/Posts_Cleaned[[#This Row],[During ]]</f>
        <v>9.851468110261638E-2</v>
      </c>
      <c r="Y200" s="1">
        <f>IFERROR(VLOOKUP(O200, 'Campaign Metadata Dataset '!$A$1:$G$5,5,0),0)</f>
        <v>200000</v>
      </c>
      <c r="Z200" s="1">
        <f t="shared" si="13"/>
        <v>1.6404999999999999E-2</v>
      </c>
      <c r="AA200" s="1">
        <f t="shared" ca="1" si="14"/>
        <v>9.851468110261638E-2</v>
      </c>
    </row>
    <row r="201" spans="1:27" x14ac:dyDescent="0.25">
      <c r="A201" t="s">
        <v>258</v>
      </c>
      <c r="B201" s="1" t="s">
        <v>40</v>
      </c>
      <c r="C201" s="2">
        <v>45754</v>
      </c>
      <c r="D201" s="1" t="s">
        <v>17</v>
      </c>
      <c r="E201" s="1" t="s">
        <v>54</v>
      </c>
      <c r="F201">
        <v>3718</v>
      </c>
      <c r="G201">
        <v>385</v>
      </c>
      <c r="H201">
        <v>310</v>
      </c>
      <c r="I201">
        <v>70642</v>
      </c>
      <c r="J201">
        <v>69749</v>
      </c>
      <c r="K201">
        <v>233</v>
      </c>
      <c r="L201" s="1" t="s">
        <v>25</v>
      </c>
      <c r="M201" s="1"/>
      <c r="N201" s="1"/>
      <c r="O201" s="1" t="s">
        <v>27</v>
      </c>
      <c r="P201" s="5">
        <f>IFERROR(((Posts_Cleaned[[#This Row],[Likes]]+Posts_Cleaned[[#This Row],[Shares]]+Posts_Cleaned[[#This Row],[Comments]])/Posts_Cleaned[[#This Row],[Impressions]]),0)</f>
        <v>6.246991874522239E-2</v>
      </c>
      <c r="Q201" s="3" t="str">
        <f>_xlfn.TEXTJOIN(", ", TRUE, Posts_Cleaned[[#This Row],[Hashtags Used.1]], Posts_Cleaned[[#This Row],[Hashtags Used.2]], Posts_Cleaned[[#This Row],[Hashtags Used.3]])</f>
        <v>#TeslaCoInnovation</v>
      </c>
      <c r="R201" s="2">
        <f>VLOOKUP(Posts_Cleaned[[#This Row],[Campaign_Name]],'Campaign Metadata Dataset '!$A$2:$B$5,2,0)</f>
        <v>45566</v>
      </c>
      <c r="S201" s="2">
        <f>VLOOKUP(Posts_Cleaned[[#This Row],[Campaign_Name]],'Campaign Metadata Dataset '!$A$1:$C$5,3,0)</f>
        <v>45596</v>
      </c>
      <c r="T201" s="1" t="str">
        <f t="shared" si="12"/>
        <v>Before Campaign</v>
      </c>
      <c r="U201" s="1">
        <f>SUM(Posts_Cleaned[[#This Row],[Likes]]+Posts_Cleaned[[#This Row],[Shares]]+Posts_Cleaned[[#This Row],[Comments]]+Posts_Cleaned[[#This Row],[Clicks]])</f>
        <v>4646</v>
      </c>
      <c r="V201" s="1">
        <f ca="1">AVERAGEIF(Posts_Cleaned[[#This Row],[Period]]:T:T,"Before Campaign",Posts_Cleaned[[#This Row],[Engagement Rate ]])</f>
        <v>0.17039852742169248</v>
      </c>
      <c r="W201" s="5">
        <f t="shared" ca="1" si="15"/>
        <v>0.14940284974050516</v>
      </c>
      <c r="X201" s="6">
        <f ca="1">(Posts_Cleaned[[#This Row],[During ]]-Posts_Cleaned[[#This Row],[Before ]])/Posts_Cleaned[[#This Row],[During ]]</f>
        <v>-0.14053063725125922</v>
      </c>
      <c r="Y201" s="1">
        <f>IFERROR(VLOOKUP(O201, 'Campaign Metadata Dataset '!$A$1:$G$5,5,0),0)</f>
        <v>200000</v>
      </c>
      <c r="Z201" s="1">
        <f t="shared" si="13"/>
        <v>2.3230000000000001E-2</v>
      </c>
      <c r="AA201" s="1">
        <f t="shared" ca="1" si="14"/>
        <v>-0.14053063725125922</v>
      </c>
    </row>
    <row r="202" spans="1:27" x14ac:dyDescent="0.25">
      <c r="A202" t="s">
        <v>259</v>
      </c>
      <c r="B202" s="1" t="s">
        <v>16</v>
      </c>
      <c r="C202" s="2">
        <v>45672</v>
      </c>
      <c r="D202" s="1" t="s">
        <v>17</v>
      </c>
      <c r="E202" s="1" t="s">
        <v>18</v>
      </c>
      <c r="F202">
        <v>802</v>
      </c>
      <c r="G202">
        <v>262</v>
      </c>
      <c r="H202">
        <v>244</v>
      </c>
      <c r="I202">
        <v>14436</v>
      </c>
      <c r="J202">
        <v>14280</v>
      </c>
      <c r="K202">
        <v>49</v>
      </c>
      <c r="L202" s="1" t="s">
        <v>36</v>
      </c>
      <c r="M202" s="1"/>
      <c r="N202" s="1"/>
      <c r="O202" s="1" t="s">
        <v>21</v>
      </c>
      <c r="P202" s="5">
        <f>IFERROR(((Posts_Cleaned[[#This Row],[Likes]]+Posts_Cleaned[[#This Row],[Shares]]+Posts_Cleaned[[#This Row],[Comments]])/Posts_Cleaned[[#This Row],[Impressions]]),0)</f>
        <v>9.0606816292601824E-2</v>
      </c>
      <c r="Q202" s="3" t="str">
        <f>_xlfn.TEXTJOIN(", ", TRUE, Posts_Cleaned[[#This Row],[Hashtags Used.1]], Posts_Cleaned[[#This Row],[Hashtags Used.2]], Posts_Cleaned[[#This Row],[Hashtags Used.3]])</f>
        <v>#EVRevolution</v>
      </c>
      <c r="R202" s="2">
        <f>VLOOKUP(Posts_Cleaned[[#This Row],[Campaign_Name]],'Campaign Metadata Dataset '!$A$2:$B$5,2,0)</f>
        <v>45458</v>
      </c>
      <c r="S202" s="2">
        <f>VLOOKUP(Posts_Cleaned[[#This Row],[Campaign_Name]],'Campaign Metadata Dataset '!$A$1:$C$5,3,0)</f>
        <v>45488</v>
      </c>
      <c r="T202" s="1" t="str">
        <f t="shared" si="12"/>
        <v>Before Campaign</v>
      </c>
      <c r="U202" s="1">
        <f>SUM(Posts_Cleaned[[#This Row],[Likes]]+Posts_Cleaned[[#This Row],[Shares]]+Posts_Cleaned[[#This Row],[Comments]]+Posts_Cleaned[[#This Row],[Clicks]])</f>
        <v>1357</v>
      </c>
      <c r="V202" s="1">
        <f ca="1">AVERAGEIF(Posts_Cleaned[[#This Row],[Period]]:T:T,"Before Campaign",Posts_Cleaned[[#This Row],[Engagement Rate ]])</f>
        <v>0.17475883449934707</v>
      </c>
      <c r="W202" s="5">
        <f t="shared" ca="1" si="15"/>
        <v>9.8499649181551949E-2</v>
      </c>
      <c r="X202" s="6">
        <f ca="1">(Posts_Cleaned[[#This Row],[During ]]-Posts_Cleaned[[#This Row],[Before ]])/Posts_Cleaned[[#This Row],[During ]]</f>
        <v>-0.77420768450896915</v>
      </c>
      <c r="Y202" s="1">
        <f>IFERROR(VLOOKUP(O202, 'Campaign Metadata Dataset '!$A$1:$G$5,5,0),0)</f>
        <v>150000</v>
      </c>
      <c r="Z202" s="1">
        <f t="shared" si="13"/>
        <v>9.0466666666666664E-3</v>
      </c>
      <c r="AA202" s="1">
        <f t="shared" ca="1" si="14"/>
        <v>-0.77420768450896915</v>
      </c>
    </row>
    <row r="203" spans="1:27" x14ac:dyDescent="0.25">
      <c r="A203" t="s">
        <v>260</v>
      </c>
      <c r="B203" s="1" t="s">
        <v>40</v>
      </c>
      <c r="C203" s="2">
        <v>45445</v>
      </c>
      <c r="D203" s="1" t="s">
        <v>46</v>
      </c>
      <c r="E203" s="1" t="s">
        <v>51</v>
      </c>
      <c r="F203">
        <v>1871</v>
      </c>
      <c r="G203">
        <v>252</v>
      </c>
      <c r="H203">
        <v>335</v>
      </c>
      <c r="I203">
        <v>29936</v>
      </c>
      <c r="J203">
        <v>29576</v>
      </c>
      <c r="K203">
        <v>288</v>
      </c>
      <c r="L203" s="1" t="s">
        <v>36</v>
      </c>
      <c r="M203" s="1"/>
      <c r="N203" s="1"/>
      <c r="O203" s="1" t="s">
        <v>31</v>
      </c>
      <c r="P203" s="5">
        <f>IFERROR(((Posts_Cleaned[[#This Row],[Likes]]+Posts_Cleaned[[#This Row],[Shares]]+Posts_Cleaned[[#This Row],[Comments]])/Posts_Cleaned[[#This Row],[Impressions]]),0)</f>
        <v>8.2108498129342594E-2</v>
      </c>
      <c r="Q203" s="3" t="str">
        <f>_xlfn.TEXTJOIN(", ", TRUE, Posts_Cleaned[[#This Row],[Hashtags Used.1]], Posts_Cleaned[[#This Row],[Hashtags Used.2]], Posts_Cleaned[[#This Row],[Hashtags Used.3]])</f>
        <v>#EVRevolution</v>
      </c>
      <c r="R203" s="2">
        <f>VLOOKUP(Posts_Cleaned[[#This Row],[Campaign_Name]],'Campaign Metadata Dataset '!$A$2:$B$5,2,0)</f>
        <v>45651</v>
      </c>
      <c r="S203" s="2">
        <f>VLOOKUP(Posts_Cleaned[[#This Row],[Campaign_Name]],'Campaign Metadata Dataset '!$A$1:$C$5,3,0)</f>
        <v>45667</v>
      </c>
      <c r="T203" s="1" t="str">
        <f t="shared" si="12"/>
        <v>Before Campaign</v>
      </c>
      <c r="U203" s="1">
        <f>SUM(Posts_Cleaned[[#This Row],[Likes]]+Posts_Cleaned[[#This Row],[Shares]]+Posts_Cleaned[[#This Row],[Comments]]+Posts_Cleaned[[#This Row],[Clicks]])</f>
        <v>2746</v>
      </c>
      <c r="V203" s="1">
        <f ca="1">AVERAGEIF(Posts_Cleaned[[#This Row],[Period]]:T:T,"Before Campaign",Posts_Cleaned[[#This Row],[Engagement Rate ]])</f>
        <v>0.17342696990379949</v>
      </c>
      <c r="W203" s="5">
        <f t="shared" ca="1" si="15"/>
        <v>0.13630988893003365</v>
      </c>
      <c r="X203" s="6">
        <f ca="1">(Posts_Cleaned[[#This Row],[During ]]-Posts_Cleaned[[#This Row],[Before ]])/Posts_Cleaned[[#This Row],[During ]]</f>
        <v>-0.27229925330522153</v>
      </c>
      <c r="Y203" s="1">
        <f>IFERROR(VLOOKUP(O203, 'Campaign Metadata Dataset '!$A$1:$G$5,5,0),0)</f>
        <v>250000</v>
      </c>
      <c r="Z203" s="1">
        <f t="shared" si="13"/>
        <v>1.0984000000000001E-2</v>
      </c>
      <c r="AA203" s="1">
        <f t="shared" ca="1" si="14"/>
        <v>-0.27229925330522153</v>
      </c>
    </row>
    <row r="204" spans="1:27" x14ac:dyDescent="0.25">
      <c r="A204" t="s">
        <v>261</v>
      </c>
      <c r="B204" s="1" t="s">
        <v>33</v>
      </c>
      <c r="C204" s="2">
        <v>45617</v>
      </c>
      <c r="D204" s="1" t="s">
        <v>41</v>
      </c>
      <c r="E204" s="1" t="s">
        <v>69</v>
      </c>
      <c r="F204">
        <v>3773</v>
      </c>
      <c r="G204">
        <v>299</v>
      </c>
      <c r="H204">
        <v>38</v>
      </c>
      <c r="I204">
        <v>71687</v>
      </c>
      <c r="J204">
        <v>71447</v>
      </c>
      <c r="K204">
        <v>286</v>
      </c>
      <c r="L204" s="1" t="s">
        <v>19</v>
      </c>
      <c r="M204" s="1"/>
      <c r="N204" s="1"/>
      <c r="O204" s="1" t="s">
        <v>21</v>
      </c>
      <c r="P204" s="5">
        <f>IFERROR(((Posts_Cleaned[[#This Row],[Likes]]+Posts_Cleaned[[#This Row],[Shares]]+Posts_Cleaned[[#This Row],[Comments]])/Posts_Cleaned[[#This Row],[Impressions]]),0)</f>
        <v>5.7332570758993957E-2</v>
      </c>
      <c r="Q204" s="3" t="str">
        <f>_xlfn.TEXTJOIN(", ", TRUE, Posts_Cleaned[[#This Row],[Hashtags Used.1]], Posts_Cleaned[[#This Row],[Hashtags Used.2]], Posts_Cleaned[[#This Row],[Hashtags Used.3]])</f>
        <v>#FutureOfDriving</v>
      </c>
      <c r="R204" s="2">
        <f>VLOOKUP(Posts_Cleaned[[#This Row],[Campaign_Name]],'Campaign Metadata Dataset '!$A$2:$B$5,2,0)</f>
        <v>45458</v>
      </c>
      <c r="S204" s="2">
        <f>VLOOKUP(Posts_Cleaned[[#This Row],[Campaign_Name]],'Campaign Metadata Dataset '!$A$1:$C$5,3,0)</f>
        <v>45488</v>
      </c>
      <c r="T204" s="1" t="str">
        <f t="shared" si="12"/>
        <v>Before Campaign</v>
      </c>
      <c r="U204" s="1">
        <f>SUM(Posts_Cleaned[[#This Row],[Likes]]+Posts_Cleaned[[#This Row],[Shares]]+Posts_Cleaned[[#This Row],[Comments]]+Posts_Cleaned[[#This Row],[Clicks]])</f>
        <v>4396</v>
      </c>
      <c r="V204" s="1">
        <f ca="1">AVERAGEIF(Posts_Cleaned[[#This Row],[Period]]:T:T,"Before Campaign",Posts_Cleaned[[#This Row],[Engagement Rate ]])</f>
        <v>0.18152636113425957</v>
      </c>
      <c r="W204" s="5">
        <f t="shared" ca="1" si="15"/>
        <v>0.11097329059155449</v>
      </c>
      <c r="X204" s="6">
        <f ca="1">(Posts_Cleaned[[#This Row],[During ]]-Posts_Cleaned[[#This Row],[Before ]])/Posts_Cleaned[[#This Row],[During ]]</f>
        <v>-0.63576622957303253</v>
      </c>
      <c r="Y204" s="1">
        <f>IFERROR(VLOOKUP(O204, 'Campaign Metadata Dataset '!$A$1:$G$5,5,0),0)</f>
        <v>150000</v>
      </c>
      <c r="Z204" s="1">
        <f t="shared" si="13"/>
        <v>2.9306666666666668E-2</v>
      </c>
      <c r="AA204" s="1">
        <f t="shared" ca="1" si="14"/>
        <v>-0.63576622957303253</v>
      </c>
    </row>
    <row r="205" spans="1:27" x14ac:dyDescent="0.25">
      <c r="A205" t="s">
        <v>262</v>
      </c>
      <c r="B205" s="1" t="s">
        <v>33</v>
      </c>
      <c r="C205" s="2">
        <v>45658</v>
      </c>
      <c r="D205" s="1" t="s">
        <v>41</v>
      </c>
      <c r="E205" s="1" t="s">
        <v>69</v>
      </c>
      <c r="F205">
        <v>2234</v>
      </c>
      <c r="G205">
        <v>653</v>
      </c>
      <c r="H205">
        <v>432</v>
      </c>
      <c r="I205">
        <v>11170</v>
      </c>
      <c r="J205">
        <v>10569</v>
      </c>
      <c r="K205">
        <v>198</v>
      </c>
      <c r="L205" s="1" t="s">
        <v>19</v>
      </c>
      <c r="M205" s="1"/>
      <c r="N205" s="1"/>
      <c r="O205" s="1" t="s">
        <v>31</v>
      </c>
      <c r="P205" s="5">
        <f>IFERROR(((Posts_Cleaned[[#This Row],[Likes]]+Posts_Cleaned[[#This Row],[Shares]]+Posts_Cleaned[[#This Row],[Comments]])/Posts_Cleaned[[#This Row],[Impressions]]),0)</f>
        <v>0.29713518352730528</v>
      </c>
      <c r="Q205" s="3" t="str">
        <f>_xlfn.TEXTJOIN(", ", TRUE, Posts_Cleaned[[#This Row],[Hashtags Used.1]], Posts_Cleaned[[#This Row],[Hashtags Used.2]], Posts_Cleaned[[#This Row],[Hashtags Used.3]])</f>
        <v>#FutureOfDriving</v>
      </c>
      <c r="R205" s="2">
        <f>VLOOKUP(Posts_Cleaned[[#This Row],[Campaign_Name]],'Campaign Metadata Dataset '!$A$2:$B$5,2,0)</f>
        <v>45651</v>
      </c>
      <c r="S205" s="2">
        <f>VLOOKUP(Posts_Cleaned[[#This Row],[Campaign_Name]],'Campaign Metadata Dataset '!$A$1:$C$5,3,0)</f>
        <v>45667</v>
      </c>
      <c r="T205" s="1" t="str">
        <f t="shared" si="12"/>
        <v>During Campaign</v>
      </c>
      <c r="U205" s="1">
        <f>SUM(Posts_Cleaned[[#This Row],[Likes]]+Posts_Cleaned[[#This Row],[Shares]]+Posts_Cleaned[[#This Row],[Comments]]+Posts_Cleaned[[#This Row],[Clicks]])</f>
        <v>3517</v>
      </c>
      <c r="V205" s="1">
        <f ca="1">AVERAGEIF(Posts_Cleaned[[#This Row],[Period]]:T:T,"Before Campaign",Posts_Cleaned[[#This Row],[Engagement Rate ]])</f>
        <v>0.15624987819229372</v>
      </c>
      <c r="W205" s="5">
        <f t="shared" ca="1" si="15"/>
        <v>0.12862509969572913</v>
      </c>
      <c r="X205" s="6">
        <f ca="1">(Posts_Cleaned[[#This Row],[During ]]-Posts_Cleaned[[#This Row],[Before ]])/Posts_Cleaned[[#This Row],[During ]]</f>
        <v>-0.21476973438242425</v>
      </c>
      <c r="Y205" s="1">
        <f>IFERROR(VLOOKUP(O205, 'Campaign Metadata Dataset '!$A$1:$G$5,5,0),0)</f>
        <v>250000</v>
      </c>
      <c r="Z205" s="1">
        <f t="shared" si="13"/>
        <v>1.4068000000000001E-2</v>
      </c>
      <c r="AA205" s="1">
        <f t="shared" ca="1" si="14"/>
        <v>-0.21476973438242425</v>
      </c>
    </row>
    <row r="206" spans="1:27" x14ac:dyDescent="0.25">
      <c r="A206" t="s">
        <v>263</v>
      </c>
      <c r="B206" s="1" t="s">
        <v>16</v>
      </c>
      <c r="C206" s="2">
        <v>45771</v>
      </c>
      <c r="D206" s="1" t="s">
        <v>60</v>
      </c>
      <c r="E206" s="1" t="s">
        <v>99</v>
      </c>
      <c r="F206">
        <v>3820</v>
      </c>
      <c r="G206">
        <v>697</v>
      </c>
      <c r="H206">
        <v>268</v>
      </c>
      <c r="I206">
        <v>45840</v>
      </c>
      <c r="J206">
        <v>45631</v>
      </c>
      <c r="K206">
        <v>171</v>
      </c>
      <c r="L206" s="1" t="s">
        <v>25</v>
      </c>
      <c r="M206" s="1" t="s">
        <v>198</v>
      </c>
      <c r="N206" s="1"/>
      <c r="O206" s="1" t="s">
        <v>37</v>
      </c>
      <c r="P206" s="5">
        <f>IFERROR(((Posts_Cleaned[[#This Row],[Likes]]+Posts_Cleaned[[#This Row],[Shares]]+Posts_Cleaned[[#This Row],[Comments]])/Posts_Cleaned[[#This Row],[Impressions]]),0)</f>
        <v>0.1043848167539267</v>
      </c>
      <c r="Q206" s="3" t="str">
        <f>_xlfn.TEXTJOIN(", ", TRUE, Posts_Cleaned[[#This Row],[Hashtags Used.1]], Posts_Cleaned[[#This Row],[Hashtags Used.2]], Posts_Cleaned[[#This Row],[Hashtags Used.3]])</f>
        <v>#TeslaCoInnovation, #SmoothLikeNitroTesla</v>
      </c>
      <c r="R206" s="2">
        <f>VLOOKUP(Posts_Cleaned[[#This Row],[Campaign_Name]],'Campaign Metadata Dataset '!$A$2:$B$5,2,0)</f>
        <v>45717</v>
      </c>
      <c r="S206" s="2">
        <f>VLOOKUP(Posts_Cleaned[[#This Row],[Campaign_Name]],'Campaign Metadata Dataset '!$A$1:$C$5,3,0)</f>
        <v>45747</v>
      </c>
      <c r="T206" s="1" t="str">
        <f t="shared" si="12"/>
        <v>Before Campaign</v>
      </c>
      <c r="U206" s="1">
        <f>SUM(Posts_Cleaned[[#This Row],[Likes]]+Posts_Cleaned[[#This Row],[Shares]]+Posts_Cleaned[[#This Row],[Comments]]+Posts_Cleaned[[#This Row],[Clicks]])</f>
        <v>4956</v>
      </c>
      <c r="V206" s="1">
        <f ca="1">AVERAGEIF(Posts_Cleaned[[#This Row],[Period]]:T:T,"Before Campaign",Posts_Cleaned[[#This Row],[Engagement Rate ]])</f>
        <v>0.16577576192954613</v>
      </c>
      <c r="W206" s="5">
        <f t="shared" ca="1" si="15"/>
        <v>0.26992602869920262</v>
      </c>
      <c r="X206" s="6">
        <f ca="1">(Posts_Cleaned[[#This Row],[During ]]-Posts_Cleaned[[#This Row],[Before ]])/Posts_Cleaned[[#This Row],[During ]]</f>
        <v>0.3858474385429439</v>
      </c>
      <c r="Y206" s="1">
        <f>IFERROR(VLOOKUP(O206, 'Campaign Metadata Dataset '!$A$1:$G$5,5,0),0)</f>
        <v>180000</v>
      </c>
      <c r="Z206" s="1">
        <f t="shared" si="13"/>
        <v>2.7533333333333333E-2</v>
      </c>
      <c r="AA206" s="1">
        <f t="shared" ca="1" si="14"/>
        <v>0.3858474385429439</v>
      </c>
    </row>
    <row r="207" spans="1:27" x14ac:dyDescent="0.25">
      <c r="A207" t="s">
        <v>264</v>
      </c>
      <c r="B207" s="1" t="s">
        <v>16</v>
      </c>
      <c r="C207" s="2">
        <v>45467</v>
      </c>
      <c r="D207" s="1" t="s">
        <v>23</v>
      </c>
      <c r="E207" s="1" t="s">
        <v>24</v>
      </c>
      <c r="F207">
        <v>941</v>
      </c>
      <c r="G207">
        <v>121</v>
      </c>
      <c r="H207">
        <v>458</v>
      </c>
      <c r="I207">
        <v>14115</v>
      </c>
      <c r="J207">
        <v>13838</v>
      </c>
      <c r="K207">
        <v>87</v>
      </c>
      <c r="L207" s="1" t="s">
        <v>36</v>
      </c>
      <c r="M207" s="1"/>
      <c r="N207" s="1"/>
      <c r="O207" s="1" t="s">
        <v>21</v>
      </c>
      <c r="P207" s="5">
        <f>IFERROR(((Posts_Cleaned[[#This Row],[Likes]]+Posts_Cleaned[[#This Row],[Shares]]+Posts_Cleaned[[#This Row],[Comments]])/Posts_Cleaned[[#This Row],[Impressions]]),0)</f>
        <v>0.10768685795253277</v>
      </c>
      <c r="Q207" s="3" t="str">
        <f>_xlfn.TEXTJOIN(", ", TRUE, Posts_Cleaned[[#This Row],[Hashtags Used.1]], Posts_Cleaned[[#This Row],[Hashtags Used.2]], Posts_Cleaned[[#This Row],[Hashtags Used.3]])</f>
        <v>#EVRevolution</v>
      </c>
      <c r="R207" s="2">
        <f>VLOOKUP(Posts_Cleaned[[#This Row],[Campaign_Name]],'Campaign Metadata Dataset '!$A$2:$B$5,2,0)</f>
        <v>45458</v>
      </c>
      <c r="S207" s="2">
        <f>VLOOKUP(Posts_Cleaned[[#This Row],[Campaign_Name]],'Campaign Metadata Dataset '!$A$1:$C$5,3,0)</f>
        <v>45488</v>
      </c>
      <c r="T207" s="1" t="str">
        <f t="shared" si="12"/>
        <v>During Campaign</v>
      </c>
      <c r="U207" s="1">
        <f>SUM(Posts_Cleaned[[#This Row],[Likes]]+Posts_Cleaned[[#This Row],[Shares]]+Posts_Cleaned[[#This Row],[Comments]]+Posts_Cleaned[[#This Row],[Clicks]])</f>
        <v>1607</v>
      </c>
      <c r="V207" s="1">
        <f ca="1">AVERAGEIF(Posts_Cleaned[[#This Row],[Period]]:T:T,"Before Campaign",Posts_Cleaned[[#This Row],[Engagement Rate ]])</f>
        <v>0.14589014640551859</v>
      </c>
      <c r="W207" s="5">
        <f t="shared" ca="1" si="15"/>
        <v>0.18248726684213382</v>
      </c>
      <c r="X207" s="6">
        <f ca="1">(Posts_Cleaned[[#This Row],[During ]]-Posts_Cleaned[[#This Row],[Before ]])/Posts_Cleaned[[#This Row],[During ]]</f>
        <v>0.20054615902749359</v>
      </c>
      <c r="Y207" s="1">
        <f>IFERROR(VLOOKUP(O207, 'Campaign Metadata Dataset '!$A$1:$G$5,5,0),0)</f>
        <v>150000</v>
      </c>
      <c r="Z207" s="1">
        <f t="shared" si="13"/>
        <v>1.0713333333333333E-2</v>
      </c>
      <c r="AA207" s="1">
        <f t="shared" ca="1" si="14"/>
        <v>0.20054615902749359</v>
      </c>
    </row>
    <row r="208" spans="1:27" x14ac:dyDescent="0.25">
      <c r="A208" t="s">
        <v>265</v>
      </c>
      <c r="B208" s="1" t="s">
        <v>16</v>
      </c>
      <c r="C208" s="2">
        <v>45655</v>
      </c>
      <c r="D208" s="1" t="s">
        <v>41</v>
      </c>
      <c r="E208" s="1" t="s">
        <v>44</v>
      </c>
      <c r="F208">
        <v>4274</v>
      </c>
      <c r="G208">
        <v>340</v>
      </c>
      <c r="H208">
        <v>281</v>
      </c>
      <c r="I208">
        <v>34192</v>
      </c>
      <c r="J208">
        <v>33446</v>
      </c>
      <c r="K208">
        <v>129</v>
      </c>
      <c r="L208" s="1" t="s">
        <v>25</v>
      </c>
      <c r="M208" s="1" t="s">
        <v>198</v>
      </c>
      <c r="N208" s="1"/>
      <c r="O208" s="1" t="s">
        <v>31</v>
      </c>
      <c r="P208" s="5">
        <f>IFERROR(((Posts_Cleaned[[#This Row],[Likes]]+Posts_Cleaned[[#This Row],[Shares]]+Posts_Cleaned[[#This Row],[Comments]])/Posts_Cleaned[[#This Row],[Impressions]]),0)</f>
        <v>0.14316214319138981</v>
      </c>
      <c r="Q208" s="3" t="str">
        <f>_xlfn.TEXTJOIN(", ", TRUE, Posts_Cleaned[[#This Row],[Hashtags Used.1]], Posts_Cleaned[[#This Row],[Hashtags Used.2]], Posts_Cleaned[[#This Row],[Hashtags Used.3]])</f>
        <v>#TeslaCoInnovation, #SmoothLikeNitroTesla</v>
      </c>
      <c r="R208" s="2">
        <f>VLOOKUP(Posts_Cleaned[[#This Row],[Campaign_Name]],'Campaign Metadata Dataset '!$A$2:$B$5,2,0)</f>
        <v>45651</v>
      </c>
      <c r="S208" s="2">
        <f>VLOOKUP(Posts_Cleaned[[#This Row],[Campaign_Name]],'Campaign Metadata Dataset '!$A$1:$C$5,3,0)</f>
        <v>45667</v>
      </c>
      <c r="T208" s="1" t="str">
        <f t="shared" si="12"/>
        <v>During Campaign</v>
      </c>
      <c r="U208" s="1">
        <f>SUM(Posts_Cleaned[[#This Row],[Likes]]+Posts_Cleaned[[#This Row],[Shares]]+Posts_Cleaned[[#This Row],[Comments]]+Posts_Cleaned[[#This Row],[Clicks]])</f>
        <v>5024</v>
      </c>
      <c r="V208" s="1">
        <f ca="1">AVERAGEIF(Posts_Cleaned[[#This Row],[Period]]:T:T,"Before Campaign",Posts_Cleaned[[#This Row],[Engagement Rate ]])</f>
        <v>0.16598010694674453</v>
      </c>
      <c r="W208" s="5">
        <f t="shared" ca="1" si="15"/>
        <v>0.1599470461706862</v>
      </c>
      <c r="X208" s="6">
        <f ca="1">(Posts_Cleaned[[#This Row],[During ]]-Posts_Cleaned[[#This Row],[Before ]])/Posts_Cleaned[[#This Row],[During ]]</f>
        <v>-3.7719113422202265E-2</v>
      </c>
      <c r="Y208" s="1">
        <f>IFERROR(VLOOKUP(O208, 'Campaign Metadata Dataset '!$A$1:$G$5,5,0),0)</f>
        <v>250000</v>
      </c>
      <c r="Z208" s="1">
        <f t="shared" si="13"/>
        <v>2.0095999999999999E-2</v>
      </c>
      <c r="AA208" s="1">
        <f t="shared" ca="1" si="14"/>
        <v>-3.7719113422202265E-2</v>
      </c>
    </row>
    <row r="209" spans="1:27" x14ac:dyDescent="0.25">
      <c r="A209" t="s">
        <v>266</v>
      </c>
      <c r="B209" s="1" t="s">
        <v>29</v>
      </c>
      <c r="C209" s="2">
        <v>45467</v>
      </c>
      <c r="D209" s="1" t="s">
        <v>60</v>
      </c>
      <c r="E209" s="1" t="s">
        <v>140</v>
      </c>
      <c r="F209">
        <v>2949</v>
      </c>
      <c r="G209">
        <v>476</v>
      </c>
      <c r="H209">
        <v>403</v>
      </c>
      <c r="I209">
        <v>44235</v>
      </c>
      <c r="J209">
        <v>43705</v>
      </c>
      <c r="K209">
        <v>135</v>
      </c>
      <c r="L209" s="1" t="s">
        <v>25</v>
      </c>
      <c r="M209" s="1"/>
      <c r="N209" s="1"/>
      <c r="O209" s="1" t="s">
        <v>27</v>
      </c>
      <c r="P209" s="5">
        <f>IFERROR(((Posts_Cleaned[[#This Row],[Likes]]+Posts_Cleaned[[#This Row],[Shares]]+Posts_Cleaned[[#This Row],[Comments]])/Posts_Cleaned[[#This Row],[Impressions]]),0)</f>
        <v>8.6537809426924378E-2</v>
      </c>
      <c r="Q209" s="3" t="str">
        <f>_xlfn.TEXTJOIN(", ", TRUE, Posts_Cleaned[[#This Row],[Hashtags Used.1]], Posts_Cleaned[[#This Row],[Hashtags Used.2]], Posts_Cleaned[[#This Row],[Hashtags Used.3]])</f>
        <v>#TeslaCoInnovation</v>
      </c>
      <c r="R209" s="2">
        <f>VLOOKUP(Posts_Cleaned[[#This Row],[Campaign_Name]],'Campaign Metadata Dataset '!$A$2:$B$5,2,0)</f>
        <v>45566</v>
      </c>
      <c r="S209" s="2">
        <f>VLOOKUP(Posts_Cleaned[[#This Row],[Campaign_Name]],'Campaign Metadata Dataset '!$A$1:$C$5,3,0)</f>
        <v>45596</v>
      </c>
      <c r="T209" s="1" t="str">
        <f t="shared" si="12"/>
        <v>Before Campaign</v>
      </c>
      <c r="U209" s="1">
        <f>SUM(Posts_Cleaned[[#This Row],[Likes]]+Posts_Cleaned[[#This Row],[Shares]]+Posts_Cleaned[[#This Row],[Comments]]+Posts_Cleaned[[#This Row],[Clicks]])</f>
        <v>3963</v>
      </c>
      <c r="V209" s="1">
        <f ca="1">AVERAGEIF(Posts_Cleaned[[#This Row],[Period]]:T:T,"Before Campaign",Posts_Cleaned[[#This Row],[Engagement Rate ]])</f>
        <v>0.17684440171665539</v>
      </c>
      <c r="W209" s="5">
        <f t="shared" ca="1" si="15"/>
        <v>0.13843715187046665</v>
      </c>
      <c r="X209" s="6">
        <f ca="1">(Posts_Cleaned[[#This Row],[During ]]-Posts_Cleaned[[#This Row],[Before ]])/Posts_Cleaned[[#This Row],[During ]]</f>
        <v>-0.27743455660028143</v>
      </c>
      <c r="Y209" s="1">
        <f>IFERROR(VLOOKUP(O209, 'Campaign Metadata Dataset '!$A$1:$G$5,5,0),0)</f>
        <v>200000</v>
      </c>
      <c r="Z209" s="1">
        <f t="shared" si="13"/>
        <v>1.9814999999999999E-2</v>
      </c>
      <c r="AA209" s="1">
        <f t="shared" ca="1" si="14"/>
        <v>-0.27743455660028143</v>
      </c>
    </row>
    <row r="210" spans="1:27" x14ac:dyDescent="0.25">
      <c r="A210" t="s">
        <v>267</v>
      </c>
      <c r="B210" s="1" t="s">
        <v>16</v>
      </c>
      <c r="C210" s="2">
        <v>45735</v>
      </c>
      <c r="D210" s="1" t="s">
        <v>60</v>
      </c>
      <c r="E210" s="1" t="s">
        <v>99</v>
      </c>
      <c r="F210">
        <v>3160</v>
      </c>
      <c r="G210">
        <v>204</v>
      </c>
      <c r="H210">
        <v>297</v>
      </c>
      <c r="I210">
        <v>44240</v>
      </c>
      <c r="J210">
        <v>43666</v>
      </c>
      <c r="K210">
        <v>49</v>
      </c>
      <c r="L210" s="1" t="s">
        <v>19</v>
      </c>
      <c r="M210" s="1" t="s">
        <v>20</v>
      </c>
      <c r="N210" s="1"/>
      <c r="O210" s="1" t="s">
        <v>37</v>
      </c>
      <c r="P210" s="5">
        <f>IFERROR(((Posts_Cleaned[[#This Row],[Likes]]+Posts_Cleaned[[#This Row],[Shares]]+Posts_Cleaned[[#This Row],[Comments]])/Posts_Cleaned[[#This Row],[Impressions]]),0)</f>
        <v>8.2753164556962022E-2</v>
      </c>
      <c r="Q210" s="3" t="str">
        <f>_xlfn.TEXTJOIN(", ", TRUE, Posts_Cleaned[[#This Row],[Hashtags Used.1]], Posts_Cleaned[[#This Row],[Hashtags Used.2]], Posts_Cleaned[[#This Row],[Hashtags Used.3]])</f>
        <v>#FutureOfDriving, #AnytimeIsTeslaTime</v>
      </c>
      <c r="R210" s="2">
        <f>VLOOKUP(Posts_Cleaned[[#This Row],[Campaign_Name]],'Campaign Metadata Dataset '!$A$2:$B$5,2,0)</f>
        <v>45717</v>
      </c>
      <c r="S210" s="2">
        <f>VLOOKUP(Posts_Cleaned[[#This Row],[Campaign_Name]],'Campaign Metadata Dataset '!$A$1:$C$5,3,0)</f>
        <v>45747</v>
      </c>
      <c r="T210" s="1" t="str">
        <f t="shared" si="12"/>
        <v>During Campaign</v>
      </c>
      <c r="U210" s="1">
        <f>SUM(Posts_Cleaned[[#This Row],[Likes]]+Posts_Cleaned[[#This Row],[Shares]]+Posts_Cleaned[[#This Row],[Comments]]+Posts_Cleaned[[#This Row],[Clicks]])</f>
        <v>3710</v>
      </c>
      <c r="V210" s="1">
        <f ca="1">AVERAGEIF(Posts_Cleaned[[#This Row],[Period]]:T:T,"Before Campaign",Posts_Cleaned[[#This Row],[Engagement Rate ]])</f>
        <v>0.18328719029536797</v>
      </c>
      <c r="W210" s="5">
        <f t="shared" ca="1" si="15"/>
        <v>0.19736613063830261</v>
      </c>
      <c r="X210" s="6">
        <f ca="1">(Posts_Cleaned[[#This Row],[During ]]-Posts_Cleaned[[#This Row],[Before ]])/Posts_Cleaned[[#This Row],[During ]]</f>
        <v>7.1334125553365615E-2</v>
      </c>
      <c r="Y210" s="1">
        <f>IFERROR(VLOOKUP(O210, 'Campaign Metadata Dataset '!$A$1:$G$5,5,0),0)</f>
        <v>180000</v>
      </c>
      <c r="Z210" s="1">
        <f t="shared" si="13"/>
        <v>2.0611111111111111E-2</v>
      </c>
      <c r="AA210" s="1">
        <f t="shared" ca="1" si="14"/>
        <v>7.1334125553365615E-2</v>
      </c>
    </row>
    <row r="211" spans="1:27" x14ac:dyDescent="0.25">
      <c r="A211" t="s">
        <v>268</v>
      </c>
      <c r="B211" s="1" t="s">
        <v>29</v>
      </c>
      <c r="C211" s="2">
        <v>45707</v>
      </c>
      <c r="D211" s="1" t="s">
        <v>46</v>
      </c>
      <c r="E211" s="1" t="s">
        <v>47</v>
      </c>
      <c r="F211">
        <v>257</v>
      </c>
      <c r="G211">
        <v>966</v>
      </c>
      <c r="H211">
        <v>398</v>
      </c>
      <c r="I211">
        <v>3341</v>
      </c>
      <c r="J211">
        <v>2753</v>
      </c>
      <c r="K211">
        <v>287</v>
      </c>
      <c r="L211" s="1" t="s">
        <v>19</v>
      </c>
      <c r="M211" s="1"/>
      <c r="N211" s="1"/>
      <c r="O211" s="1" t="s">
        <v>21</v>
      </c>
      <c r="P211" s="5">
        <f>IFERROR(((Posts_Cleaned[[#This Row],[Likes]]+Posts_Cleaned[[#This Row],[Shares]]+Posts_Cleaned[[#This Row],[Comments]])/Posts_Cleaned[[#This Row],[Impressions]]),0)</f>
        <v>0.48518407662376534</v>
      </c>
      <c r="Q211" s="3" t="str">
        <f>_xlfn.TEXTJOIN(", ", TRUE, Posts_Cleaned[[#This Row],[Hashtags Used.1]], Posts_Cleaned[[#This Row],[Hashtags Used.2]], Posts_Cleaned[[#This Row],[Hashtags Used.3]])</f>
        <v>#FutureOfDriving</v>
      </c>
      <c r="R211" s="2">
        <f>VLOOKUP(Posts_Cleaned[[#This Row],[Campaign_Name]],'Campaign Metadata Dataset '!$A$2:$B$5,2,0)</f>
        <v>45458</v>
      </c>
      <c r="S211" s="2">
        <f>VLOOKUP(Posts_Cleaned[[#This Row],[Campaign_Name]],'Campaign Metadata Dataset '!$A$1:$C$5,3,0)</f>
        <v>45488</v>
      </c>
      <c r="T211" s="1" t="str">
        <f t="shared" si="12"/>
        <v>Before Campaign</v>
      </c>
      <c r="U211" s="1">
        <f>SUM(Posts_Cleaned[[#This Row],[Likes]]+Posts_Cleaned[[#This Row],[Shares]]+Posts_Cleaned[[#This Row],[Comments]]+Posts_Cleaned[[#This Row],[Clicks]])</f>
        <v>1908</v>
      </c>
      <c r="V211" s="1">
        <f ca="1">AVERAGEIF(Posts_Cleaned[[#This Row],[Period]]:T:T,"Before Campaign",Posts_Cleaned[[#This Row],[Engagement Rate ]])</f>
        <v>0.17483947488133067</v>
      </c>
      <c r="W211" s="5">
        <f t="shared" ca="1" si="15"/>
        <v>0.11876530041014544</v>
      </c>
      <c r="X211" s="6">
        <f ca="1">(Posts_Cleaned[[#This Row],[During ]]-Posts_Cleaned[[#This Row],[Before ]])/Posts_Cleaned[[#This Row],[During ]]</f>
        <v>-0.47214274099874326</v>
      </c>
      <c r="Y211" s="1">
        <f>IFERROR(VLOOKUP(O211, 'Campaign Metadata Dataset '!$A$1:$G$5,5,0),0)</f>
        <v>150000</v>
      </c>
      <c r="Z211" s="1">
        <f t="shared" si="13"/>
        <v>1.272E-2</v>
      </c>
      <c r="AA211" s="1">
        <f t="shared" ca="1" si="14"/>
        <v>-0.47214274099874326</v>
      </c>
    </row>
    <row r="212" spans="1:27" x14ac:dyDescent="0.25">
      <c r="A212" t="s">
        <v>269</v>
      </c>
      <c r="B212" s="1" t="s">
        <v>16</v>
      </c>
      <c r="C212" s="2">
        <v>45491</v>
      </c>
      <c r="D212" s="1" t="s">
        <v>41</v>
      </c>
      <c r="E212" s="1" t="s">
        <v>44</v>
      </c>
      <c r="F212">
        <v>2120</v>
      </c>
      <c r="G212">
        <v>38</v>
      </c>
      <c r="H212">
        <v>212</v>
      </c>
      <c r="I212">
        <v>12720</v>
      </c>
      <c r="J212">
        <v>12564</v>
      </c>
      <c r="K212">
        <v>21</v>
      </c>
      <c r="L212" s="1" t="s">
        <v>19</v>
      </c>
      <c r="M212" s="1"/>
      <c r="N212" s="1"/>
      <c r="O212" s="1" t="s">
        <v>37</v>
      </c>
      <c r="P212" s="5">
        <f>IFERROR(((Posts_Cleaned[[#This Row],[Likes]]+Posts_Cleaned[[#This Row],[Shares]]+Posts_Cleaned[[#This Row],[Comments]])/Posts_Cleaned[[#This Row],[Impressions]]),0)</f>
        <v>0.18632075471698112</v>
      </c>
      <c r="Q212" s="3" t="str">
        <f>_xlfn.TEXTJOIN(", ", TRUE, Posts_Cleaned[[#This Row],[Hashtags Used.1]], Posts_Cleaned[[#This Row],[Hashtags Used.2]], Posts_Cleaned[[#This Row],[Hashtags Used.3]])</f>
        <v>#FutureOfDriving</v>
      </c>
      <c r="R212" s="2">
        <f>VLOOKUP(Posts_Cleaned[[#This Row],[Campaign_Name]],'Campaign Metadata Dataset '!$A$2:$B$5,2,0)</f>
        <v>45717</v>
      </c>
      <c r="S212" s="2">
        <f>VLOOKUP(Posts_Cleaned[[#This Row],[Campaign_Name]],'Campaign Metadata Dataset '!$A$1:$C$5,3,0)</f>
        <v>45747</v>
      </c>
      <c r="T212" s="1" t="str">
        <f t="shared" si="12"/>
        <v>Before Campaign</v>
      </c>
      <c r="U212" s="1">
        <f>SUM(Posts_Cleaned[[#This Row],[Likes]]+Posts_Cleaned[[#This Row],[Shares]]+Posts_Cleaned[[#This Row],[Comments]]+Posts_Cleaned[[#This Row],[Clicks]])</f>
        <v>2391</v>
      </c>
      <c r="V212" s="1">
        <f ca="1">AVERAGEIF(Posts_Cleaned[[#This Row],[Period]]:T:T,"Before Campaign",Posts_Cleaned[[#This Row],[Engagement Rate ]])</f>
        <v>0.17202103783578743</v>
      </c>
      <c r="W212" s="5">
        <f t="shared" ca="1" si="15"/>
        <v>6.6485309831204487E-2</v>
      </c>
      <c r="X212" s="6">
        <f ca="1">(Posts_Cleaned[[#This Row],[During ]]-Posts_Cleaned[[#This Row],[Before ]])/Posts_Cleaned[[#This Row],[During ]]</f>
        <v>-1.5873540827668726</v>
      </c>
      <c r="Y212" s="1">
        <f>IFERROR(VLOOKUP(O212, 'Campaign Metadata Dataset '!$A$1:$G$5,5,0),0)</f>
        <v>180000</v>
      </c>
      <c r="Z212" s="1">
        <f t="shared" si="13"/>
        <v>1.3283333333333333E-2</v>
      </c>
      <c r="AA212" s="1">
        <f t="shared" ca="1" si="14"/>
        <v>-1.5873540827668726</v>
      </c>
    </row>
    <row r="213" spans="1:27" x14ac:dyDescent="0.25">
      <c r="A213" t="s">
        <v>270</v>
      </c>
      <c r="B213" s="1" t="s">
        <v>29</v>
      </c>
      <c r="C213" s="2">
        <v>45719</v>
      </c>
      <c r="D213" s="1" t="s">
        <v>60</v>
      </c>
      <c r="E213" s="1" t="s">
        <v>140</v>
      </c>
      <c r="F213">
        <v>3874</v>
      </c>
      <c r="G213">
        <v>884</v>
      </c>
      <c r="H213">
        <v>19</v>
      </c>
      <c r="I213">
        <v>38740</v>
      </c>
      <c r="J213">
        <v>38552</v>
      </c>
      <c r="K213">
        <v>219</v>
      </c>
      <c r="L213" s="1" t="s">
        <v>25</v>
      </c>
      <c r="M213" s="1"/>
      <c r="N213" s="1"/>
      <c r="O213" s="1" t="s">
        <v>27</v>
      </c>
      <c r="P213" s="5">
        <f>IFERROR(((Posts_Cleaned[[#This Row],[Likes]]+Posts_Cleaned[[#This Row],[Shares]]+Posts_Cleaned[[#This Row],[Comments]])/Posts_Cleaned[[#This Row],[Impressions]]),0)</f>
        <v>0.123309241094476</v>
      </c>
      <c r="Q213" s="3" t="str">
        <f>_xlfn.TEXTJOIN(", ", TRUE, Posts_Cleaned[[#This Row],[Hashtags Used.1]], Posts_Cleaned[[#This Row],[Hashtags Used.2]], Posts_Cleaned[[#This Row],[Hashtags Used.3]])</f>
        <v>#TeslaCoInnovation</v>
      </c>
      <c r="R213" s="2">
        <f>VLOOKUP(Posts_Cleaned[[#This Row],[Campaign_Name]],'Campaign Metadata Dataset '!$A$2:$B$5,2,0)</f>
        <v>45566</v>
      </c>
      <c r="S213" s="2">
        <f>VLOOKUP(Posts_Cleaned[[#This Row],[Campaign_Name]],'Campaign Metadata Dataset '!$A$1:$C$5,3,0)</f>
        <v>45596</v>
      </c>
      <c r="T213" s="1" t="str">
        <f t="shared" si="12"/>
        <v>Before Campaign</v>
      </c>
      <c r="U213" s="1">
        <f>SUM(Posts_Cleaned[[#This Row],[Likes]]+Posts_Cleaned[[#This Row],[Shares]]+Posts_Cleaned[[#This Row],[Comments]]+Posts_Cleaned[[#This Row],[Clicks]])</f>
        <v>4996</v>
      </c>
      <c r="V213" s="1">
        <f ca="1">AVERAGEIF(Posts_Cleaned[[#This Row],[Period]]:T:T,"Before Campaign",Posts_Cleaned[[#This Row],[Engagement Rate ]])</f>
        <v>0.17413367685954148</v>
      </c>
      <c r="W213" s="5">
        <f t="shared" ca="1" si="15"/>
        <v>0.12154476299349526</v>
      </c>
      <c r="X213" s="6">
        <f ca="1">(Posts_Cleaned[[#This Row],[During ]]-Posts_Cleaned[[#This Row],[Before ]])/Posts_Cleaned[[#This Row],[During ]]</f>
        <v>-0.43267116221914587</v>
      </c>
      <c r="Y213" s="1">
        <f>IFERROR(VLOOKUP(O213, 'Campaign Metadata Dataset '!$A$1:$G$5,5,0),0)</f>
        <v>200000</v>
      </c>
      <c r="Z213" s="1">
        <f t="shared" si="13"/>
        <v>2.4979999999999999E-2</v>
      </c>
      <c r="AA213" s="1">
        <f t="shared" ca="1" si="14"/>
        <v>-0.43267116221914587</v>
      </c>
    </row>
    <row r="214" spans="1:27" x14ac:dyDescent="0.25">
      <c r="A214" t="s">
        <v>271</v>
      </c>
      <c r="B214" s="1" t="s">
        <v>40</v>
      </c>
      <c r="C214" s="2">
        <v>45778</v>
      </c>
      <c r="D214" s="1" t="s">
        <v>41</v>
      </c>
      <c r="E214" s="1" t="s">
        <v>42</v>
      </c>
      <c r="F214">
        <v>2696</v>
      </c>
      <c r="G214">
        <v>628</v>
      </c>
      <c r="H214">
        <v>443</v>
      </c>
      <c r="I214">
        <v>45832</v>
      </c>
      <c r="J214">
        <v>45632</v>
      </c>
      <c r="K214">
        <v>248</v>
      </c>
      <c r="L214" s="1" t="s">
        <v>36</v>
      </c>
      <c r="M214" s="1"/>
      <c r="N214" s="1"/>
      <c r="O214" s="1" t="s">
        <v>37</v>
      </c>
      <c r="P214" s="5">
        <f>IFERROR(((Posts_Cleaned[[#This Row],[Likes]]+Posts_Cleaned[[#This Row],[Shares]]+Posts_Cleaned[[#This Row],[Comments]])/Posts_Cleaned[[#This Row],[Impressions]]),0)</f>
        <v>8.21914819340199E-2</v>
      </c>
      <c r="Q214" s="3" t="str">
        <f>_xlfn.TEXTJOIN(", ", TRUE, Posts_Cleaned[[#This Row],[Hashtags Used.1]], Posts_Cleaned[[#This Row],[Hashtags Used.2]], Posts_Cleaned[[#This Row],[Hashtags Used.3]])</f>
        <v>#EVRevolution</v>
      </c>
      <c r="R214" s="2">
        <f>VLOOKUP(Posts_Cleaned[[#This Row],[Campaign_Name]],'Campaign Metadata Dataset '!$A$2:$B$5,2,0)</f>
        <v>45717</v>
      </c>
      <c r="S214" s="2">
        <f>VLOOKUP(Posts_Cleaned[[#This Row],[Campaign_Name]],'Campaign Metadata Dataset '!$A$1:$C$5,3,0)</f>
        <v>45747</v>
      </c>
      <c r="T214" s="1" t="str">
        <f t="shared" si="12"/>
        <v>Before Campaign</v>
      </c>
      <c r="U214" s="1">
        <f>SUM(Posts_Cleaned[[#This Row],[Likes]]+Posts_Cleaned[[#This Row],[Shares]]+Posts_Cleaned[[#This Row],[Comments]]+Posts_Cleaned[[#This Row],[Clicks]])</f>
        <v>4015</v>
      </c>
      <c r="V214" s="1">
        <f ca="1">AVERAGEIF(Posts_Cleaned[[#This Row],[Period]]:T:T,"Before Campaign",Posts_Cleaned[[#This Row],[Engagement Rate ]])</f>
        <v>0.18128714366871443</v>
      </c>
      <c r="W214" s="5">
        <f t="shared" ca="1" si="15"/>
        <v>0.10890508192920684</v>
      </c>
      <c r="X214" s="6">
        <f ca="1">(Posts_Cleaned[[#This Row],[During ]]-Posts_Cleaned[[#This Row],[Before ]])/Posts_Cleaned[[#This Row],[During ]]</f>
        <v>-0.66463438121794138</v>
      </c>
      <c r="Y214" s="1">
        <f>IFERROR(VLOOKUP(O214, 'Campaign Metadata Dataset '!$A$1:$G$5,5,0),0)</f>
        <v>180000</v>
      </c>
      <c r="Z214" s="1">
        <f t="shared" si="13"/>
        <v>2.2305555555555554E-2</v>
      </c>
      <c r="AA214" s="1">
        <f t="shared" ca="1" si="14"/>
        <v>-0.66463438121794138</v>
      </c>
    </row>
    <row r="215" spans="1:27" x14ac:dyDescent="0.25">
      <c r="A215" t="s">
        <v>272</v>
      </c>
      <c r="B215" s="1" t="s">
        <v>33</v>
      </c>
      <c r="C215" s="2">
        <v>45649</v>
      </c>
      <c r="D215" s="1" t="s">
        <v>46</v>
      </c>
      <c r="E215" s="1" t="s">
        <v>138</v>
      </c>
      <c r="F215">
        <v>521</v>
      </c>
      <c r="G215">
        <v>746</v>
      </c>
      <c r="H215">
        <v>315</v>
      </c>
      <c r="I215">
        <v>4168</v>
      </c>
      <c r="J215">
        <v>3399</v>
      </c>
      <c r="K215">
        <v>282</v>
      </c>
      <c r="L215" s="1" t="s">
        <v>19</v>
      </c>
      <c r="M215" s="1"/>
      <c r="N215" s="1"/>
      <c r="O215" s="1" t="s">
        <v>27</v>
      </c>
      <c r="P215" s="5">
        <f>IFERROR(((Posts_Cleaned[[#This Row],[Likes]]+Posts_Cleaned[[#This Row],[Shares]]+Posts_Cleaned[[#This Row],[Comments]])/Posts_Cleaned[[#This Row],[Impressions]]),0)</f>
        <v>0.37955854126679461</v>
      </c>
      <c r="Q215" s="3" t="str">
        <f>_xlfn.TEXTJOIN(", ", TRUE, Posts_Cleaned[[#This Row],[Hashtags Used.1]], Posts_Cleaned[[#This Row],[Hashtags Used.2]], Posts_Cleaned[[#This Row],[Hashtags Used.3]])</f>
        <v>#FutureOfDriving</v>
      </c>
      <c r="R215" s="2">
        <f>VLOOKUP(Posts_Cleaned[[#This Row],[Campaign_Name]],'Campaign Metadata Dataset '!$A$2:$B$5,2,0)</f>
        <v>45566</v>
      </c>
      <c r="S215" s="2">
        <f>VLOOKUP(Posts_Cleaned[[#This Row],[Campaign_Name]],'Campaign Metadata Dataset '!$A$1:$C$5,3,0)</f>
        <v>45596</v>
      </c>
      <c r="T215" s="1" t="str">
        <f t="shared" si="12"/>
        <v>Before Campaign</v>
      </c>
      <c r="U215" s="1">
        <f>SUM(Posts_Cleaned[[#This Row],[Likes]]+Posts_Cleaned[[#This Row],[Shares]]+Posts_Cleaned[[#This Row],[Comments]]+Posts_Cleaned[[#This Row],[Clicks]])</f>
        <v>1864</v>
      </c>
      <c r="V215" s="1">
        <f ca="1">AVERAGEIF(Posts_Cleaned[[#This Row],[Period]]:T:T,"Before Campaign",Posts_Cleaned[[#This Row],[Engagement Rate ]])</f>
        <v>0.14394278901427343</v>
      </c>
      <c r="W215" s="5">
        <f t="shared" ca="1" si="15"/>
        <v>0.16104505425851093</v>
      </c>
      <c r="X215" s="6">
        <f ca="1">(Posts_Cleaned[[#This Row],[During ]]-Posts_Cleaned[[#This Row],[Before ]])/Posts_Cleaned[[#This Row],[During ]]</f>
        <v>0.10619553219426901</v>
      </c>
      <c r="Y215" s="1">
        <f>IFERROR(VLOOKUP(O215, 'Campaign Metadata Dataset '!$A$1:$G$5,5,0),0)</f>
        <v>200000</v>
      </c>
      <c r="Z215" s="1">
        <f t="shared" si="13"/>
        <v>9.3200000000000002E-3</v>
      </c>
      <c r="AA215" s="1">
        <f t="shared" ca="1" si="14"/>
        <v>0.10619553219426901</v>
      </c>
    </row>
    <row r="216" spans="1:27" x14ac:dyDescent="0.25">
      <c r="A216" t="s">
        <v>273</v>
      </c>
      <c r="B216" s="1" t="s">
        <v>40</v>
      </c>
      <c r="C216" s="2">
        <v>45783</v>
      </c>
      <c r="D216" s="1" t="s">
        <v>46</v>
      </c>
      <c r="E216" s="1" t="s">
        <v>51</v>
      </c>
      <c r="F216">
        <v>4872</v>
      </c>
      <c r="G216">
        <v>925</v>
      </c>
      <c r="H216">
        <v>176</v>
      </c>
      <c r="I216">
        <v>82824</v>
      </c>
      <c r="J216">
        <v>82543</v>
      </c>
      <c r="K216">
        <v>89</v>
      </c>
      <c r="L216" s="1" t="s">
        <v>36</v>
      </c>
      <c r="M216" s="1"/>
      <c r="N216" s="1"/>
      <c r="O216" s="1" t="s">
        <v>27</v>
      </c>
      <c r="P216" s="5">
        <f>IFERROR(((Posts_Cleaned[[#This Row],[Likes]]+Posts_Cleaned[[#This Row],[Shares]]+Posts_Cleaned[[#This Row],[Comments]])/Posts_Cleaned[[#This Row],[Impressions]]),0)</f>
        <v>7.2116777745580993E-2</v>
      </c>
      <c r="Q216" s="3" t="str">
        <f>_xlfn.TEXTJOIN(", ", TRUE, Posts_Cleaned[[#This Row],[Hashtags Used.1]], Posts_Cleaned[[#This Row],[Hashtags Used.2]], Posts_Cleaned[[#This Row],[Hashtags Used.3]])</f>
        <v>#EVRevolution</v>
      </c>
      <c r="R216" s="2">
        <f>VLOOKUP(Posts_Cleaned[[#This Row],[Campaign_Name]],'Campaign Metadata Dataset '!$A$2:$B$5,2,0)</f>
        <v>45566</v>
      </c>
      <c r="S216" s="2">
        <f>VLOOKUP(Posts_Cleaned[[#This Row],[Campaign_Name]],'Campaign Metadata Dataset '!$A$1:$C$5,3,0)</f>
        <v>45596</v>
      </c>
      <c r="T216" s="1" t="str">
        <f t="shared" si="12"/>
        <v>Before Campaign</v>
      </c>
      <c r="U216" s="1">
        <f>SUM(Posts_Cleaned[[#This Row],[Likes]]+Posts_Cleaned[[#This Row],[Shares]]+Posts_Cleaned[[#This Row],[Comments]]+Posts_Cleaned[[#This Row],[Clicks]])</f>
        <v>6062</v>
      </c>
      <c r="V216" s="1">
        <f ca="1">AVERAGEIF(Posts_Cleaned[[#This Row],[Period]]:T:T,"Before Campaign",Posts_Cleaned[[#This Row],[Engagement Rate ]])</f>
        <v>0.14968403327414928</v>
      </c>
      <c r="W216" s="5">
        <f t="shared" ca="1" si="15"/>
        <v>0.43878248997001484</v>
      </c>
      <c r="X216" s="6">
        <f ca="1">(Posts_Cleaned[[#This Row],[During ]]-Posts_Cleaned[[#This Row],[Before ]])/Posts_Cleaned[[#This Row],[During ]]</f>
        <v>0.65886507165685149</v>
      </c>
      <c r="Y216" s="1">
        <f>IFERROR(VLOOKUP(O216, 'Campaign Metadata Dataset '!$A$1:$G$5,5,0),0)</f>
        <v>200000</v>
      </c>
      <c r="Z216" s="1">
        <f t="shared" si="13"/>
        <v>3.031E-2</v>
      </c>
      <c r="AA216" s="1">
        <f t="shared" ca="1" si="14"/>
        <v>0.65886507165685149</v>
      </c>
    </row>
    <row r="217" spans="1:27" x14ac:dyDescent="0.25">
      <c r="A217" t="s">
        <v>274</v>
      </c>
      <c r="B217" s="1" t="s">
        <v>29</v>
      </c>
      <c r="C217" s="2">
        <v>45502</v>
      </c>
      <c r="D217" s="1" t="s">
        <v>34</v>
      </c>
      <c r="E217" s="1" t="s">
        <v>105</v>
      </c>
      <c r="F217">
        <v>1509</v>
      </c>
      <c r="G217">
        <v>88</v>
      </c>
      <c r="H217">
        <v>163</v>
      </c>
      <c r="I217">
        <v>30180</v>
      </c>
      <c r="J217">
        <v>29689</v>
      </c>
      <c r="K217">
        <v>119</v>
      </c>
      <c r="L217" s="1" t="s">
        <v>36</v>
      </c>
      <c r="M217" s="1"/>
      <c r="N217" s="1"/>
      <c r="O217" s="1" t="s">
        <v>27</v>
      </c>
      <c r="P217" s="5">
        <f>IFERROR(((Posts_Cleaned[[#This Row],[Likes]]+Posts_Cleaned[[#This Row],[Shares]]+Posts_Cleaned[[#This Row],[Comments]])/Posts_Cleaned[[#This Row],[Impressions]]),0)</f>
        <v>5.8316766070245198E-2</v>
      </c>
      <c r="Q217" s="3" t="str">
        <f>_xlfn.TEXTJOIN(", ", TRUE, Posts_Cleaned[[#This Row],[Hashtags Used.1]], Posts_Cleaned[[#This Row],[Hashtags Used.2]], Posts_Cleaned[[#This Row],[Hashtags Used.3]])</f>
        <v>#EVRevolution</v>
      </c>
      <c r="R217" s="2">
        <f>VLOOKUP(Posts_Cleaned[[#This Row],[Campaign_Name]],'Campaign Metadata Dataset '!$A$2:$B$5,2,0)</f>
        <v>45566</v>
      </c>
      <c r="S217" s="2">
        <f>VLOOKUP(Posts_Cleaned[[#This Row],[Campaign_Name]],'Campaign Metadata Dataset '!$A$1:$C$5,3,0)</f>
        <v>45596</v>
      </c>
      <c r="T217" s="1" t="str">
        <f t="shared" si="12"/>
        <v>Before Campaign</v>
      </c>
      <c r="U217" s="1">
        <f>SUM(Posts_Cleaned[[#This Row],[Likes]]+Posts_Cleaned[[#This Row],[Shares]]+Posts_Cleaned[[#This Row],[Comments]]+Posts_Cleaned[[#This Row],[Clicks]])</f>
        <v>1879</v>
      </c>
      <c r="V217" s="1">
        <f ca="1">AVERAGEIF(Posts_Cleaned[[#This Row],[Period]]:T:T,"Before Campaign",Posts_Cleaned[[#This Row],[Engagement Rate ]])</f>
        <v>0.16433446186530148</v>
      </c>
      <c r="W217" s="5">
        <f t="shared" ca="1" si="15"/>
        <v>0.40503371618131978</v>
      </c>
      <c r="X217" s="6">
        <f ca="1">(Posts_Cleaned[[#This Row],[During ]]-Posts_Cleaned[[#This Row],[Before ]])/Posts_Cleaned[[#This Row],[During ]]</f>
        <v>0.59426967360975314</v>
      </c>
      <c r="Y217" s="1">
        <f>IFERROR(VLOOKUP(O217, 'Campaign Metadata Dataset '!$A$1:$G$5,5,0),0)</f>
        <v>200000</v>
      </c>
      <c r="Z217" s="1">
        <f t="shared" si="13"/>
        <v>9.3950000000000006E-3</v>
      </c>
      <c r="AA217" s="1">
        <f t="shared" ca="1" si="14"/>
        <v>0.59426967360975314</v>
      </c>
    </row>
    <row r="218" spans="1:27" x14ac:dyDescent="0.25">
      <c r="A218" t="s">
        <v>275</v>
      </c>
      <c r="B218" s="1" t="s">
        <v>40</v>
      </c>
      <c r="C218" s="2">
        <v>45629</v>
      </c>
      <c r="D218" s="1" t="s">
        <v>46</v>
      </c>
      <c r="E218" s="1" t="s">
        <v>51</v>
      </c>
      <c r="F218">
        <v>4606</v>
      </c>
      <c r="G218">
        <v>931</v>
      </c>
      <c r="H218">
        <v>230</v>
      </c>
      <c r="I218">
        <v>92120</v>
      </c>
      <c r="J218">
        <v>91440</v>
      </c>
      <c r="K218">
        <v>56</v>
      </c>
      <c r="L218" s="1" t="s">
        <v>25</v>
      </c>
      <c r="M218" s="1"/>
      <c r="N218" s="1"/>
      <c r="O218" s="1"/>
      <c r="P218" s="5">
        <f>IFERROR(((Posts_Cleaned[[#This Row],[Likes]]+Posts_Cleaned[[#This Row],[Shares]]+Posts_Cleaned[[#This Row],[Comments]])/Posts_Cleaned[[#This Row],[Impressions]]),0)</f>
        <v>6.2603126356925748E-2</v>
      </c>
      <c r="Q218" s="3" t="str">
        <f>_xlfn.TEXTJOIN(", ", TRUE, Posts_Cleaned[[#This Row],[Hashtags Used.1]], Posts_Cleaned[[#This Row],[Hashtags Used.2]], Posts_Cleaned[[#This Row],[Hashtags Used.3]])</f>
        <v>#TeslaCoInnovation</v>
      </c>
      <c r="R218" s="2" t="e">
        <f>VLOOKUP(Posts_Cleaned[[#This Row],[Campaign_Name]],'Campaign Metadata Dataset '!$A$2:$B$5,2,0)</f>
        <v>#N/A</v>
      </c>
      <c r="S218" s="2" t="e">
        <f>VLOOKUP(Posts_Cleaned[[#This Row],[Campaign_Name]],'Campaign Metadata Dataset '!$A$1:$C$5,3,0)</f>
        <v>#N/A</v>
      </c>
      <c r="T218" s="1" t="e">
        <f t="shared" si="12"/>
        <v>#N/A</v>
      </c>
      <c r="U218" s="1">
        <f>SUM(Posts_Cleaned[[#This Row],[Likes]]+Posts_Cleaned[[#This Row],[Shares]]+Posts_Cleaned[[#This Row],[Comments]]+Posts_Cleaned[[#This Row],[Clicks]])</f>
        <v>5823</v>
      </c>
      <c r="V218" s="1">
        <f ca="1">AVERAGEIF(Posts_Cleaned[[#This Row],[Period]]:T:T,"Before Campaign",Posts_Cleaned[[#This Row],[Engagement Rate ]])</f>
        <v>0.16737999571053158</v>
      </c>
      <c r="W218" s="5">
        <f t="shared" ca="1" si="15"/>
        <v>0.13888095675500142</v>
      </c>
      <c r="X218" s="6">
        <f ca="1">(Posts_Cleaned[[#This Row],[During ]]-Posts_Cleaned[[#This Row],[Before ]])/Posts_Cleaned[[#This Row],[During ]]</f>
        <v>-0.20520480000584274</v>
      </c>
      <c r="Y218" s="1">
        <f>IFERROR(VLOOKUP(O218, 'Campaign Metadata Dataset '!$A$1:$G$5,5,0),0)</f>
        <v>0</v>
      </c>
      <c r="Z218" s="1">
        <v>0</v>
      </c>
      <c r="AA218" s="1">
        <f t="shared" ca="1" si="14"/>
        <v>-0.20520480000584274</v>
      </c>
    </row>
    <row r="219" spans="1:27" x14ac:dyDescent="0.25">
      <c r="A219" t="s">
        <v>276</v>
      </c>
      <c r="B219" s="1" t="s">
        <v>40</v>
      </c>
      <c r="C219" s="2">
        <v>45454</v>
      </c>
      <c r="D219" s="1" t="s">
        <v>41</v>
      </c>
      <c r="E219" s="1" t="s">
        <v>42</v>
      </c>
      <c r="F219">
        <v>1869</v>
      </c>
      <c r="G219">
        <v>453</v>
      </c>
      <c r="H219">
        <v>490</v>
      </c>
      <c r="I219">
        <v>14952</v>
      </c>
      <c r="J219">
        <v>14309</v>
      </c>
      <c r="K219">
        <v>275</v>
      </c>
      <c r="L219" s="1" t="s">
        <v>25</v>
      </c>
      <c r="M219" s="1"/>
      <c r="N219" s="1"/>
      <c r="O219" s="1" t="s">
        <v>37</v>
      </c>
      <c r="P219" s="5">
        <f>IFERROR(((Posts_Cleaned[[#This Row],[Likes]]+Posts_Cleaned[[#This Row],[Shares]]+Posts_Cleaned[[#This Row],[Comments]])/Posts_Cleaned[[#This Row],[Impressions]]),0)</f>
        <v>0.18806848582129482</v>
      </c>
      <c r="Q219" s="3" t="str">
        <f>_xlfn.TEXTJOIN(", ", TRUE, Posts_Cleaned[[#This Row],[Hashtags Used.1]], Posts_Cleaned[[#This Row],[Hashtags Used.2]], Posts_Cleaned[[#This Row],[Hashtags Used.3]])</f>
        <v>#TeslaCoInnovation</v>
      </c>
      <c r="R219" s="2">
        <f>VLOOKUP(Posts_Cleaned[[#This Row],[Campaign_Name]],'Campaign Metadata Dataset '!$A$2:$B$5,2,0)</f>
        <v>45717</v>
      </c>
      <c r="S219" s="2">
        <f>VLOOKUP(Posts_Cleaned[[#This Row],[Campaign_Name]],'Campaign Metadata Dataset '!$A$1:$C$5,3,0)</f>
        <v>45747</v>
      </c>
      <c r="T219" s="1" t="str">
        <f t="shared" si="12"/>
        <v>Before Campaign</v>
      </c>
      <c r="U219" s="1">
        <f>SUM(Posts_Cleaned[[#This Row],[Likes]]+Posts_Cleaned[[#This Row],[Shares]]+Posts_Cleaned[[#This Row],[Comments]]+Posts_Cleaned[[#This Row],[Clicks]])</f>
        <v>3087</v>
      </c>
      <c r="V219" s="1">
        <f ca="1">AVERAGEIF(Posts_Cleaned[[#This Row],[Period]]:T:T,"Before Campaign",Posts_Cleaned[[#This Row],[Engagement Rate ]])</f>
        <v>0.15819064110023684</v>
      </c>
      <c r="W219" s="5">
        <f t="shared" ca="1" si="15"/>
        <v>0.10624989825139947</v>
      </c>
      <c r="X219" s="6">
        <f ca="1">(Posts_Cleaned[[#This Row],[During ]]-Posts_Cleaned[[#This Row],[Before ]])/Posts_Cleaned[[#This Row],[During ]]</f>
        <v>-0.4888545184856517</v>
      </c>
      <c r="Y219" s="1">
        <f>IFERROR(VLOOKUP(O219, 'Campaign Metadata Dataset '!$A$1:$G$5,5,0),0)</f>
        <v>180000</v>
      </c>
      <c r="Z219" s="1">
        <f t="shared" si="13"/>
        <v>1.7149999999999999E-2</v>
      </c>
      <c r="AA219" s="1">
        <f t="shared" ca="1" si="14"/>
        <v>-0.4888545184856517</v>
      </c>
    </row>
    <row r="220" spans="1:27" x14ac:dyDescent="0.25">
      <c r="A220" t="s">
        <v>277</v>
      </c>
      <c r="B220" s="1" t="s">
        <v>16</v>
      </c>
      <c r="C220" s="2">
        <v>45685</v>
      </c>
      <c r="D220" s="1" t="s">
        <v>17</v>
      </c>
      <c r="E220" s="1" t="s">
        <v>18</v>
      </c>
      <c r="F220">
        <v>1188</v>
      </c>
      <c r="G220">
        <v>470</v>
      </c>
      <c r="H220">
        <v>174</v>
      </c>
      <c r="I220">
        <v>7128</v>
      </c>
      <c r="J220">
        <v>6145</v>
      </c>
      <c r="K220">
        <v>270</v>
      </c>
      <c r="L220" s="1" t="s">
        <v>25</v>
      </c>
      <c r="M220" s="1"/>
      <c r="N220" s="1"/>
      <c r="O220" s="1" t="s">
        <v>37</v>
      </c>
      <c r="P220" s="5">
        <f>IFERROR(((Posts_Cleaned[[#This Row],[Likes]]+Posts_Cleaned[[#This Row],[Shares]]+Posts_Cleaned[[#This Row],[Comments]])/Posts_Cleaned[[#This Row],[Impressions]]),0)</f>
        <v>0.25701459034792368</v>
      </c>
      <c r="Q220" s="3" t="str">
        <f>_xlfn.TEXTJOIN(", ", TRUE, Posts_Cleaned[[#This Row],[Hashtags Used.1]], Posts_Cleaned[[#This Row],[Hashtags Used.2]], Posts_Cleaned[[#This Row],[Hashtags Used.3]])</f>
        <v>#TeslaCoInnovation</v>
      </c>
      <c r="R220" s="2">
        <f>VLOOKUP(Posts_Cleaned[[#This Row],[Campaign_Name]],'Campaign Metadata Dataset '!$A$2:$B$5,2,0)</f>
        <v>45717</v>
      </c>
      <c r="S220" s="2">
        <f>VLOOKUP(Posts_Cleaned[[#This Row],[Campaign_Name]],'Campaign Metadata Dataset '!$A$1:$C$5,3,0)</f>
        <v>45747</v>
      </c>
      <c r="T220" s="1" t="str">
        <f t="shared" si="12"/>
        <v>Before Campaign</v>
      </c>
      <c r="U220" s="1">
        <f>SUM(Posts_Cleaned[[#This Row],[Likes]]+Posts_Cleaned[[#This Row],[Shares]]+Posts_Cleaned[[#This Row],[Comments]]+Posts_Cleaned[[#This Row],[Clicks]])</f>
        <v>2102</v>
      </c>
      <c r="V220" s="1">
        <f ca="1">AVERAGEIF(Posts_Cleaned[[#This Row],[Period]]:T:T,"Before Campaign",Posts_Cleaned[[#This Row],[Engagement Rate ]])</f>
        <v>0.17193733282237</v>
      </c>
      <c r="W220" s="5">
        <f t="shared" ca="1" si="15"/>
        <v>0.22050554558651961</v>
      </c>
      <c r="X220" s="6">
        <f ca="1">(Posts_Cleaned[[#This Row],[During ]]-Posts_Cleaned[[#This Row],[Before ]])/Posts_Cleaned[[#This Row],[During ]]</f>
        <v>0.22025846395365567</v>
      </c>
      <c r="Y220" s="1">
        <f>IFERROR(VLOOKUP(O220, 'Campaign Metadata Dataset '!$A$1:$G$5,5,0),0)</f>
        <v>180000</v>
      </c>
      <c r="Z220" s="1">
        <f t="shared" si="13"/>
        <v>1.1677777777777778E-2</v>
      </c>
      <c r="AA220" s="1">
        <f t="shared" ca="1" si="14"/>
        <v>0.22025846395365567</v>
      </c>
    </row>
    <row r="221" spans="1:27" x14ac:dyDescent="0.25">
      <c r="A221" t="s">
        <v>278</v>
      </c>
      <c r="B221" s="1" t="s">
        <v>33</v>
      </c>
      <c r="C221" s="2">
        <v>45445</v>
      </c>
      <c r="D221" s="1" t="s">
        <v>34</v>
      </c>
      <c r="E221" s="1" t="s">
        <v>35</v>
      </c>
      <c r="F221">
        <v>84</v>
      </c>
      <c r="G221">
        <v>897</v>
      </c>
      <c r="H221">
        <v>85</v>
      </c>
      <c r="I221">
        <v>588</v>
      </c>
      <c r="J221">
        <v>8</v>
      </c>
      <c r="K221">
        <v>12</v>
      </c>
      <c r="L221" s="1" t="s">
        <v>36</v>
      </c>
      <c r="M221" s="1"/>
      <c r="N221" s="1"/>
      <c r="O221" s="1"/>
      <c r="P221" s="5">
        <f>IFERROR(((Posts_Cleaned[[#This Row],[Likes]]+Posts_Cleaned[[#This Row],[Shares]]+Posts_Cleaned[[#This Row],[Comments]])/Posts_Cleaned[[#This Row],[Impressions]]),0)</f>
        <v>1.8129251700680271</v>
      </c>
      <c r="Q221" s="3" t="str">
        <f>_xlfn.TEXTJOIN(", ", TRUE, Posts_Cleaned[[#This Row],[Hashtags Used.1]], Posts_Cleaned[[#This Row],[Hashtags Used.2]], Posts_Cleaned[[#This Row],[Hashtags Used.3]])</f>
        <v>#EVRevolution</v>
      </c>
      <c r="R221" s="2" t="e">
        <f>VLOOKUP(Posts_Cleaned[[#This Row],[Campaign_Name]],'Campaign Metadata Dataset '!$A$2:$B$5,2,0)</f>
        <v>#N/A</v>
      </c>
      <c r="S221" s="2" t="e">
        <f>VLOOKUP(Posts_Cleaned[[#This Row],[Campaign_Name]],'Campaign Metadata Dataset '!$A$1:$C$5,3,0)</f>
        <v>#N/A</v>
      </c>
      <c r="T221" s="1" t="e">
        <f t="shared" si="12"/>
        <v>#N/A</v>
      </c>
      <c r="U221" s="1">
        <f>SUM(Posts_Cleaned[[#This Row],[Likes]]+Posts_Cleaned[[#This Row],[Shares]]+Posts_Cleaned[[#This Row],[Comments]]+Posts_Cleaned[[#This Row],[Clicks]])</f>
        <v>1078</v>
      </c>
      <c r="V221" s="1">
        <f ca="1">AVERAGEIF(Posts_Cleaned[[#This Row],[Period]]:T:T,"Before Campaign",Posts_Cleaned[[#This Row],[Engagement Rate ]])</f>
        <v>0.14389203661252489</v>
      </c>
      <c r="W221" s="5">
        <f t="shared" ca="1" si="15"/>
        <v>0.15005238952461708</v>
      </c>
      <c r="X221" s="6">
        <f ca="1">(Posts_Cleaned[[#This Row],[During ]]-Posts_Cleaned[[#This Row],[Before ]])/Posts_Cleaned[[#This Row],[During ]]</f>
        <v>4.1054680512645492E-2</v>
      </c>
      <c r="Y221" s="1">
        <f>IFERROR(VLOOKUP(O221, 'Campaign Metadata Dataset '!$A$1:$G$5,5,0),0)</f>
        <v>0</v>
      </c>
      <c r="Z221" s="1">
        <v>0</v>
      </c>
      <c r="AA221" s="1">
        <f t="shared" ca="1" si="14"/>
        <v>4.1054680512645492E-2</v>
      </c>
    </row>
    <row r="222" spans="1:27" x14ac:dyDescent="0.25">
      <c r="A222" t="s">
        <v>279</v>
      </c>
      <c r="B222" s="1" t="s">
        <v>40</v>
      </c>
      <c r="C222" s="2">
        <v>45739</v>
      </c>
      <c r="D222" s="1" t="s">
        <v>60</v>
      </c>
      <c r="E222" s="1" t="s">
        <v>61</v>
      </c>
      <c r="F222">
        <v>4453</v>
      </c>
      <c r="G222">
        <v>111</v>
      </c>
      <c r="H222">
        <v>420</v>
      </c>
      <c r="I222">
        <v>31171</v>
      </c>
      <c r="J222">
        <v>30565</v>
      </c>
      <c r="K222">
        <v>23</v>
      </c>
      <c r="L222" s="1" t="s">
        <v>25</v>
      </c>
      <c r="M222" s="1"/>
      <c r="N222" s="1"/>
      <c r="O222" s="1"/>
      <c r="P222" s="5">
        <f>IFERROR(((Posts_Cleaned[[#This Row],[Likes]]+Posts_Cleaned[[#This Row],[Shares]]+Posts_Cleaned[[#This Row],[Comments]])/Posts_Cleaned[[#This Row],[Impressions]]),0)</f>
        <v>0.15989220750056141</v>
      </c>
      <c r="Q222" s="3" t="str">
        <f>_xlfn.TEXTJOIN(", ", TRUE, Posts_Cleaned[[#This Row],[Hashtags Used.1]], Posts_Cleaned[[#This Row],[Hashtags Used.2]], Posts_Cleaned[[#This Row],[Hashtags Used.3]])</f>
        <v>#TeslaCoInnovation</v>
      </c>
      <c r="R222" s="2" t="e">
        <f>VLOOKUP(Posts_Cleaned[[#This Row],[Campaign_Name]],'Campaign Metadata Dataset '!$A$2:$B$5,2,0)</f>
        <v>#N/A</v>
      </c>
      <c r="S222" s="2" t="e">
        <f>VLOOKUP(Posts_Cleaned[[#This Row],[Campaign_Name]],'Campaign Metadata Dataset '!$A$1:$C$5,3,0)</f>
        <v>#N/A</v>
      </c>
      <c r="T222" s="1" t="e">
        <f t="shared" si="12"/>
        <v>#N/A</v>
      </c>
      <c r="U222" s="1">
        <f>SUM(Posts_Cleaned[[#This Row],[Likes]]+Posts_Cleaned[[#This Row],[Shares]]+Posts_Cleaned[[#This Row],[Comments]]+Posts_Cleaned[[#This Row],[Clicks]])</f>
        <v>5007</v>
      </c>
      <c r="V222" s="1">
        <f ca="1">AVERAGEIF(Posts_Cleaned[[#This Row],[Period]]:T:T,"Before Campaign",Posts_Cleaned[[#This Row],[Engagement Rate ]])</f>
        <v>0.14850985722089158</v>
      </c>
      <c r="W222" s="5">
        <f t="shared" ca="1" si="15"/>
        <v>0.14733261244574328</v>
      </c>
      <c r="X222" s="6">
        <f ca="1">(Posts_Cleaned[[#This Row],[During ]]-Posts_Cleaned[[#This Row],[Before ]])/Posts_Cleaned[[#This Row],[During ]]</f>
        <v>-7.9903882487784763E-3</v>
      </c>
      <c r="Y222" s="1">
        <f>IFERROR(VLOOKUP(O222, 'Campaign Metadata Dataset '!$A$1:$G$5,5,0),0)</f>
        <v>0</v>
      </c>
      <c r="Z222" s="1">
        <v>0</v>
      </c>
      <c r="AA222" s="1">
        <f t="shared" ca="1" si="14"/>
        <v>-7.9903882487784763E-3</v>
      </c>
    </row>
    <row r="223" spans="1:27" x14ac:dyDescent="0.25">
      <c r="A223" t="s">
        <v>280</v>
      </c>
      <c r="B223" s="1" t="s">
        <v>40</v>
      </c>
      <c r="C223" s="2">
        <v>45573</v>
      </c>
      <c r="D223" s="1" t="s">
        <v>17</v>
      </c>
      <c r="E223" s="1" t="s">
        <v>54</v>
      </c>
      <c r="F223">
        <v>1814</v>
      </c>
      <c r="G223">
        <v>653</v>
      </c>
      <c r="H223">
        <v>363</v>
      </c>
      <c r="I223">
        <v>25396</v>
      </c>
      <c r="J223">
        <v>25286</v>
      </c>
      <c r="K223">
        <v>39</v>
      </c>
      <c r="L223" s="1" t="s">
        <v>19</v>
      </c>
      <c r="M223" s="1" t="s">
        <v>198</v>
      </c>
      <c r="N223" s="1"/>
      <c r="O223" s="1" t="s">
        <v>21</v>
      </c>
      <c r="P223" s="5">
        <f>IFERROR(((Posts_Cleaned[[#This Row],[Likes]]+Posts_Cleaned[[#This Row],[Shares]]+Posts_Cleaned[[#This Row],[Comments]])/Posts_Cleaned[[#This Row],[Impressions]]),0)</f>
        <v>0.11143487163332809</v>
      </c>
      <c r="Q223" s="3" t="str">
        <f>_xlfn.TEXTJOIN(", ", TRUE, Posts_Cleaned[[#This Row],[Hashtags Used.1]], Posts_Cleaned[[#This Row],[Hashtags Used.2]], Posts_Cleaned[[#This Row],[Hashtags Used.3]])</f>
        <v>#FutureOfDriving, #SmoothLikeNitroTesla</v>
      </c>
      <c r="R223" s="2">
        <f>VLOOKUP(Posts_Cleaned[[#This Row],[Campaign_Name]],'Campaign Metadata Dataset '!$A$2:$B$5,2,0)</f>
        <v>45458</v>
      </c>
      <c r="S223" s="2">
        <f>VLOOKUP(Posts_Cleaned[[#This Row],[Campaign_Name]],'Campaign Metadata Dataset '!$A$1:$C$5,3,0)</f>
        <v>45488</v>
      </c>
      <c r="T223" s="1" t="str">
        <f t="shared" si="12"/>
        <v>Before Campaign</v>
      </c>
      <c r="U223" s="1">
        <f>SUM(Posts_Cleaned[[#This Row],[Likes]]+Posts_Cleaned[[#This Row],[Shares]]+Posts_Cleaned[[#This Row],[Comments]]+Posts_Cleaned[[#This Row],[Clicks]])</f>
        <v>2869</v>
      </c>
      <c r="V223" s="1">
        <f ca="1">AVERAGEIF(Posts_Cleaned[[#This Row],[Period]]:T:T,"Before Campaign",Posts_Cleaned[[#This Row],[Engagement Rate ]])</f>
        <v>0.14242463266550368</v>
      </c>
      <c r="W223" s="5">
        <f t="shared" ca="1" si="15"/>
        <v>0.12920039919101373</v>
      </c>
      <c r="X223" s="6">
        <f ca="1">(Posts_Cleaned[[#This Row],[During ]]-Posts_Cleaned[[#This Row],[Before ]])/Posts_Cleaned[[#This Row],[During ]]</f>
        <v>-0.10235443200867242</v>
      </c>
      <c r="Y223" s="1">
        <f>IFERROR(VLOOKUP(O223, 'Campaign Metadata Dataset '!$A$1:$G$5,5,0),0)</f>
        <v>150000</v>
      </c>
      <c r="Z223" s="1">
        <f t="shared" si="13"/>
        <v>1.9126666666666667E-2</v>
      </c>
      <c r="AA223" s="1">
        <f t="shared" ca="1" si="14"/>
        <v>-0.10235443200867242</v>
      </c>
    </row>
    <row r="224" spans="1:27" x14ac:dyDescent="0.25">
      <c r="A224" t="s">
        <v>281</v>
      </c>
      <c r="B224" s="1" t="s">
        <v>16</v>
      </c>
      <c r="C224" s="2">
        <v>45608</v>
      </c>
      <c r="D224" s="1" t="s">
        <v>46</v>
      </c>
      <c r="E224" s="1" t="s">
        <v>92</v>
      </c>
      <c r="F224">
        <v>3338</v>
      </c>
      <c r="G224">
        <v>277</v>
      </c>
      <c r="H224">
        <v>118</v>
      </c>
      <c r="I224">
        <v>60084</v>
      </c>
      <c r="J224">
        <v>59842</v>
      </c>
      <c r="K224">
        <v>252</v>
      </c>
      <c r="L224" s="1" t="s">
        <v>25</v>
      </c>
      <c r="M224" s="1"/>
      <c r="N224" s="1"/>
      <c r="O224" s="1"/>
      <c r="P224" s="5">
        <f>IFERROR(((Posts_Cleaned[[#This Row],[Likes]]+Posts_Cleaned[[#This Row],[Shares]]+Posts_Cleaned[[#This Row],[Comments]])/Posts_Cleaned[[#This Row],[Impressions]]),0)</f>
        <v>6.2129685107516146E-2</v>
      </c>
      <c r="Q224" s="3" t="str">
        <f>_xlfn.TEXTJOIN(", ", TRUE, Posts_Cleaned[[#This Row],[Hashtags Used.1]], Posts_Cleaned[[#This Row],[Hashtags Used.2]], Posts_Cleaned[[#This Row],[Hashtags Used.3]])</f>
        <v>#TeslaCoInnovation</v>
      </c>
      <c r="R224" s="2" t="e">
        <f>VLOOKUP(Posts_Cleaned[[#This Row],[Campaign_Name]],'Campaign Metadata Dataset '!$A$2:$B$5,2,0)</f>
        <v>#N/A</v>
      </c>
      <c r="S224" s="2" t="e">
        <f>VLOOKUP(Posts_Cleaned[[#This Row],[Campaign_Name]],'Campaign Metadata Dataset '!$A$1:$C$5,3,0)</f>
        <v>#N/A</v>
      </c>
      <c r="T224" s="1" t="e">
        <f t="shared" si="12"/>
        <v>#N/A</v>
      </c>
      <c r="U224" s="1">
        <f>SUM(Posts_Cleaned[[#This Row],[Likes]]+Posts_Cleaned[[#This Row],[Shares]]+Posts_Cleaned[[#This Row],[Comments]]+Posts_Cleaned[[#This Row],[Clicks]])</f>
        <v>3985</v>
      </c>
      <c r="V224" s="1">
        <f ca="1">AVERAGEIF(Posts_Cleaned[[#This Row],[Period]]:T:T,"Before Campaign",Posts_Cleaned[[#This Row],[Engagement Rate ]])</f>
        <v>0.14183250504664499</v>
      </c>
      <c r="W224" s="5">
        <f t="shared" ca="1" si="15"/>
        <v>0.11491146613886451</v>
      </c>
      <c r="X224" s="6">
        <f ca="1">(Posts_Cleaned[[#This Row],[During ]]-Posts_Cleaned[[#This Row],[Before ]])/Posts_Cleaned[[#This Row],[During ]]</f>
        <v>-0.23427635041439479</v>
      </c>
      <c r="Y224" s="1">
        <f>IFERROR(VLOOKUP(O224, 'Campaign Metadata Dataset '!$A$1:$G$5,5,0),0)</f>
        <v>0</v>
      </c>
      <c r="Z224" s="1">
        <v>0</v>
      </c>
      <c r="AA224" s="1">
        <f t="shared" ca="1" si="14"/>
        <v>-0.23427635041439479</v>
      </c>
    </row>
    <row r="225" spans="1:27" x14ac:dyDescent="0.25">
      <c r="A225" t="s">
        <v>282</v>
      </c>
      <c r="B225" s="1" t="s">
        <v>40</v>
      </c>
      <c r="C225" s="2">
        <v>45790</v>
      </c>
      <c r="D225" s="1" t="s">
        <v>46</v>
      </c>
      <c r="E225" s="1" t="s">
        <v>51</v>
      </c>
      <c r="F225">
        <v>602</v>
      </c>
      <c r="G225">
        <v>594</v>
      </c>
      <c r="H225">
        <v>156</v>
      </c>
      <c r="I225">
        <v>4214</v>
      </c>
      <c r="J225">
        <v>3363</v>
      </c>
      <c r="K225">
        <v>164</v>
      </c>
      <c r="L225" s="1" t="s">
        <v>25</v>
      </c>
      <c r="M225" s="1"/>
      <c r="N225" s="1"/>
      <c r="O225" s="1" t="s">
        <v>31</v>
      </c>
      <c r="P225" s="5">
        <f>IFERROR(((Posts_Cleaned[[#This Row],[Likes]]+Posts_Cleaned[[#This Row],[Shares]]+Posts_Cleaned[[#This Row],[Comments]])/Posts_Cleaned[[#This Row],[Impressions]]),0)</f>
        <v>0.32083531086853345</v>
      </c>
      <c r="Q225" s="3" t="str">
        <f>_xlfn.TEXTJOIN(", ", TRUE, Posts_Cleaned[[#This Row],[Hashtags Used.1]], Posts_Cleaned[[#This Row],[Hashtags Used.2]], Posts_Cleaned[[#This Row],[Hashtags Used.3]])</f>
        <v>#TeslaCoInnovation</v>
      </c>
      <c r="R225" s="2">
        <f>VLOOKUP(Posts_Cleaned[[#This Row],[Campaign_Name]],'Campaign Metadata Dataset '!$A$2:$B$5,2,0)</f>
        <v>45651</v>
      </c>
      <c r="S225" s="2">
        <f>VLOOKUP(Posts_Cleaned[[#This Row],[Campaign_Name]],'Campaign Metadata Dataset '!$A$1:$C$5,3,0)</f>
        <v>45667</v>
      </c>
      <c r="T225" s="1" t="str">
        <f t="shared" si="12"/>
        <v>Before Campaign</v>
      </c>
      <c r="U225" s="1">
        <f>SUM(Posts_Cleaned[[#This Row],[Likes]]+Posts_Cleaned[[#This Row],[Shares]]+Posts_Cleaned[[#This Row],[Comments]]+Posts_Cleaned[[#This Row],[Clicks]])</f>
        <v>1516</v>
      </c>
      <c r="V225" s="1">
        <f ca="1">AVERAGEIF(Posts_Cleaned[[#This Row],[Period]]:T:T,"Before Campaign",Posts_Cleaned[[#This Row],[Engagement Rate ]])</f>
        <v>0.13900990586684933</v>
      </c>
      <c r="W225" s="5">
        <f t="shared" ca="1" si="15"/>
        <v>0.22690766370091059</v>
      </c>
      <c r="X225" s="6">
        <f ca="1">(Posts_Cleaned[[#This Row],[During ]]-Posts_Cleaned[[#This Row],[Before ]])/Posts_Cleaned[[#This Row],[During ]]</f>
        <v>0.38737236283883397</v>
      </c>
      <c r="Y225" s="1">
        <f>IFERROR(VLOOKUP(O225, 'Campaign Metadata Dataset '!$A$1:$G$5,5,0),0)</f>
        <v>250000</v>
      </c>
      <c r="Z225" s="1">
        <f t="shared" si="13"/>
        <v>6.0639999999999999E-3</v>
      </c>
      <c r="AA225" s="1">
        <f t="shared" ca="1" si="14"/>
        <v>0.38737236283883397</v>
      </c>
    </row>
    <row r="226" spans="1:27" x14ac:dyDescent="0.25">
      <c r="A226" t="s">
        <v>283</v>
      </c>
      <c r="B226" s="1" t="s">
        <v>16</v>
      </c>
      <c r="C226" s="2">
        <v>45463</v>
      </c>
      <c r="D226" s="1" t="s">
        <v>41</v>
      </c>
      <c r="E226" s="1" t="s">
        <v>44</v>
      </c>
      <c r="F226">
        <v>4672</v>
      </c>
      <c r="G226">
        <v>325</v>
      </c>
      <c r="H226">
        <v>32</v>
      </c>
      <c r="I226">
        <v>88768</v>
      </c>
      <c r="J226">
        <v>87833</v>
      </c>
      <c r="K226">
        <v>118</v>
      </c>
      <c r="L226" s="1" t="s">
        <v>36</v>
      </c>
      <c r="M226" s="1"/>
      <c r="N226" s="1"/>
      <c r="O226" s="1"/>
      <c r="P226" s="5">
        <f>IFERROR(((Posts_Cleaned[[#This Row],[Likes]]+Posts_Cleaned[[#This Row],[Shares]]+Posts_Cleaned[[#This Row],[Comments]])/Posts_Cleaned[[#This Row],[Impressions]]),0)</f>
        <v>5.6653298485940883E-2</v>
      </c>
      <c r="Q226" s="3" t="str">
        <f>_xlfn.TEXTJOIN(", ", TRUE, Posts_Cleaned[[#This Row],[Hashtags Used.1]], Posts_Cleaned[[#This Row],[Hashtags Used.2]], Posts_Cleaned[[#This Row],[Hashtags Used.3]])</f>
        <v>#EVRevolution</v>
      </c>
      <c r="R226" s="2" t="e">
        <f>VLOOKUP(Posts_Cleaned[[#This Row],[Campaign_Name]],'Campaign Metadata Dataset '!$A$2:$B$5,2,0)</f>
        <v>#N/A</v>
      </c>
      <c r="S226" s="2" t="e">
        <f>VLOOKUP(Posts_Cleaned[[#This Row],[Campaign_Name]],'Campaign Metadata Dataset '!$A$1:$C$5,3,0)</f>
        <v>#N/A</v>
      </c>
      <c r="T226" s="1" t="e">
        <f t="shared" si="12"/>
        <v>#N/A</v>
      </c>
      <c r="U226" s="1">
        <f>SUM(Posts_Cleaned[[#This Row],[Likes]]+Posts_Cleaned[[#This Row],[Shares]]+Posts_Cleaned[[#This Row],[Comments]]+Posts_Cleaned[[#This Row],[Clicks]])</f>
        <v>5147</v>
      </c>
      <c r="V226" s="1">
        <f ca="1">AVERAGEIF(Posts_Cleaned[[#This Row],[Period]]:T:T,"Before Campaign",Posts_Cleaned[[#This Row],[Engagement Rate ]])</f>
        <v>0.14200896803641996</v>
      </c>
      <c r="W226" s="5">
        <f t="shared" ca="1" si="15"/>
        <v>0.23113793573217234</v>
      </c>
      <c r="X226" s="6">
        <f ca="1">(Posts_Cleaned[[#This Row],[During ]]-Posts_Cleaned[[#This Row],[Before ]])/Posts_Cleaned[[#This Row],[During ]]</f>
        <v>0.38560943020201255</v>
      </c>
      <c r="Y226" s="1">
        <f>IFERROR(VLOOKUP(O226, 'Campaign Metadata Dataset '!$A$1:$G$5,5,0),0)</f>
        <v>0</v>
      </c>
      <c r="Z226" s="1">
        <v>0</v>
      </c>
      <c r="AA226" s="1">
        <f t="shared" ca="1" si="14"/>
        <v>0.38560943020201255</v>
      </c>
    </row>
    <row r="227" spans="1:27" x14ac:dyDescent="0.25">
      <c r="A227" t="s">
        <v>284</v>
      </c>
      <c r="B227" s="1" t="s">
        <v>33</v>
      </c>
      <c r="C227" s="2">
        <v>45511</v>
      </c>
      <c r="D227" s="1" t="s">
        <v>41</v>
      </c>
      <c r="E227" s="1" t="s">
        <v>69</v>
      </c>
      <c r="F227">
        <v>1741</v>
      </c>
      <c r="G227">
        <v>164</v>
      </c>
      <c r="H227">
        <v>318</v>
      </c>
      <c r="I227">
        <v>8705</v>
      </c>
      <c r="J227">
        <v>8272</v>
      </c>
      <c r="K227">
        <v>121</v>
      </c>
      <c r="L227" s="1" t="s">
        <v>25</v>
      </c>
      <c r="M227" s="1"/>
      <c r="N227" s="1"/>
      <c r="O227" s="1"/>
      <c r="P227" s="5">
        <f>IFERROR(((Posts_Cleaned[[#This Row],[Likes]]+Posts_Cleaned[[#This Row],[Shares]]+Posts_Cleaned[[#This Row],[Comments]])/Posts_Cleaned[[#This Row],[Impressions]]),0)</f>
        <v>0.25537047673750718</v>
      </c>
      <c r="Q227" s="3" t="str">
        <f>_xlfn.TEXTJOIN(", ", TRUE, Posts_Cleaned[[#This Row],[Hashtags Used.1]], Posts_Cleaned[[#This Row],[Hashtags Used.2]], Posts_Cleaned[[#This Row],[Hashtags Used.3]])</f>
        <v>#TeslaCoInnovation</v>
      </c>
      <c r="R227" s="2" t="e">
        <f>VLOOKUP(Posts_Cleaned[[#This Row],[Campaign_Name]],'Campaign Metadata Dataset '!$A$2:$B$5,2,0)</f>
        <v>#N/A</v>
      </c>
      <c r="S227" s="2" t="e">
        <f>VLOOKUP(Posts_Cleaned[[#This Row],[Campaign_Name]],'Campaign Metadata Dataset '!$A$1:$C$5,3,0)</f>
        <v>#N/A</v>
      </c>
      <c r="T227" s="1" t="e">
        <f t="shared" si="12"/>
        <v>#N/A</v>
      </c>
      <c r="U227" s="1">
        <f>SUM(Posts_Cleaned[[#This Row],[Likes]]+Posts_Cleaned[[#This Row],[Shares]]+Posts_Cleaned[[#This Row],[Comments]]+Posts_Cleaned[[#This Row],[Clicks]])</f>
        <v>2344</v>
      </c>
      <c r="V227" s="1">
        <f ca="1">AVERAGEIF(Posts_Cleaned[[#This Row],[Period]]:T:T,"Before Campaign",Posts_Cleaned[[#This Row],[Engagement Rate ]])</f>
        <v>0.14450607045164326</v>
      </c>
      <c r="W227" s="5">
        <f t="shared" ca="1" si="15"/>
        <v>0.12076204037060141</v>
      </c>
      <c r="X227" s="6">
        <f ca="1">(Posts_Cleaned[[#This Row],[During ]]-Posts_Cleaned[[#This Row],[Before ]])/Posts_Cleaned[[#This Row],[During ]]</f>
        <v>-0.1966183248326612</v>
      </c>
      <c r="Y227" s="1">
        <f>IFERROR(VLOOKUP(O227, 'Campaign Metadata Dataset '!$A$1:$G$5,5,0),0)</f>
        <v>0</v>
      </c>
      <c r="Z227" s="1">
        <v>0</v>
      </c>
      <c r="AA227" s="1">
        <f t="shared" ca="1" si="14"/>
        <v>-0.1966183248326612</v>
      </c>
    </row>
    <row r="228" spans="1:27" x14ac:dyDescent="0.25">
      <c r="A228" t="s">
        <v>285</v>
      </c>
      <c r="B228" s="1" t="s">
        <v>33</v>
      </c>
      <c r="C228" s="2">
        <v>45455</v>
      </c>
      <c r="D228" s="1" t="s">
        <v>23</v>
      </c>
      <c r="E228" s="1" t="s">
        <v>82</v>
      </c>
      <c r="F228">
        <v>246</v>
      </c>
      <c r="G228">
        <v>149</v>
      </c>
      <c r="H228">
        <v>130</v>
      </c>
      <c r="I228">
        <v>4674</v>
      </c>
      <c r="J228">
        <v>4390</v>
      </c>
      <c r="K228">
        <v>217</v>
      </c>
      <c r="L228" s="1" t="s">
        <v>19</v>
      </c>
      <c r="M228" s="1"/>
      <c r="N228" s="1"/>
      <c r="O228" s="1" t="s">
        <v>31</v>
      </c>
      <c r="P228" s="5">
        <f>IFERROR(((Posts_Cleaned[[#This Row],[Likes]]+Posts_Cleaned[[#This Row],[Shares]]+Posts_Cleaned[[#This Row],[Comments]])/Posts_Cleaned[[#This Row],[Impressions]]),0)</f>
        <v>0.11232349165596919</v>
      </c>
      <c r="Q228" s="3" t="str">
        <f>_xlfn.TEXTJOIN(", ", TRUE, Posts_Cleaned[[#This Row],[Hashtags Used.1]], Posts_Cleaned[[#This Row],[Hashtags Used.2]], Posts_Cleaned[[#This Row],[Hashtags Used.3]])</f>
        <v>#FutureOfDriving</v>
      </c>
      <c r="R228" s="2">
        <f>VLOOKUP(Posts_Cleaned[[#This Row],[Campaign_Name]],'Campaign Metadata Dataset '!$A$2:$B$5,2,0)</f>
        <v>45651</v>
      </c>
      <c r="S228" s="2">
        <f>VLOOKUP(Posts_Cleaned[[#This Row],[Campaign_Name]],'Campaign Metadata Dataset '!$A$1:$C$5,3,0)</f>
        <v>45667</v>
      </c>
      <c r="T228" s="1" t="str">
        <f t="shared" si="12"/>
        <v>Before Campaign</v>
      </c>
      <c r="U228" s="1">
        <f>SUM(Posts_Cleaned[[#This Row],[Likes]]+Posts_Cleaned[[#This Row],[Shares]]+Posts_Cleaned[[#This Row],[Comments]]+Posts_Cleaned[[#This Row],[Clicks]])</f>
        <v>742</v>
      </c>
      <c r="V228" s="1">
        <f ca="1">AVERAGEIF(Posts_Cleaned[[#This Row],[Period]]:T:T,"Before Campaign",Posts_Cleaned[[#This Row],[Engagement Rate ]])</f>
        <v>0.13421775955648396</v>
      </c>
      <c r="W228" s="5">
        <f t="shared" ca="1" si="15"/>
        <v>0.22014602733826666</v>
      </c>
      <c r="X228" s="6">
        <f ca="1">(Posts_Cleaned[[#This Row],[During ]]-Posts_Cleaned[[#This Row],[Before ]])/Posts_Cleaned[[#This Row],[During ]]</f>
        <v>0.39032395369891965</v>
      </c>
      <c r="Y228" s="1">
        <f>IFERROR(VLOOKUP(O228, 'Campaign Metadata Dataset '!$A$1:$G$5,5,0),0)</f>
        <v>250000</v>
      </c>
      <c r="Z228" s="1">
        <f t="shared" si="13"/>
        <v>2.9680000000000002E-3</v>
      </c>
      <c r="AA228" s="1">
        <f t="shared" ca="1" si="14"/>
        <v>0.39032395369891965</v>
      </c>
    </row>
    <row r="229" spans="1:27" x14ac:dyDescent="0.25">
      <c r="A229" t="s">
        <v>286</v>
      </c>
      <c r="B229" s="1" t="s">
        <v>33</v>
      </c>
      <c r="C229" s="2">
        <v>45474</v>
      </c>
      <c r="D229" s="1" t="s">
        <v>34</v>
      </c>
      <c r="E229" s="1" t="s">
        <v>35</v>
      </c>
      <c r="F229">
        <v>4808</v>
      </c>
      <c r="G229">
        <v>772</v>
      </c>
      <c r="H229">
        <v>320</v>
      </c>
      <c r="I229">
        <v>72120</v>
      </c>
      <c r="J229">
        <v>71696</v>
      </c>
      <c r="K229">
        <v>195</v>
      </c>
      <c r="L229" s="1" t="s">
        <v>36</v>
      </c>
      <c r="M229" s="1"/>
      <c r="N229" s="1"/>
      <c r="O229" s="1" t="s">
        <v>21</v>
      </c>
      <c r="P229" s="5">
        <f>IFERROR(((Posts_Cleaned[[#This Row],[Likes]]+Posts_Cleaned[[#This Row],[Shares]]+Posts_Cleaned[[#This Row],[Comments]])/Posts_Cleaned[[#This Row],[Impressions]]),0)</f>
        <v>8.1808097615085965E-2</v>
      </c>
      <c r="Q229" s="3" t="str">
        <f>_xlfn.TEXTJOIN(", ", TRUE, Posts_Cleaned[[#This Row],[Hashtags Used.1]], Posts_Cleaned[[#This Row],[Hashtags Used.2]], Posts_Cleaned[[#This Row],[Hashtags Used.3]])</f>
        <v>#EVRevolution</v>
      </c>
      <c r="R229" s="2">
        <f>VLOOKUP(Posts_Cleaned[[#This Row],[Campaign_Name]],'Campaign Metadata Dataset '!$A$2:$B$5,2,0)</f>
        <v>45458</v>
      </c>
      <c r="S229" s="2">
        <f>VLOOKUP(Posts_Cleaned[[#This Row],[Campaign_Name]],'Campaign Metadata Dataset '!$A$1:$C$5,3,0)</f>
        <v>45488</v>
      </c>
      <c r="T229" s="1" t="str">
        <f t="shared" si="12"/>
        <v>During Campaign</v>
      </c>
      <c r="U229" s="1">
        <f>SUM(Posts_Cleaned[[#This Row],[Likes]]+Posts_Cleaned[[#This Row],[Shares]]+Posts_Cleaned[[#This Row],[Comments]]+Posts_Cleaned[[#This Row],[Clicks]])</f>
        <v>6095</v>
      </c>
      <c r="V229" s="1">
        <f ca="1">AVERAGEIF(Posts_Cleaned[[#This Row],[Period]]:T:T,"Before Campaign",Posts_Cleaned[[#This Row],[Engagement Rate ]])</f>
        <v>0.15013468698603485</v>
      </c>
      <c r="W229" s="5">
        <f t="shared" ca="1" si="15"/>
        <v>0.21156201538498931</v>
      </c>
      <c r="X229" s="6">
        <f ca="1">(Posts_Cleaned[[#This Row],[During ]]-Posts_Cleaned[[#This Row],[Before ]])/Posts_Cleaned[[#This Row],[During ]]</f>
        <v>0.29035140493992867</v>
      </c>
      <c r="Y229" s="1">
        <f>IFERROR(VLOOKUP(O229, 'Campaign Metadata Dataset '!$A$1:$G$5,5,0),0)</f>
        <v>150000</v>
      </c>
      <c r="Z229" s="1">
        <f t="shared" si="13"/>
        <v>4.0633333333333334E-2</v>
      </c>
      <c r="AA229" s="1">
        <f t="shared" ca="1" si="14"/>
        <v>0.29035140493992867</v>
      </c>
    </row>
    <row r="230" spans="1:27" x14ac:dyDescent="0.25">
      <c r="A230" t="s">
        <v>287</v>
      </c>
      <c r="B230" s="1" t="s">
        <v>33</v>
      </c>
      <c r="C230" s="2">
        <v>45476</v>
      </c>
      <c r="D230" s="1" t="s">
        <v>41</v>
      </c>
      <c r="E230" s="1" t="s">
        <v>69</v>
      </c>
      <c r="F230">
        <v>4799</v>
      </c>
      <c r="G230">
        <v>694</v>
      </c>
      <c r="H230">
        <v>289</v>
      </c>
      <c r="I230">
        <v>43191</v>
      </c>
      <c r="J230">
        <v>42228</v>
      </c>
      <c r="K230">
        <v>118</v>
      </c>
      <c r="L230" s="1" t="s">
        <v>25</v>
      </c>
      <c r="M230" s="1"/>
      <c r="N230" s="1"/>
      <c r="O230" s="1"/>
      <c r="P230" s="5">
        <f>IFERROR(((Posts_Cleaned[[#This Row],[Likes]]+Posts_Cleaned[[#This Row],[Shares]]+Posts_Cleaned[[#This Row],[Comments]])/Posts_Cleaned[[#This Row],[Impressions]]),0)</f>
        <v>0.13387048227640017</v>
      </c>
      <c r="Q230" s="3" t="str">
        <f>_xlfn.TEXTJOIN(", ", TRUE, Posts_Cleaned[[#This Row],[Hashtags Used.1]], Posts_Cleaned[[#This Row],[Hashtags Used.2]], Posts_Cleaned[[#This Row],[Hashtags Used.3]])</f>
        <v>#TeslaCoInnovation</v>
      </c>
      <c r="R230" s="2" t="e">
        <f>VLOOKUP(Posts_Cleaned[[#This Row],[Campaign_Name]],'Campaign Metadata Dataset '!$A$2:$B$5,2,0)</f>
        <v>#N/A</v>
      </c>
      <c r="S230" s="2" t="e">
        <f>VLOOKUP(Posts_Cleaned[[#This Row],[Campaign_Name]],'Campaign Metadata Dataset '!$A$1:$C$5,3,0)</f>
        <v>#N/A</v>
      </c>
      <c r="T230" s="1" t="e">
        <f t="shared" si="12"/>
        <v>#N/A</v>
      </c>
      <c r="U230" s="1">
        <f>SUM(Posts_Cleaned[[#This Row],[Likes]]+Posts_Cleaned[[#This Row],[Shares]]+Posts_Cleaned[[#This Row],[Comments]]+Posts_Cleaned[[#This Row],[Clicks]])</f>
        <v>5900</v>
      </c>
      <c r="V230" s="1">
        <f ca="1">AVERAGEIF(Posts_Cleaned[[#This Row],[Period]]:T:T,"Before Campaign",Posts_Cleaned[[#This Row],[Engagement Rate ]])</f>
        <v>0.1429851527152016</v>
      </c>
      <c r="W230" s="5">
        <f t="shared" ca="1" si="15"/>
        <v>0.10250215297692136</v>
      </c>
      <c r="X230" s="6">
        <f ca="1">(Posts_Cleaned[[#This Row],[During ]]-Posts_Cleaned[[#This Row],[Before ]])/Posts_Cleaned[[#This Row],[During ]]</f>
        <v>-0.39494779926617823</v>
      </c>
      <c r="Y230" s="1">
        <f>IFERROR(VLOOKUP(O230, 'Campaign Metadata Dataset '!$A$1:$G$5,5,0),0)</f>
        <v>0</v>
      </c>
      <c r="Z230" s="1">
        <v>0</v>
      </c>
      <c r="AA230" s="1">
        <f t="shared" ca="1" si="14"/>
        <v>-0.39494779926617823</v>
      </c>
    </row>
    <row r="231" spans="1:27" x14ac:dyDescent="0.25">
      <c r="A231" t="s">
        <v>288</v>
      </c>
      <c r="B231" s="1" t="s">
        <v>40</v>
      </c>
      <c r="C231" s="2">
        <v>45488</v>
      </c>
      <c r="D231" s="1" t="s">
        <v>17</v>
      </c>
      <c r="E231" s="1" t="s">
        <v>54</v>
      </c>
      <c r="F231">
        <v>3663</v>
      </c>
      <c r="G231">
        <v>17</v>
      </c>
      <c r="H231">
        <v>295</v>
      </c>
      <c r="I231">
        <v>51282</v>
      </c>
      <c r="J231">
        <v>50567</v>
      </c>
      <c r="K231">
        <v>84</v>
      </c>
      <c r="L231" s="1" t="s">
        <v>36</v>
      </c>
      <c r="M231" s="1"/>
      <c r="N231" s="1"/>
      <c r="O231" s="1" t="s">
        <v>31</v>
      </c>
      <c r="P231" s="5">
        <f>IFERROR(((Posts_Cleaned[[#This Row],[Likes]]+Posts_Cleaned[[#This Row],[Shares]]+Posts_Cleaned[[#This Row],[Comments]])/Posts_Cleaned[[#This Row],[Impressions]]),0)</f>
        <v>7.7512577512577507E-2</v>
      </c>
      <c r="Q231" s="3" t="str">
        <f>_xlfn.TEXTJOIN(", ", TRUE, Posts_Cleaned[[#This Row],[Hashtags Used.1]], Posts_Cleaned[[#This Row],[Hashtags Used.2]], Posts_Cleaned[[#This Row],[Hashtags Used.3]])</f>
        <v>#EVRevolution</v>
      </c>
      <c r="R231" s="2">
        <f>VLOOKUP(Posts_Cleaned[[#This Row],[Campaign_Name]],'Campaign Metadata Dataset '!$A$2:$B$5,2,0)</f>
        <v>45651</v>
      </c>
      <c r="S231" s="2">
        <f>VLOOKUP(Posts_Cleaned[[#This Row],[Campaign_Name]],'Campaign Metadata Dataset '!$A$1:$C$5,3,0)</f>
        <v>45667</v>
      </c>
      <c r="T231" s="1" t="str">
        <f t="shared" si="12"/>
        <v>Before Campaign</v>
      </c>
      <c r="U231" s="1">
        <f>SUM(Posts_Cleaned[[#This Row],[Likes]]+Posts_Cleaned[[#This Row],[Shares]]+Posts_Cleaned[[#This Row],[Comments]]+Posts_Cleaned[[#This Row],[Clicks]])</f>
        <v>4059</v>
      </c>
      <c r="V231" s="1">
        <f ca="1">AVERAGEIF(Posts_Cleaned[[#This Row],[Period]]:T:T,"Before Campaign",Posts_Cleaned[[#This Row],[Engagement Rate ]])</f>
        <v>0.14795032502725772</v>
      </c>
      <c r="W231" s="5">
        <f t="shared" ca="1" si="15"/>
        <v>0.11458640927554604</v>
      </c>
      <c r="X231" s="6">
        <f ca="1">(Posts_Cleaned[[#This Row],[During ]]-Posts_Cleaned[[#This Row],[Before ]])/Posts_Cleaned[[#This Row],[During ]]</f>
        <v>-0.29116817572563458</v>
      </c>
      <c r="Y231" s="1">
        <f>IFERROR(VLOOKUP(O231, 'Campaign Metadata Dataset '!$A$1:$G$5,5,0),0)</f>
        <v>250000</v>
      </c>
      <c r="Z231" s="1">
        <f t="shared" si="13"/>
        <v>1.6236E-2</v>
      </c>
      <c r="AA231" s="1">
        <f t="shared" ca="1" si="14"/>
        <v>-0.29116817572563458</v>
      </c>
    </row>
    <row r="232" spans="1:27" x14ac:dyDescent="0.25">
      <c r="A232" t="s">
        <v>289</v>
      </c>
      <c r="B232" s="1" t="s">
        <v>33</v>
      </c>
      <c r="C232" s="2">
        <v>45778</v>
      </c>
      <c r="D232" s="1" t="s">
        <v>23</v>
      </c>
      <c r="E232" s="1" t="s">
        <v>82</v>
      </c>
      <c r="F232">
        <v>1430</v>
      </c>
      <c r="G232">
        <v>376</v>
      </c>
      <c r="H232">
        <v>33</v>
      </c>
      <c r="I232">
        <v>21450</v>
      </c>
      <c r="J232">
        <v>20509</v>
      </c>
      <c r="K232">
        <v>251</v>
      </c>
      <c r="L232" s="1" t="s">
        <v>19</v>
      </c>
      <c r="M232" s="1"/>
      <c r="N232" s="1"/>
      <c r="O232" s="1" t="s">
        <v>21</v>
      </c>
      <c r="P232" s="5">
        <f>IFERROR(((Posts_Cleaned[[#This Row],[Likes]]+Posts_Cleaned[[#This Row],[Shares]]+Posts_Cleaned[[#This Row],[Comments]])/Posts_Cleaned[[#This Row],[Impressions]]),0)</f>
        <v>8.5734265734265735E-2</v>
      </c>
      <c r="Q232" s="3" t="str">
        <f>_xlfn.TEXTJOIN(", ", TRUE, Posts_Cleaned[[#This Row],[Hashtags Used.1]], Posts_Cleaned[[#This Row],[Hashtags Used.2]], Posts_Cleaned[[#This Row],[Hashtags Used.3]])</f>
        <v>#FutureOfDriving</v>
      </c>
      <c r="R232" s="2">
        <f>VLOOKUP(Posts_Cleaned[[#This Row],[Campaign_Name]],'Campaign Metadata Dataset '!$A$2:$B$5,2,0)</f>
        <v>45458</v>
      </c>
      <c r="S232" s="2">
        <f>VLOOKUP(Posts_Cleaned[[#This Row],[Campaign_Name]],'Campaign Metadata Dataset '!$A$1:$C$5,3,0)</f>
        <v>45488</v>
      </c>
      <c r="T232" s="1" t="str">
        <f t="shared" si="12"/>
        <v>Before Campaign</v>
      </c>
      <c r="U232" s="1">
        <f>SUM(Posts_Cleaned[[#This Row],[Likes]]+Posts_Cleaned[[#This Row],[Shares]]+Posts_Cleaned[[#This Row],[Comments]]+Posts_Cleaned[[#This Row],[Clicks]])</f>
        <v>2090</v>
      </c>
      <c r="V232" s="1">
        <f ca="1">AVERAGEIF(Posts_Cleaned[[#This Row],[Period]]:T:T,"Before Campaign",Posts_Cleaned[[#This Row],[Engagement Rate ]])</f>
        <v>0.15826857100261998</v>
      </c>
      <c r="W232" s="5">
        <f t="shared" ca="1" si="15"/>
        <v>0.14679490887168109</v>
      </c>
      <c r="X232" s="6">
        <f ca="1">(Posts_Cleaned[[#This Row],[During ]]-Posts_Cleaned[[#This Row],[Before ]])/Posts_Cleaned[[#This Row],[During ]]</f>
        <v>-7.8161172067407664E-2</v>
      </c>
      <c r="Y232" s="1">
        <f>IFERROR(VLOOKUP(O232, 'Campaign Metadata Dataset '!$A$1:$G$5,5,0),0)</f>
        <v>150000</v>
      </c>
      <c r="Z232" s="1">
        <f t="shared" si="13"/>
        <v>1.3933333333333334E-2</v>
      </c>
      <c r="AA232" s="1">
        <f t="shared" ca="1" si="14"/>
        <v>-7.8161172067407664E-2</v>
      </c>
    </row>
    <row r="233" spans="1:27" x14ac:dyDescent="0.25">
      <c r="A233" t="s">
        <v>290</v>
      </c>
      <c r="B233" s="1" t="s">
        <v>16</v>
      </c>
      <c r="C233" s="2">
        <v>45776</v>
      </c>
      <c r="D233" s="1" t="s">
        <v>34</v>
      </c>
      <c r="E233" s="1" t="s">
        <v>102</v>
      </c>
      <c r="F233">
        <v>249</v>
      </c>
      <c r="G233">
        <v>592</v>
      </c>
      <c r="H233">
        <v>230</v>
      </c>
      <c r="I233">
        <v>1494</v>
      </c>
      <c r="J233">
        <v>1044</v>
      </c>
      <c r="K233">
        <v>201</v>
      </c>
      <c r="L233" s="1" t="s">
        <v>36</v>
      </c>
      <c r="M233" s="1"/>
      <c r="N233" s="1"/>
      <c r="O233" s="1" t="s">
        <v>37</v>
      </c>
      <c r="P233" s="5">
        <f>IFERROR(((Posts_Cleaned[[#This Row],[Likes]]+Posts_Cleaned[[#This Row],[Shares]]+Posts_Cleaned[[#This Row],[Comments]])/Posts_Cleaned[[#This Row],[Impressions]]),0)</f>
        <v>0.7168674698795181</v>
      </c>
      <c r="Q233" s="3" t="str">
        <f>_xlfn.TEXTJOIN(", ", TRUE, Posts_Cleaned[[#This Row],[Hashtags Used.1]], Posts_Cleaned[[#This Row],[Hashtags Used.2]], Posts_Cleaned[[#This Row],[Hashtags Used.3]])</f>
        <v>#EVRevolution</v>
      </c>
      <c r="R233" s="2">
        <f>VLOOKUP(Posts_Cleaned[[#This Row],[Campaign_Name]],'Campaign Metadata Dataset '!$A$2:$B$5,2,0)</f>
        <v>45717</v>
      </c>
      <c r="S233" s="2">
        <f>VLOOKUP(Posts_Cleaned[[#This Row],[Campaign_Name]],'Campaign Metadata Dataset '!$A$1:$C$5,3,0)</f>
        <v>45747</v>
      </c>
      <c r="T233" s="1" t="str">
        <f t="shared" si="12"/>
        <v>Before Campaign</v>
      </c>
      <c r="U233" s="1">
        <f>SUM(Posts_Cleaned[[#This Row],[Likes]]+Posts_Cleaned[[#This Row],[Shares]]+Posts_Cleaned[[#This Row],[Comments]]+Posts_Cleaned[[#This Row],[Clicks]])</f>
        <v>1272</v>
      </c>
      <c r="V233" s="1">
        <f ca="1">AVERAGEIF(Posts_Cleaned[[#This Row],[Period]]:T:T,"Before Campaign",Posts_Cleaned[[#This Row],[Engagement Rate ]])</f>
        <v>0.14187353036296516</v>
      </c>
      <c r="W233" s="5">
        <f t="shared" ca="1" si="15"/>
        <v>0.16066860434382985</v>
      </c>
      <c r="X233" s="6">
        <f ca="1">(Posts_Cleaned[[#This Row],[During ]]-Posts_Cleaned[[#This Row],[Before ]])/Posts_Cleaned[[#This Row],[During ]]</f>
        <v>0.11698037745223296</v>
      </c>
      <c r="Y233" s="1">
        <f>IFERROR(VLOOKUP(O233, 'Campaign Metadata Dataset '!$A$1:$G$5,5,0),0)</f>
        <v>180000</v>
      </c>
      <c r="Z233" s="1">
        <f t="shared" si="13"/>
        <v>7.0666666666666664E-3</v>
      </c>
      <c r="AA233" s="1">
        <f t="shared" ca="1" si="14"/>
        <v>0.11698037745223296</v>
      </c>
    </row>
    <row r="234" spans="1:27" x14ac:dyDescent="0.25">
      <c r="A234" t="s">
        <v>291</v>
      </c>
      <c r="B234" s="1" t="s">
        <v>40</v>
      </c>
      <c r="C234" s="2">
        <v>45724</v>
      </c>
      <c r="D234" s="1" t="s">
        <v>46</v>
      </c>
      <c r="E234" s="1" t="s">
        <v>51</v>
      </c>
      <c r="F234">
        <v>2382</v>
      </c>
      <c r="G234">
        <v>265</v>
      </c>
      <c r="H234">
        <v>134</v>
      </c>
      <c r="I234">
        <v>38112</v>
      </c>
      <c r="J234">
        <v>37437</v>
      </c>
      <c r="K234">
        <v>249</v>
      </c>
      <c r="L234" s="1" t="s">
        <v>19</v>
      </c>
      <c r="M234" s="1"/>
      <c r="N234" s="1"/>
      <c r="O234" s="1" t="s">
        <v>37</v>
      </c>
      <c r="P234" s="5">
        <f>IFERROR(((Posts_Cleaned[[#This Row],[Likes]]+Posts_Cleaned[[#This Row],[Shares]]+Posts_Cleaned[[#This Row],[Comments]])/Posts_Cleaned[[#This Row],[Impressions]]),0)</f>
        <v>7.2969143576826198E-2</v>
      </c>
      <c r="Q234" s="3" t="str">
        <f>_xlfn.TEXTJOIN(", ", TRUE, Posts_Cleaned[[#This Row],[Hashtags Used.1]], Posts_Cleaned[[#This Row],[Hashtags Used.2]], Posts_Cleaned[[#This Row],[Hashtags Used.3]])</f>
        <v>#FutureOfDriving</v>
      </c>
      <c r="R234" s="2">
        <f>VLOOKUP(Posts_Cleaned[[#This Row],[Campaign_Name]],'Campaign Metadata Dataset '!$A$2:$B$5,2,0)</f>
        <v>45717</v>
      </c>
      <c r="S234" s="2">
        <f>VLOOKUP(Posts_Cleaned[[#This Row],[Campaign_Name]],'Campaign Metadata Dataset '!$A$1:$C$5,3,0)</f>
        <v>45747</v>
      </c>
      <c r="T234" s="1" t="str">
        <f t="shared" si="12"/>
        <v>During Campaign</v>
      </c>
      <c r="U234" s="1">
        <f>SUM(Posts_Cleaned[[#This Row],[Likes]]+Posts_Cleaned[[#This Row],[Shares]]+Posts_Cleaned[[#This Row],[Comments]]+Posts_Cleaned[[#This Row],[Clicks]])</f>
        <v>3030</v>
      </c>
      <c r="V234" s="1">
        <f ca="1">AVERAGEIF(Posts_Cleaned[[#This Row],[Period]]:T:T,"Before Campaign",Posts_Cleaned[[#This Row],[Engagement Rate ]])</f>
        <v>0.14025837424706533</v>
      </c>
      <c r="W234" s="5">
        <f t="shared" ca="1" si="15"/>
        <v>9.3493893358788369E-2</v>
      </c>
      <c r="X234" s="6">
        <f ca="1">(Posts_Cleaned[[#This Row],[During ]]-Posts_Cleaned[[#This Row],[Before ]])/Posts_Cleaned[[#This Row],[During ]]</f>
        <v>-0.50018754389461018</v>
      </c>
      <c r="Y234" s="1">
        <f>IFERROR(VLOOKUP(O234, 'Campaign Metadata Dataset '!$A$1:$G$5,5,0),0)</f>
        <v>180000</v>
      </c>
      <c r="Z234" s="1">
        <f t="shared" si="13"/>
        <v>1.6833333333333332E-2</v>
      </c>
      <c r="AA234" s="1">
        <f t="shared" ca="1" si="14"/>
        <v>-0.50018754389461018</v>
      </c>
    </row>
    <row r="235" spans="1:27" x14ac:dyDescent="0.25">
      <c r="A235" t="s">
        <v>292</v>
      </c>
      <c r="B235" s="1" t="s">
        <v>40</v>
      </c>
      <c r="C235" s="2">
        <v>45444</v>
      </c>
      <c r="D235" s="1" t="s">
        <v>23</v>
      </c>
      <c r="E235" s="1" t="s">
        <v>49</v>
      </c>
      <c r="F235">
        <v>1272</v>
      </c>
      <c r="G235">
        <v>465</v>
      </c>
      <c r="H235">
        <v>99</v>
      </c>
      <c r="I235">
        <v>24168</v>
      </c>
      <c r="J235">
        <v>23719</v>
      </c>
      <c r="K235">
        <v>42</v>
      </c>
      <c r="L235" s="1" t="s">
        <v>25</v>
      </c>
      <c r="M235" s="1"/>
      <c r="N235" s="1"/>
      <c r="O235" s="1"/>
      <c r="P235" s="5">
        <f>IFERROR(((Posts_Cleaned[[#This Row],[Likes]]+Posts_Cleaned[[#This Row],[Shares]]+Posts_Cleaned[[#This Row],[Comments]])/Posts_Cleaned[[#This Row],[Impressions]]),0)</f>
        <v>7.5968222442899705E-2</v>
      </c>
      <c r="Q235" s="3" t="str">
        <f>_xlfn.TEXTJOIN(", ", TRUE, Posts_Cleaned[[#This Row],[Hashtags Used.1]], Posts_Cleaned[[#This Row],[Hashtags Used.2]], Posts_Cleaned[[#This Row],[Hashtags Used.3]])</f>
        <v>#TeslaCoInnovation</v>
      </c>
      <c r="R235" s="2" t="e">
        <f>VLOOKUP(Posts_Cleaned[[#This Row],[Campaign_Name]],'Campaign Metadata Dataset '!$A$2:$B$5,2,0)</f>
        <v>#N/A</v>
      </c>
      <c r="S235" s="2" t="e">
        <f>VLOOKUP(Posts_Cleaned[[#This Row],[Campaign_Name]],'Campaign Metadata Dataset '!$A$1:$C$5,3,0)</f>
        <v>#N/A</v>
      </c>
      <c r="T235" s="1" t="e">
        <f t="shared" si="12"/>
        <v>#N/A</v>
      </c>
      <c r="U235" s="1">
        <f>SUM(Posts_Cleaned[[#This Row],[Likes]]+Posts_Cleaned[[#This Row],[Shares]]+Posts_Cleaned[[#This Row],[Comments]]+Posts_Cleaned[[#This Row],[Clicks]])</f>
        <v>1878</v>
      </c>
      <c r="V235" s="1">
        <f ca="1">AVERAGEIF(Posts_Cleaned[[#This Row],[Period]]:T:T,"Before Campaign",Posts_Cleaned[[#This Row],[Engagement Rate ]])</f>
        <v>0.12538117142917493</v>
      </c>
      <c r="W235" s="5">
        <f t="shared" ca="1" si="15"/>
        <v>0.11651711544802561</v>
      </c>
      <c r="X235" s="6">
        <f ca="1">(Posts_Cleaned[[#This Row],[During ]]-Posts_Cleaned[[#This Row],[Before ]])/Posts_Cleaned[[#This Row],[During ]]</f>
        <v>-7.6075140953032638E-2</v>
      </c>
      <c r="Y235" s="1">
        <f>IFERROR(VLOOKUP(O235, 'Campaign Metadata Dataset '!$A$1:$G$5,5,0),0)</f>
        <v>0</v>
      </c>
      <c r="Z235" s="1">
        <v>0</v>
      </c>
      <c r="AA235" s="1">
        <f t="shared" ca="1" si="14"/>
        <v>-7.6075140953032638E-2</v>
      </c>
    </row>
    <row r="236" spans="1:27" x14ac:dyDescent="0.25">
      <c r="A236" t="s">
        <v>293</v>
      </c>
      <c r="B236" s="1" t="s">
        <v>40</v>
      </c>
      <c r="C236" s="2">
        <v>45648</v>
      </c>
      <c r="D236" s="1" t="s">
        <v>46</v>
      </c>
      <c r="E236" s="1" t="s">
        <v>51</v>
      </c>
      <c r="F236">
        <v>3196</v>
      </c>
      <c r="G236">
        <v>941</v>
      </c>
      <c r="H236">
        <v>376</v>
      </c>
      <c r="I236">
        <v>35156</v>
      </c>
      <c r="J236">
        <v>34444</v>
      </c>
      <c r="K236">
        <v>241</v>
      </c>
      <c r="L236" s="1" t="s">
        <v>25</v>
      </c>
      <c r="M236" s="1"/>
      <c r="N236" s="1"/>
      <c r="O236" s="1" t="s">
        <v>31</v>
      </c>
      <c r="P236" s="5">
        <f>IFERROR(((Posts_Cleaned[[#This Row],[Likes]]+Posts_Cleaned[[#This Row],[Shares]]+Posts_Cleaned[[#This Row],[Comments]])/Posts_Cleaned[[#This Row],[Impressions]]),0)</f>
        <v>0.1283706906360223</v>
      </c>
      <c r="Q236" s="3" t="str">
        <f>_xlfn.TEXTJOIN(", ", TRUE, Posts_Cleaned[[#This Row],[Hashtags Used.1]], Posts_Cleaned[[#This Row],[Hashtags Used.2]], Posts_Cleaned[[#This Row],[Hashtags Used.3]])</f>
        <v>#TeslaCoInnovation</v>
      </c>
      <c r="R236" s="2">
        <f>VLOOKUP(Posts_Cleaned[[#This Row],[Campaign_Name]],'Campaign Metadata Dataset '!$A$2:$B$5,2,0)</f>
        <v>45651</v>
      </c>
      <c r="S236" s="2">
        <f>VLOOKUP(Posts_Cleaned[[#This Row],[Campaign_Name]],'Campaign Metadata Dataset '!$A$1:$C$5,3,0)</f>
        <v>45667</v>
      </c>
      <c r="T236" s="1" t="str">
        <f t="shared" si="12"/>
        <v>Before Campaign</v>
      </c>
      <c r="U236" s="1">
        <f>SUM(Posts_Cleaned[[#This Row],[Likes]]+Posts_Cleaned[[#This Row],[Shares]]+Posts_Cleaned[[#This Row],[Comments]]+Posts_Cleaned[[#This Row],[Clicks]])</f>
        <v>4754</v>
      </c>
      <c r="V236" s="1">
        <f ca="1">AVERAGEIF(Posts_Cleaned[[#This Row],[Period]]:T:T,"Before Campaign",Posts_Cleaned[[#This Row],[Engagement Rate ]])</f>
        <v>0.13972516591089096</v>
      </c>
      <c r="W236" s="5">
        <f t="shared" ca="1" si="15"/>
        <v>0.14734219621722497</v>
      </c>
      <c r="X236" s="6">
        <f ca="1">(Posts_Cleaned[[#This Row],[During ]]-Posts_Cleaned[[#This Row],[Before ]])/Posts_Cleaned[[#This Row],[During ]]</f>
        <v>5.1696190920788955E-2</v>
      </c>
      <c r="Y236" s="1">
        <f>IFERROR(VLOOKUP(O236, 'Campaign Metadata Dataset '!$A$1:$G$5,5,0),0)</f>
        <v>250000</v>
      </c>
      <c r="Z236" s="1">
        <f t="shared" si="13"/>
        <v>1.9016000000000002E-2</v>
      </c>
      <c r="AA236" s="1">
        <f t="shared" ca="1" si="14"/>
        <v>5.1696190920788955E-2</v>
      </c>
    </row>
    <row r="237" spans="1:27" x14ac:dyDescent="0.25">
      <c r="A237" t="s">
        <v>294</v>
      </c>
      <c r="B237" s="1" t="s">
        <v>40</v>
      </c>
      <c r="C237" s="2">
        <v>45523</v>
      </c>
      <c r="D237" s="1" t="s">
        <v>23</v>
      </c>
      <c r="E237" s="1" t="s">
        <v>49</v>
      </c>
      <c r="F237">
        <v>1257</v>
      </c>
      <c r="G237">
        <v>19</v>
      </c>
      <c r="H237">
        <v>351</v>
      </c>
      <c r="I237">
        <v>12570</v>
      </c>
      <c r="J237">
        <v>11660</v>
      </c>
      <c r="K237">
        <v>194</v>
      </c>
      <c r="L237" s="1" t="s">
        <v>19</v>
      </c>
      <c r="M237" s="1" t="s">
        <v>20</v>
      </c>
      <c r="N237" s="1" t="s">
        <v>36</v>
      </c>
      <c r="O237" s="1" t="s">
        <v>27</v>
      </c>
      <c r="P237" s="5">
        <f>IFERROR(((Posts_Cleaned[[#This Row],[Likes]]+Posts_Cleaned[[#This Row],[Shares]]+Posts_Cleaned[[#This Row],[Comments]])/Posts_Cleaned[[#This Row],[Impressions]]),0)</f>
        <v>0.12943516308671441</v>
      </c>
      <c r="Q237" s="3" t="str">
        <f>_xlfn.TEXTJOIN(", ", TRUE, Posts_Cleaned[[#This Row],[Hashtags Used.1]], Posts_Cleaned[[#This Row],[Hashtags Used.2]], Posts_Cleaned[[#This Row],[Hashtags Used.3]])</f>
        <v>#FutureOfDriving, #AnytimeIsTeslaTime, #EVRevolution</v>
      </c>
      <c r="R237" s="2">
        <f>VLOOKUP(Posts_Cleaned[[#This Row],[Campaign_Name]],'Campaign Metadata Dataset '!$A$2:$B$5,2,0)</f>
        <v>45566</v>
      </c>
      <c r="S237" s="2">
        <f>VLOOKUP(Posts_Cleaned[[#This Row],[Campaign_Name]],'Campaign Metadata Dataset '!$A$1:$C$5,3,0)</f>
        <v>45596</v>
      </c>
      <c r="T237" s="1" t="str">
        <f t="shared" si="12"/>
        <v>Before Campaign</v>
      </c>
      <c r="U237" s="1">
        <f>SUM(Posts_Cleaned[[#This Row],[Likes]]+Posts_Cleaned[[#This Row],[Shares]]+Posts_Cleaned[[#This Row],[Comments]]+Posts_Cleaned[[#This Row],[Clicks]])</f>
        <v>1821</v>
      </c>
      <c r="V237" s="1">
        <f ca="1">AVERAGEIF(Posts_Cleaned[[#This Row],[Period]]:T:T,"Before Campaign",Posts_Cleaned[[#This Row],[Engagement Rate ]])</f>
        <v>0.136666656901273</v>
      </c>
      <c r="W237" s="5">
        <f t="shared" ca="1" si="15"/>
        <v>0.18032640917451545</v>
      </c>
      <c r="X237" s="6">
        <f ca="1">(Posts_Cleaned[[#This Row],[During ]]-Posts_Cleaned[[#This Row],[Before ]])/Posts_Cleaned[[#This Row],[During ]]</f>
        <v>0.24211513151681305</v>
      </c>
      <c r="Y237" s="1">
        <f>IFERROR(VLOOKUP(O237, 'Campaign Metadata Dataset '!$A$1:$G$5,5,0),0)</f>
        <v>200000</v>
      </c>
      <c r="Z237" s="1">
        <f t="shared" si="13"/>
        <v>9.1050000000000002E-3</v>
      </c>
      <c r="AA237" s="1">
        <f t="shared" ca="1" si="14"/>
        <v>0.24211513151681305</v>
      </c>
    </row>
    <row r="238" spans="1:27" x14ac:dyDescent="0.25">
      <c r="A238" t="s">
        <v>295</v>
      </c>
      <c r="B238" s="1" t="s">
        <v>33</v>
      </c>
      <c r="C238" s="2">
        <v>45587</v>
      </c>
      <c r="D238" s="1" t="s">
        <v>34</v>
      </c>
      <c r="E238" s="1" t="s">
        <v>35</v>
      </c>
      <c r="F238">
        <v>3770</v>
      </c>
      <c r="G238">
        <v>917</v>
      </c>
      <c r="H238">
        <v>129</v>
      </c>
      <c r="I238">
        <v>71630</v>
      </c>
      <c r="J238">
        <v>71322</v>
      </c>
      <c r="K238">
        <v>76</v>
      </c>
      <c r="L238" s="1" t="s">
        <v>19</v>
      </c>
      <c r="M238" s="1"/>
      <c r="N238" s="1"/>
      <c r="O238" s="1" t="s">
        <v>21</v>
      </c>
      <c r="P238" s="5">
        <f>IFERROR(((Posts_Cleaned[[#This Row],[Likes]]+Posts_Cleaned[[#This Row],[Shares]]+Posts_Cleaned[[#This Row],[Comments]])/Posts_Cleaned[[#This Row],[Impressions]]),0)</f>
        <v>6.7234398994834563E-2</v>
      </c>
      <c r="Q238" s="3" t="str">
        <f>_xlfn.TEXTJOIN(", ", TRUE, Posts_Cleaned[[#This Row],[Hashtags Used.1]], Posts_Cleaned[[#This Row],[Hashtags Used.2]], Posts_Cleaned[[#This Row],[Hashtags Used.3]])</f>
        <v>#FutureOfDriving</v>
      </c>
      <c r="R238" s="2">
        <f>VLOOKUP(Posts_Cleaned[[#This Row],[Campaign_Name]],'Campaign Metadata Dataset '!$A$2:$B$5,2,0)</f>
        <v>45458</v>
      </c>
      <c r="S238" s="2">
        <f>VLOOKUP(Posts_Cleaned[[#This Row],[Campaign_Name]],'Campaign Metadata Dataset '!$A$1:$C$5,3,0)</f>
        <v>45488</v>
      </c>
      <c r="T238" s="1" t="str">
        <f t="shared" si="12"/>
        <v>Before Campaign</v>
      </c>
      <c r="U238" s="1">
        <f>SUM(Posts_Cleaned[[#This Row],[Likes]]+Posts_Cleaned[[#This Row],[Shares]]+Posts_Cleaned[[#This Row],[Comments]]+Posts_Cleaned[[#This Row],[Clicks]])</f>
        <v>4892</v>
      </c>
      <c r="V238" s="1">
        <f ca="1">AVERAGEIF(Posts_Cleaned[[#This Row],[Period]]:T:T,"Before Campaign",Posts_Cleaned[[#This Row],[Engagement Rate ]])</f>
        <v>0.14408692111843668</v>
      </c>
      <c r="W238" s="5">
        <f t="shared" ca="1" si="15"/>
        <v>0.26915175460605173</v>
      </c>
      <c r="X238" s="6">
        <f ca="1">(Posts_Cleaned[[#This Row],[During ]]-Posts_Cleaned[[#This Row],[Before ]])/Posts_Cleaned[[#This Row],[During ]]</f>
        <v>0.46466289499270846</v>
      </c>
      <c r="Y238" s="1">
        <f>IFERROR(VLOOKUP(O238, 'Campaign Metadata Dataset '!$A$1:$G$5,5,0),0)</f>
        <v>150000</v>
      </c>
      <c r="Z238" s="1">
        <f t="shared" si="13"/>
        <v>3.2613333333333334E-2</v>
      </c>
      <c r="AA238" s="1">
        <f t="shared" ca="1" si="14"/>
        <v>0.46466289499270846</v>
      </c>
    </row>
    <row r="239" spans="1:27" x14ac:dyDescent="0.25">
      <c r="A239" t="s">
        <v>296</v>
      </c>
      <c r="B239" s="1" t="s">
        <v>16</v>
      </c>
      <c r="C239" s="2">
        <v>45489</v>
      </c>
      <c r="D239" s="1" t="s">
        <v>23</v>
      </c>
      <c r="E239" s="1" t="s">
        <v>24</v>
      </c>
      <c r="F239">
        <v>4725</v>
      </c>
      <c r="G239">
        <v>400</v>
      </c>
      <c r="H239">
        <v>362</v>
      </c>
      <c r="I239">
        <v>75600</v>
      </c>
      <c r="J239">
        <v>74927</v>
      </c>
      <c r="K239">
        <v>43</v>
      </c>
      <c r="L239" s="1" t="s">
        <v>19</v>
      </c>
      <c r="M239" s="1"/>
      <c r="N239" s="1"/>
      <c r="O239" s="1" t="s">
        <v>37</v>
      </c>
      <c r="P239" s="5">
        <f>IFERROR(((Posts_Cleaned[[#This Row],[Likes]]+Posts_Cleaned[[#This Row],[Shares]]+Posts_Cleaned[[#This Row],[Comments]])/Posts_Cleaned[[#This Row],[Impressions]]),0)</f>
        <v>7.2579365079365077E-2</v>
      </c>
      <c r="Q239" s="3" t="str">
        <f>_xlfn.TEXTJOIN(", ", TRUE, Posts_Cleaned[[#This Row],[Hashtags Used.1]], Posts_Cleaned[[#This Row],[Hashtags Used.2]], Posts_Cleaned[[#This Row],[Hashtags Used.3]])</f>
        <v>#FutureOfDriving</v>
      </c>
      <c r="R239" s="2">
        <f>VLOOKUP(Posts_Cleaned[[#This Row],[Campaign_Name]],'Campaign Metadata Dataset '!$A$2:$B$5,2,0)</f>
        <v>45717</v>
      </c>
      <c r="S239" s="2">
        <f>VLOOKUP(Posts_Cleaned[[#This Row],[Campaign_Name]],'Campaign Metadata Dataset '!$A$1:$C$5,3,0)</f>
        <v>45747</v>
      </c>
      <c r="T239" s="1" t="str">
        <f t="shared" si="12"/>
        <v>Before Campaign</v>
      </c>
      <c r="U239" s="1">
        <f>SUM(Posts_Cleaned[[#This Row],[Likes]]+Posts_Cleaned[[#This Row],[Shares]]+Posts_Cleaned[[#This Row],[Comments]]+Posts_Cleaned[[#This Row],[Clicks]])</f>
        <v>5530</v>
      </c>
      <c r="V239" s="1">
        <f ca="1">AVERAGEIF(Posts_Cleaned[[#This Row],[Period]]:T:T,"Before Campaign",Posts_Cleaned[[#This Row],[Engagement Rate ]])</f>
        <v>0.13981555679156313</v>
      </c>
      <c r="W239" s="5">
        <f t="shared" ca="1" si="15"/>
        <v>0.17875491986596034</v>
      </c>
      <c r="X239" s="6">
        <f ca="1">(Posts_Cleaned[[#This Row],[During ]]-Posts_Cleaned[[#This Row],[Before ]])/Posts_Cleaned[[#This Row],[During ]]</f>
        <v>0.21783659495132193</v>
      </c>
      <c r="Y239" s="1">
        <f>IFERROR(VLOOKUP(O239, 'Campaign Metadata Dataset '!$A$1:$G$5,5,0),0)</f>
        <v>180000</v>
      </c>
      <c r="Z239" s="1">
        <f t="shared" si="13"/>
        <v>3.0722222222222224E-2</v>
      </c>
      <c r="AA239" s="1">
        <f t="shared" ca="1" si="14"/>
        <v>0.21783659495132193</v>
      </c>
    </row>
    <row r="240" spans="1:27" x14ac:dyDescent="0.25">
      <c r="A240" t="s">
        <v>297</v>
      </c>
      <c r="B240" s="1" t="s">
        <v>29</v>
      </c>
      <c r="C240" s="2">
        <v>45712</v>
      </c>
      <c r="D240" s="1" t="s">
        <v>23</v>
      </c>
      <c r="E240" s="1" t="s">
        <v>77</v>
      </c>
      <c r="F240">
        <v>4188</v>
      </c>
      <c r="G240">
        <v>942</v>
      </c>
      <c r="H240">
        <v>118</v>
      </c>
      <c r="I240">
        <v>20940</v>
      </c>
      <c r="J240">
        <v>20471</v>
      </c>
      <c r="K240">
        <v>102</v>
      </c>
      <c r="L240" s="1" t="s">
        <v>19</v>
      </c>
      <c r="M240" s="1"/>
      <c r="N240" s="1"/>
      <c r="O240" s="1"/>
      <c r="P240" s="5">
        <f>IFERROR(((Posts_Cleaned[[#This Row],[Likes]]+Posts_Cleaned[[#This Row],[Shares]]+Posts_Cleaned[[#This Row],[Comments]])/Posts_Cleaned[[#This Row],[Impressions]]),0)</f>
        <v>0.25062082139446035</v>
      </c>
      <c r="Q240" s="3" t="str">
        <f>_xlfn.TEXTJOIN(", ", TRUE, Posts_Cleaned[[#This Row],[Hashtags Used.1]], Posts_Cleaned[[#This Row],[Hashtags Used.2]], Posts_Cleaned[[#This Row],[Hashtags Used.3]])</f>
        <v>#FutureOfDriving</v>
      </c>
      <c r="R240" s="2" t="e">
        <f>VLOOKUP(Posts_Cleaned[[#This Row],[Campaign_Name]],'Campaign Metadata Dataset '!$A$2:$B$5,2,0)</f>
        <v>#N/A</v>
      </c>
      <c r="S240" s="2" t="e">
        <f>VLOOKUP(Posts_Cleaned[[#This Row],[Campaign_Name]],'Campaign Metadata Dataset '!$A$1:$C$5,3,0)</f>
        <v>#N/A</v>
      </c>
      <c r="T240" s="1" t="e">
        <f t="shared" si="12"/>
        <v>#N/A</v>
      </c>
      <c r="U240" s="1">
        <f>SUM(Posts_Cleaned[[#This Row],[Likes]]+Posts_Cleaned[[#This Row],[Shares]]+Posts_Cleaned[[#This Row],[Comments]]+Posts_Cleaned[[#This Row],[Clicks]])</f>
        <v>5350</v>
      </c>
      <c r="V240" s="1">
        <f ca="1">AVERAGEIF(Posts_Cleaned[[#This Row],[Period]]:T:T,"Before Campaign",Posts_Cleaned[[#This Row],[Engagement Rate ]])</f>
        <v>0.13491271119083223</v>
      </c>
      <c r="W240" s="5">
        <f t="shared" ca="1" si="15"/>
        <v>0.12552775159085475</v>
      </c>
      <c r="X240" s="6">
        <f ca="1">(Posts_Cleaned[[#This Row],[During ]]-Posts_Cleaned[[#This Row],[Before ]])/Posts_Cleaned[[#This Row],[During ]]</f>
        <v>-7.4764022146806441E-2</v>
      </c>
      <c r="Y240" s="1">
        <f>IFERROR(VLOOKUP(O240, 'Campaign Metadata Dataset '!$A$1:$G$5,5,0),0)</f>
        <v>0</v>
      </c>
      <c r="Z240" s="1">
        <v>0</v>
      </c>
      <c r="AA240" s="1">
        <f t="shared" ca="1" si="14"/>
        <v>-7.4764022146806441E-2</v>
      </c>
    </row>
    <row r="241" spans="1:27" x14ac:dyDescent="0.25">
      <c r="A241" t="s">
        <v>298</v>
      </c>
      <c r="B241" s="1" t="s">
        <v>16</v>
      </c>
      <c r="C241" s="2">
        <v>45530</v>
      </c>
      <c r="D241" s="1" t="s">
        <v>41</v>
      </c>
      <c r="E241" s="1" t="s">
        <v>44</v>
      </c>
      <c r="F241">
        <v>929</v>
      </c>
      <c r="G241">
        <v>192</v>
      </c>
      <c r="H241">
        <v>322</v>
      </c>
      <c r="I241">
        <v>16722</v>
      </c>
      <c r="J241">
        <v>15996</v>
      </c>
      <c r="K241">
        <v>145</v>
      </c>
      <c r="L241" s="1" t="s">
        <v>36</v>
      </c>
      <c r="M241" s="1" t="s">
        <v>25</v>
      </c>
      <c r="N241" s="1" t="s">
        <v>20</v>
      </c>
      <c r="O241" s="1" t="s">
        <v>31</v>
      </c>
      <c r="P241" s="5">
        <f>IFERROR(((Posts_Cleaned[[#This Row],[Likes]]+Posts_Cleaned[[#This Row],[Shares]]+Posts_Cleaned[[#This Row],[Comments]])/Posts_Cleaned[[#This Row],[Impressions]]),0)</f>
        <v>8.6293505561535699E-2</v>
      </c>
      <c r="Q241" s="3" t="str">
        <f>_xlfn.TEXTJOIN(", ", TRUE, Posts_Cleaned[[#This Row],[Hashtags Used.1]], Posts_Cleaned[[#This Row],[Hashtags Used.2]], Posts_Cleaned[[#This Row],[Hashtags Used.3]])</f>
        <v>#EVRevolution, #TeslaCoInnovation, #AnytimeIsTeslaTime</v>
      </c>
      <c r="R241" s="2">
        <f>VLOOKUP(Posts_Cleaned[[#This Row],[Campaign_Name]],'Campaign Metadata Dataset '!$A$2:$B$5,2,0)</f>
        <v>45651</v>
      </c>
      <c r="S241" s="2">
        <f>VLOOKUP(Posts_Cleaned[[#This Row],[Campaign_Name]],'Campaign Metadata Dataset '!$A$1:$C$5,3,0)</f>
        <v>45667</v>
      </c>
      <c r="T241" s="1" t="str">
        <f t="shared" si="12"/>
        <v>Before Campaign</v>
      </c>
      <c r="U241" s="1">
        <f>SUM(Posts_Cleaned[[#This Row],[Likes]]+Posts_Cleaned[[#This Row],[Shares]]+Posts_Cleaned[[#This Row],[Comments]]+Posts_Cleaned[[#This Row],[Clicks]])</f>
        <v>1588</v>
      </c>
      <c r="V241" s="1">
        <f ca="1">AVERAGEIF(Posts_Cleaned[[#This Row],[Period]]:T:T,"Before Campaign",Posts_Cleaned[[#This Row],[Engagement Rate ]])</f>
        <v>0.14433913355638131</v>
      </c>
      <c r="W241" s="5">
        <f t="shared" ca="1" si="15"/>
        <v>0.11763566519324298</v>
      </c>
      <c r="X241" s="6">
        <f ca="1">(Posts_Cleaned[[#This Row],[During ]]-Posts_Cleaned[[#This Row],[Before ]])/Posts_Cleaned[[#This Row],[During ]]</f>
        <v>-0.22700146523821577</v>
      </c>
      <c r="Y241" s="1">
        <f>IFERROR(VLOOKUP(O241, 'Campaign Metadata Dataset '!$A$1:$G$5,5,0),0)</f>
        <v>250000</v>
      </c>
      <c r="Z241" s="1">
        <f t="shared" si="13"/>
        <v>6.352E-3</v>
      </c>
      <c r="AA241" s="1">
        <f t="shared" ca="1" si="14"/>
        <v>-0.22700146523821577</v>
      </c>
    </row>
    <row r="242" spans="1:27" x14ac:dyDescent="0.25">
      <c r="A242" t="s">
        <v>299</v>
      </c>
      <c r="B242" s="1" t="s">
        <v>40</v>
      </c>
      <c r="C242" s="2">
        <v>45675</v>
      </c>
      <c r="D242" s="1" t="s">
        <v>34</v>
      </c>
      <c r="E242" s="1" t="s">
        <v>58</v>
      </c>
      <c r="F242">
        <v>4321</v>
      </c>
      <c r="G242">
        <v>874</v>
      </c>
      <c r="H242">
        <v>172</v>
      </c>
      <c r="I242">
        <v>30247</v>
      </c>
      <c r="J242">
        <v>29254</v>
      </c>
      <c r="K242">
        <v>122</v>
      </c>
      <c r="L242" s="1" t="s">
        <v>25</v>
      </c>
      <c r="M242" s="1"/>
      <c r="N242" s="1"/>
      <c r="O242" s="1" t="s">
        <v>37</v>
      </c>
      <c r="P242" s="5">
        <f>IFERROR(((Posts_Cleaned[[#This Row],[Likes]]+Posts_Cleaned[[#This Row],[Shares]]+Posts_Cleaned[[#This Row],[Comments]])/Posts_Cleaned[[#This Row],[Impressions]]),0)</f>
        <v>0.17743908486792079</v>
      </c>
      <c r="Q242" s="3" t="str">
        <f>_xlfn.TEXTJOIN(", ", TRUE, Posts_Cleaned[[#This Row],[Hashtags Used.1]], Posts_Cleaned[[#This Row],[Hashtags Used.2]], Posts_Cleaned[[#This Row],[Hashtags Used.3]])</f>
        <v>#TeslaCoInnovation</v>
      </c>
      <c r="R242" s="2">
        <f>VLOOKUP(Posts_Cleaned[[#This Row],[Campaign_Name]],'Campaign Metadata Dataset '!$A$2:$B$5,2,0)</f>
        <v>45717</v>
      </c>
      <c r="S242" s="2">
        <f>VLOOKUP(Posts_Cleaned[[#This Row],[Campaign_Name]],'Campaign Metadata Dataset '!$A$1:$C$5,3,0)</f>
        <v>45747</v>
      </c>
      <c r="T242" s="1" t="str">
        <f t="shared" si="12"/>
        <v>Before Campaign</v>
      </c>
      <c r="U242" s="1">
        <f>SUM(Posts_Cleaned[[#This Row],[Likes]]+Posts_Cleaned[[#This Row],[Shares]]+Posts_Cleaned[[#This Row],[Comments]]+Posts_Cleaned[[#This Row],[Clicks]])</f>
        <v>5489</v>
      </c>
      <c r="V242" s="1">
        <f ca="1">AVERAGEIF(Posts_Cleaned[[#This Row],[Period]]:T:T,"Before Campaign",Posts_Cleaned[[#This Row],[Engagement Rate ]])</f>
        <v>0.14577487539113229</v>
      </c>
      <c r="W242" s="5">
        <f t="shared" ca="1" si="15"/>
        <v>0.11786912866797361</v>
      </c>
      <c r="X242" s="6">
        <f ca="1">(Posts_Cleaned[[#This Row],[During ]]-Posts_Cleaned[[#This Row],[Before ]])/Posts_Cleaned[[#This Row],[During ]]</f>
        <v>-0.23675195565215873</v>
      </c>
      <c r="Y242" s="1">
        <f>IFERROR(VLOOKUP(O242, 'Campaign Metadata Dataset '!$A$1:$G$5,5,0),0)</f>
        <v>180000</v>
      </c>
      <c r="Z242" s="1">
        <f t="shared" si="13"/>
        <v>3.0494444444444446E-2</v>
      </c>
      <c r="AA242" s="1">
        <f t="shared" ca="1" si="14"/>
        <v>-0.23675195565215873</v>
      </c>
    </row>
    <row r="243" spans="1:27" x14ac:dyDescent="0.25">
      <c r="A243" t="s">
        <v>300</v>
      </c>
      <c r="B243" s="1" t="s">
        <v>40</v>
      </c>
      <c r="C243" s="2">
        <v>45480</v>
      </c>
      <c r="D243" s="1" t="s">
        <v>17</v>
      </c>
      <c r="E243" s="1" t="s">
        <v>54</v>
      </c>
      <c r="F243">
        <v>4767</v>
      </c>
      <c r="G243">
        <v>190</v>
      </c>
      <c r="H243">
        <v>340</v>
      </c>
      <c r="I243">
        <v>28602</v>
      </c>
      <c r="J243">
        <v>28044</v>
      </c>
      <c r="K243">
        <v>210</v>
      </c>
      <c r="L243" s="1" t="s">
        <v>36</v>
      </c>
      <c r="M243" s="1"/>
      <c r="N243" s="1"/>
      <c r="O243" s="1" t="s">
        <v>31</v>
      </c>
      <c r="P243" s="5">
        <f>IFERROR(((Posts_Cleaned[[#This Row],[Likes]]+Posts_Cleaned[[#This Row],[Shares]]+Posts_Cleaned[[#This Row],[Comments]])/Posts_Cleaned[[#This Row],[Impressions]]),0)</f>
        <v>0.18519683938186141</v>
      </c>
      <c r="Q243" s="3" t="str">
        <f>_xlfn.TEXTJOIN(", ", TRUE, Posts_Cleaned[[#This Row],[Hashtags Used.1]], Posts_Cleaned[[#This Row],[Hashtags Used.2]], Posts_Cleaned[[#This Row],[Hashtags Used.3]])</f>
        <v>#EVRevolution</v>
      </c>
      <c r="R243" s="2">
        <f>VLOOKUP(Posts_Cleaned[[#This Row],[Campaign_Name]],'Campaign Metadata Dataset '!$A$2:$B$5,2,0)</f>
        <v>45651</v>
      </c>
      <c r="S243" s="2">
        <f>VLOOKUP(Posts_Cleaned[[#This Row],[Campaign_Name]],'Campaign Metadata Dataset '!$A$1:$C$5,3,0)</f>
        <v>45667</v>
      </c>
      <c r="T243" s="1" t="str">
        <f t="shared" si="12"/>
        <v>Before Campaign</v>
      </c>
      <c r="U243" s="1">
        <f>SUM(Posts_Cleaned[[#This Row],[Likes]]+Posts_Cleaned[[#This Row],[Shares]]+Posts_Cleaned[[#This Row],[Comments]]+Posts_Cleaned[[#This Row],[Clicks]])</f>
        <v>5507</v>
      </c>
      <c r="V243" s="1">
        <f ca="1">AVERAGEIF(Posts_Cleaned[[#This Row],[Period]]:T:T,"Before Campaign",Posts_Cleaned[[#This Row],[Engagement Rate ]])</f>
        <v>0.15136083229673955</v>
      </c>
      <c r="W243" s="5">
        <f t="shared" ca="1" si="15"/>
        <v>0.14944387639879958</v>
      </c>
      <c r="X243" s="6">
        <f ca="1">(Posts_Cleaned[[#This Row],[During ]]-Posts_Cleaned[[#This Row],[Before ]])/Posts_Cleaned[[#This Row],[During ]]</f>
        <v>-1.2827262944012929E-2</v>
      </c>
      <c r="Y243" s="1">
        <f>IFERROR(VLOOKUP(O243, 'Campaign Metadata Dataset '!$A$1:$G$5,5,0),0)</f>
        <v>250000</v>
      </c>
      <c r="Z243" s="1">
        <f t="shared" si="13"/>
        <v>2.2027999999999999E-2</v>
      </c>
      <c r="AA243" s="1">
        <f t="shared" ca="1" si="14"/>
        <v>-1.2827262944012929E-2</v>
      </c>
    </row>
    <row r="244" spans="1:27" x14ac:dyDescent="0.25">
      <c r="A244" t="s">
        <v>301</v>
      </c>
      <c r="B244" s="1" t="s">
        <v>16</v>
      </c>
      <c r="C244" s="2">
        <v>45722</v>
      </c>
      <c r="D244" s="1" t="s">
        <v>46</v>
      </c>
      <c r="E244" s="1" t="s">
        <v>92</v>
      </c>
      <c r="F244">
        <v>3592</v>
      </c>
      <c r="G244">
        <v>911</v>
      </c>
      <c r="H244">
        <v>375</v>
      </c>
      <c r="I244">
        <v>50288</v>
      </c>
      <c r="J244">
        <v>49490</v>
      </c>
      <c r="K244">
        <v>32</v>
      </c>
      <c r="L244" s="1" t="s">
        <v>19</v>
      </c>
      <c r="M244" s="1"/>
      <c r="N244" s="1"/>
      <c r="O244" s="1" t="s">
        <v>37</v>
      </c>
      <c r="P244" s="5">
        <f>IFERROR(((Posts_Cleaned[[#This Row],[Likes]]+Posts_Cleaned[[#This Row],[Shares]]+Posts_Cleaned[[#This Row],[Comments]])/Posts_Cleaned[[#This Row],[Impressions]]),0)</f>
        <v>9.7001272669424113E-2</v>
      </c>
      <c r="Q244" s="3" t="str">
        <f>_xlfn.TEXTJOIN(", ", TRUE, Posts_Cleaned[[#This Row],[Hashtags Used.1]], Posts_Cleaned[[#This Row],[Hashtags Used.2]], Posts_Cleaned[[#This Row],[Hashtags Used.3]])</f>
        <v>#FutureOfDriving</v>
      </c>
      <c r="R244" s="2">
        <f>VLOOKUP(Posts_Cleaned[[#This Row],[Campaign_Name]],'Campaign Metadata Dataset '!$A$2:$B$5,2,0)</f>
        <v>45717</v>
      </c>
      <c r="S244" s="2">
        <f>VLOOKUP(Posts_Cleaned[[#This Row],[Campaign_Name]],'Campaign Metadata Dataset '!$A$1:$C$5,3,0)</f>
        <v>45747</v>
      </c>
      <c r="T244" s="1" t="str">
        <f t="shared" si="12"/>
        <v>During Campaign</v>
      </c>
      <c r="U244" s="1">
        <f>SUM(Posts_Cleaned[[#This Row],[Likes]]+Posts_Cleaned[[#This Row],[Shares]]+Posts_Cleaned[[#This Row],[Comments]]+Posts_Cleaned[[#This Row],[Clicks]])</f>
        <v>4910</v>
      </c>
      <c r="V244" s="1">
        <f ca="1">AVERAGEIF(Posts_Cleaned[[#This Row],[Period]]:T:T,"Before Campaign",Posts_Cleaned[[#This Row],[Engagement Rate ]])</f>
        <v>0.14512048704938921</v>
      </c>
      <c r="W244" s="5">
        <f t="shared" ca="1" si="15"/>
        <v>0.12285819769759365</v>
      </c>
      <c r="X244" s="6">
        <f ca="1">(Posts_Cleaned[[#This Row],[During ]]-Posts_Cleaned[[#This Row],[Before ]])/Posts_Cleaned[[#This Row],[During ]]</f>
        <v>-0.18120312497658911</v>
      </c>
      <c r="Y244" s="1">
        <f>IFERROR(VLOOKUP(O244, 'Campaign Metadata Dataset '!$A$1:$G$5,5,0),0)</f>
        <v>180000</v>
      </c>
      <c r="Z244" s="1">
        <f t="shared" si="13"/>
        <v>2.7277777777777779E-2</v>
      </c>
      <c r="AA244" s="1">
        <f t="shared" ca="1" si="14"/>
        <v>-0.18120312497658911</v>
      </c>
    </row>
    <row r="245" spans="1:27" x14ac:dyDescent="0.25">
      <c r="A245" t="s">
        <v>302</v>
      </c>
      <c r="B245" s="1" t="s">
        <v>29</v>
      </c>
      <c r="C245" s="2">
        <v>45590</v>
      </c>
      <c r="D245" s="1" t="s">
        <v>60</v>
      </c>
      <c r="E245" s="1" t="s">
        <v>140</v>
      </c>
      <c r="F245">
        <v>4661</v>
      </c>
      <c r="G245">
        <v>935</v>
      </c>
      <c r="H245">
        <v>433</v>
      </c>
      <c r="I245">
        <v>23305</v>
      </c>
      <c r="J245">
        <v>22583</v>
      </c>
      <c r="K245">
        <v>63</v>
      </c>
      <c r="L245" s="1" t="s">
        <v>19</v>
      </c>
      <c r="M245" s="1"/>
      <c r="N245" s="1"/>
      <c r="O245" s="1" t="s">
        <v>31</v>
      </c>
      <c r="P245" s="5">
        <f>IFERROR(((Posts_Cleaned[[#This Row],[Likes]]+Posts_Cleaned[[#This Row],[Shares]]+Posts_Cleaned[[#This Row],[Comments]])/Posts_Cleaned[[#This Row],[Impressions]]),0)</f>
        <v>0.25869984981763572</v>
      </c>
      <c r="Q245" s="3" t="str">
        <f>_xlfn.TEXTJOIN(", ", TRUE, Posts_Cleaned[[#This Row],[Hashtags Used.1]], Posts_Cleaned[[#This Row],[Hashtags Used.2]], Posts_Cleaned[[#This Row],[Hashtags Used.3]])</f>
        <v>#FutureOfDriving</v>
      </c>
      <c r="R245" s="2">
        <f>VLOOKUP(Posts_Cleaned[[#This Row],[Campaign_Name]],'Campaign Metadata Dataset '!$A$2:$B$5,2,0)</f>
        <v>45651</v>
      </c>
      <c r="S245" s="2">
        <f>VLOOKUP(Posts_Cleaned[[#This Row],[Campaign_Name]],'Campaign Metadata Dataset '!$A$1:$C$5,3,0)</f>
        <v>45667</v>
      </c>
      <c r="T245" s="1" t="str">
        <f t="shared" si="12"/>
        <v>Before Campaign</v>
      </c>
      <c r="U245" s="1">
        <f>SUM(Posts_Cleaned[[#This Row],[Likes]]+Posts_Cleaned[[#This Row],[Shares]]+Posts_Cleaned[[#This Row],[Comments]]+Posts_Cleaned[[#This Row],[Clicks]])</f>
        <v>6092</v>
      </c>
      <c r="V245" s="1">
        <f ca="1">AVERAGEIF(Posts_Cleaned[[#This Row],[Period]]:T:T,"Before Campaign",Posts_Cleaned[[#This Row],[Engagement Rate ]])</f>
        <v>0.14097146740593072</v>
      </c>
      <c r="W245" s="5">
        <f t="shared" ca="1" si="15"/>
        <v>0.14607517540114312</v>
      </c>
      <c r="X245" s="6">
        <f ca="1">(Posts_Cleaned[[#This Row],[During ]]-Posts_Cleaned[[#This Row],[Before ]])/Posts_Cleaned[[#This Row],[During ]]</f>
        <v>3.4938914029689801E-2</v>
      </c>
      <c r="Y245" s="1">
        <f>IFERROR(VLOOKUP(O245, 'Campaign Metadata Dataset '!$A$1:$G$5,5,0),0)</f>
        <v>250000</v>
      </c>
      <c r="Z245" s="1">
        <f t="shared" si="13"/>
        <v>2.4368000000000001E-2</v>
      </c>
      <c r="AA245" s="1">
        <f t="shared" ca="1" si="14"/>
        <v>3.4938914029689801E-2</v>
      </c>
    </row>
    <row r="246" spans="1:27" x14ac:dyDescent="0.25">
      <c r="A246" t="s">
        <v>303</v>
      </c>
      <c r="B246" s="1" t="s">
        <v>40</v>
      </c>
      <c r="C246" s="2">
        <v>45669</v>
      </c>
      <c r="D246" s="1" t="s">
        <v>17</v>
      </c>
      <c r="E246" s="1" t="s">
        <v>54</v>
      </c>
      <c r="F246">
        <v>4134</v>
      </c>
      <c r="G246">
        <v>824</v>
      </c>
      <c r="H246">
        <v>99</v>
      </c>
      <c r="I246">
        <v>41340</v>
      </c>
      <c r="J246">
        <v>41050</v>
      </c>
      <c r="K246">
        <v>177</v>
      </c>
      <c r="L246" s="1" t="s">
        <v>36</v>
      </c>
      <c r="M246" s="1"/>
      <c r="N246" s="1"/>
      <c r="O246" s="1" t="s">
        <v>21</v>
      </c>
      <c r="P246" s="5">
        <f>IFERROR(((Posts_Cleaned[[#This Row],[Likes]]+Posts_Cleaned[[#This Row],[Shares]]+Posts_Cleaned[[#This Row],[Comments]])/Posts_Cleaned[[#This Row],[Impressions]]),0)</f>
        <v>0.12232704402515723</v>
      </c>
      <c r="Q246" s="3" t="str">
        <f>_xlfn.TEXTJOIN(", ", TRUE, Posts_Cleaned[[#This Row],[Hashtags Used.1]], Posts_Cleaned[[#This Row],[Hashtags Used.2]], Posts_Cleaned[[#This Row],[Hashtags Used.3]])</f>
        <v>#EVRevolution</v>
      </c>
      <c r="R246" s="2">
        <f>VLOOKUP(Posts_Cleaned[[#This Row],[Campaign_Name]],'Campaign Metadata Dataset '!$A$2:$B$5,2,0)</f>
        <v>45458</v>
      </c>
      <c r="S246" s="2">
        <f>VLOOKUP(Posts_Cleaned[[#This Row],[Campaign_Name]],'Campaign Metadata Dataset '!$A$1:$C$5,3,0)</f>
        <v>45488</v>
      </c>
      <c r="T246" s="1" t="str">
        <f t="shared" si="12"/>
        <v>Before Campaign</v>
      </c>
      <c r="U246" s="1">
        <f>SUM(Posts_Cleaned[[#This Row],[Likes]]+Posts_Cleaned[[#This Row],[Shares]]+Posts_Cleaned[[#This Row],[Comments]]+Posts_Cleaned[[#This Row],[Clicks]])</f>
        <v>5234</v>
      </c>
      <c r="V246" s="1">
        <f ca="1">AVERAGEIF(Posts_Cleaned[[#This Row],[Period]]:T:T,"Before Campaign",Posts_Cleaned[[#This Row],[Engagement Rate ]])</f>
        <v>0.1392957430923964</v>
      </c>
      <c r="W246" s="5">
        <f t="shared" ca="1" si="15"/>
        <v>0.1105891780045879</v>
      </c>
      <c r="X246" s="6">
        <f ca="1">(Posts_Cleaned[[#This Row],[During ]]-Posts_Cleaned[[#This Row],[Before ]])/Posts_Cleaned[[#This Row],[During ]]</f>
        <v>-0.25957842897265754</v>
      </c>
      <c r="Y246" s="1">
        <f>IFERROR(VLOOKUP(O246, 'Campaign Metadata Dataset '!$A$1:$G$5,5,0),0)</f>
        <v>150000</v>
      </c>
      <c r="Z246" s="1">
        <f t="shared" si="13"/>
        <v>3.4893333333333332E-2</v>
      </c>
      <c r="AA246" s="1">
        <f t="shared" ca="1" si="14"/>
        <v>-0.25957842897265754</v>
      </c>
    </row>
    <row r="247" spans="1:27" x14ac:dyDescent="0.25">
      <c r="A247" t="s">
        <v>304</v>
      </c>
      <c r="B247" s="1" t="s">
        <v>40</v>
      </c>
      <c r="C247" s="2">
        <v>45576</v>
      </c>
      <c r="D247" s="1" t="s">
        <v>46</v>
      </c>
      <c r="E247" s="1" t="s">
        <v>51</v>
      </c>
      <c r="F247">
        <v>400</v>
      </c>
      <c r="G247">
        <v>680</v>
      </c>
      <c r="H247">
        <v>434</v>
      </c>
      <c r="I247">
        <v>6400</v>
      </c>
      <c r="J247">
        <v>5472</v>
      </c>
      <c r="K247">
        <v>160</v>
      </c>
      <c r="L247" s="1" t="s">
        <v>19</v>
      </c>
      <c r="M247" s="1"/>
      <c r="N247" s="1"/>
      <c r="O247" s="1" t="s">
        <v>27</v>
      </c>
      <c r="P247" s="5">
        <f>IFERROR(((Posts_Cleaned[[#This Row],[Likes]]+Posts_Cleaned[[#This Row],[Shares]]+Posts_Cleaned[[#This Row],[Comments]])/Posts_Cleaned[[#This Row],[Impressions]]),0)</f>
        <v>0.23656250000000001</v>
      </c>
      <c r="Q247" s="3" t="str">
        <f>_xlfn.TEXTJOIN(", ", TRUE, Posts_Cleaned[[#This Row],[Hashtags Used.1]], Posts_Cleaned[[#This Row],[Hashtags Used.2]], Posts_Cleaned[[#This Row],[Hashtags Used.3]])</f>
        <v>#FutureOfDriving</v>
      </c>
      <c r="R247" s="2">
        <f>VLOOKUP(Posts_Cleaned[[#This Row],[Campaign_Name]],'Campaign Metadata Dataset '!$A$2:$B$5,2,0)</f>
        <v>45566</v>
      </c>
      <c r="S247" s="2">
        <f>VLOOKUP(Posts_Cleaned[[#This Row],[Campaign_Name]],'Campaign Metadata Dataset '!$A$1:$C$5,3,0)</f>
        <v>45596</v>
      </c>
      <c r="T247" s="1" t="str">
        <f t="shared" si="12"/>
        <v>During Campaign</v>
      </c>
      <c r="U247" s="1">
        <f>SUM(Posts_Cleaned[[#This Row],[Likes]]+Posts_Cleaned[[#This Row],[Shares]]+Posts_Cleaned[[#This Row],[Comments]]+Posts_Cleaned[[#This Row],[Clicks]])</f>
        <v>1674</v>
      </c>
      <c r="V247" s="1">
        <f ca="1">AVERAGEIF(Posts_Cleaned[[#This Row],[Period]]:T:T,"Before Campaign",Posts_Cleaned[[#This Row],[Engagement Rate ]])</f>
        <v>0.13271952261591363</v>
      </c>
      <c r="W247" s="5">
        <f t="shared" ca="1" si="15"/>
        <v>0.12341821167492692</v>
      </c>
      <c r="X247" s="6">
        <f ca="1">(Posts_Cleaned[[#This Row],[During ]]-Posts_Cleaned[[#This Row],[Before ]])/Posts_Cleaned[[#This Row],[During ]]</f>
        <v>-7.5364168826927869E-2</v>
      </c>
      <c r="Y247" s="1">
        <f>IFERROR(VLOOKUP(O247, 'Campaign Metadata Dataset '!$A$1:$G$5,5,0),0)</f>
        <v>200000</v>
      </c>
      <c r="Z247" s="1">
        <f t="shared" si="13"/>
        <v>8.3700000000000007E-3</v>
      </c>
      <c r="AA247" s="1">
        <f t="shared" ca="1" si="14"/>
        <v>-7.5364168826927869E-2</v>
      </c>
    </row>
    <row r="248" spans="1:27" x14ac:dyDescent="0.25">
      <c r="A248" t="s">
        <v>305</v>
      </c>
      <c r="B248" s="1" t="s">
        <v>40</v>
      </c>
      <c r="C248" s="2">
        <v>45531</v>
      </c>
      <c r="D248" s="1" t="s">
        <v>17</v>
      </c>
      <c r="E248" s="1" t="s">
        <v>54</v>
      </c>
      <c r="F248">
        <v>3960</v>
      </c>
      <c r="G248">
        <v>266</v>
      </c>
      <c r="H248">
        <v>8</v>
      </c>
      <c r="I248">
        <v>35640</v>
      </c>
      <c r="J248">
        <v>34850</v>
      </c>
      <c r="K248">
        <v>208</v>
      </c>
      <c r="L248" s="1" t="s">
        <v>19</v>
      </c>
      <c r="M248" s="1" t="s">
        <v>36</v>
      </c>
      <c r="N248" s="1" t="s">
        <v>26</v>
      </c>
      <c r="O248" s="1"/>
      <c r="P248" s="5">
        <f>IFERROR(((Posts_Cleaned[[#This Row],[Likes]]+Posts_Cleaned[[#This Row],[Shares]]+Posts_Cleaned[[#This Row],[Comments]])/Posts_Cleaned[[#This Row],[Impressions]]),0)</f>
        <v>0.11879910213243547</v>
      </c>
      <c r="Q248" s="3" t="str">
        <f>_xlfn.TEXTJOIN(", ", TRUE, Posts_Cleaned[[#This Row],[Hashtags Used.1]], Posts_Cleaned[[#This Row],[Hashtags Used.2]], Posts_Cleaned[[#This Row],[Hashtags Used.3]])</f>
        <v>#FutureOfDriving, #EVRevolution, #BetterWithTesla</v>
      </c>
      <c r="R248" s="2" t="e">
        <f>VLOOKUP(Posts_Cleaned[[#This Row],[Campaign_Name]],'Campaign Metadata Dataset '!$A$2:$B$5,2,0)</f>
        <v>#N/A</v>
      </c>
      <c r="S248" s="2" t="e">
        <f>VLOOKUP(Posts_Cleaned[[#This Row],[Campaign_Name]],'Campaign Metadata Dataset '!$A$1:$C$5,3,0)</f>
        <v>#N/A</v>
      </c>
      <c r="T248" s="1" t="e">
        <f t="shared" si="12"/>
        <v>#N/A</v>
      </c>
      <c r="U248" s="1">
        <f>SUM(Posts_Cleaned[[#This Row],[Likes]]+Posts_Cleaned[[#This Row],[Shares]]+Posts_Cleaned[[#This Row],[Comments]]+Posts_Cleaned[[#This Row],[Clicks]])</f>
        <v>4442</v>
      </c>
      <c r="V248" s="1">
        <f ca="1">AVERAGEIF(Posts_Cleaned[[#This Row],[Period]]:T:T,"Before Campaign",Posts_Cleaned[[#This Row],[Engagement Rate ]])</f>
        <v>0.13436468297022658</v>
      </c>
      <c r="W248" s="5">
        <f t="shared" ca="1" si="15"/>
        <v>0.16975232320915018</v>
      </c>
      <c r="X248" s="6">
        <f ca="1">(Posts_Cleaned[[#This Row],[During ]]-Posts_Cleaned[[#This Row],[Before ]])/Posts_Cleaned[[#This Row],[During ]]</f>
        <v>0.20846630885471201</v>
      </c>
      <c r="Y248" s="1">
        <f>IFERROR(VLOOKUP(O248, 'Campaign Metadata Dataset '!$A$1:$G$5,5,0),0)</f>
        <v>0</v>
      </c>
      <c r="Z248" s="1">
        <v>0</v>
      </c>
      <c r="AA248" s="1">
        <f t="shared" ca="1" si="14"/>
        <v>0.20846630885471201</v>
      </c>
    </row>
    <row r="249" spans="1:27" x14ac:dyDescent="0.25">
      <c r="A249" t="s">
        <v>306</v>
      </c>
      <c r="B249" s="1" t="s">
        <v>40</v>
      </c>
      <c r="C249" s="2">
        <v>45690</v>
      </c>
      <c r="D249" s="1" t="s">
        <v>34</v>
      </c>
      <c r="E249" s="1" t="s">
        <v>58</v>
      </c>
      <c r="F249">
        <v>886</v>
      </c>
      <c r="G249">
        <v>126</v>
      </c>
      <c r="H249">
        <v>153</v>
      </c>
      <c r="I249">
        <v>4430</v>
      </c>
      <c r="J249">
        <v>4037</v>
      </c>
      <c r="K249">
        <v>212</v>
      </c>
      <c r="L249" s="1" t="s">
        <v>36</v>
      </c>
      <c r="M249" s="1"/>
      <c r="N249" s="1"/>
      <c r="O249" s="1"/>
      <c r="P249" s="5">
        <f>IFERROR(((Posts_Cleaned[[#This Row],[Likes]]+Posts_Cleaned[[#This Row],[Shares]]+Posts_Cleaned[[#This Row],[Comments]])/Posts_Cleaned[[#This Row],[Impressions]]),0)</f>
        <v>0.26297968397291194</v>
      </c>
      <c r="Q249" s="3" t="str">
        <f>_xlfn.TEXTJOIN(", ", TRUE, Posts_Cleaned[[#This Row],[Hashtags Used.1]], Posts_Cleaned[[#This Row],[Hashtags Used.2]], Posts_Cleaned[[#This Row],[Hashtags Used.3]])</f>
        <v>#EVRevolution</v>
      </c>
      <c r="R249" s="2" t="e">
        <f>VLOOKUP(Posts_Cleaned[[#This Row],[Campaign_Name]],'Campaign Metadata Dataset '!$A$2:$B$5,2,0)</f>
        <v>#N/A</v>
      </c>
      <c r="S249" s="2" t="e">
        <f>VLOOKUP(Posts_Cleaned[[#This Row],[Campaign_Name]],'Campaign Metadata Dataset '!$A$1:$C$5,3,0)</f>
        <v>#N/A</v>
      </c>
      <c r="T249" s="1" t="e">
        <f t="shared" si="12"/>
        <v>#N/A</v>
      </c>
      <c r="U249" s="1">
        <f>SUM(Posts_Cleaned[[#This Row],[Likes]]+Posts_Cleaned[[#This Row],[Shares]]+Posts_Cleaned[[#This Row],[Comments]]+Posts_Cleaned[[#This Row],[Clicks]])</f>
        <v>1377</v>
      </c>
      <c r="V249" s="1">
        <f ca="1">AVERAGEIF(Posts_Cleaned[[#This Row],[Period]]:T:T,"Before Campaign",Posts_Cleaned[[#This Row],[Engagement Rate ]])</f>
        <v>0.14046884369429199</v>
      </c>
      <c r="W249" s="5">
        <f t="shared" ca="1" si="15"/>
        <v>0.15626390006509505</v>
      </c>
      <c r="X249" s="6">
        <f ca="1">(Posts_Cleaned[[#This Row],[During ]]-Posts_Cleaned[[#This Row],[Before ]])/Posts_Cleaned[[#This Row],[During ]]</f>
        <v>0.10107936871038858</v>
      </c>
      <c r="Y249" s="1">
        <f>IFERROR(VLOOKUP(O249, 'Campaign Metadata Dataset '!$A$1:$G$5,5,0),0)</f>
        <v>0</v>
      </c>
      <c r="Z249" s="1">
        <v>0</v>
      </c>
      <c r="AA249" s="1">
        <f t="shared" ca="1" si="14"/>
        <v>0.10107936871038858</v>
      </c>
    </row>
    <row r="250" spans="1:27" x14ac:dyDescent="0.25">
      <c r="A250" t="s">
        <v>307</v>
      </c>
      <c r="B250" s="1" t="s">
        <v>16</v>
      </c>
      <c r="C250" s="2">
        <v>45491</v>
      </c>
      <c r="D250" s="1" t="s">
        <v>46</v>
      </c>
      <c r="E250" s="1" t="s">
        <v>92</v>
      </c>
      <c r="F250">
        <v>827</v>
      </c>
      <c r="G250">
        <v>77</v>
      </c>
      <c r="H250">
        <v>402</v>
      </c>
      <c r="I250">
        <v>14886</v>
      </c>
      <c r="J250">
        <v>14129</v>
      </c>
      <c r="K250">
        <v>254</v>
      </c>
      <c r="L250" s="1" t="s">
        <v>36</v>
      </c>
      <c r="M250" s="1"/>
      <c r="N250" s="1"/>
      <c r="O250" s="1" t="s">
        <v>27</v>
      </c>
      <c r="P250" s="5">
        <f>IFERROR(((Posts_Cleaned[[#This Row],[Likes]]+Posts_Cleaned[[#This Row],[Shares]]+Posts_Cleaned[[#This Row],[Comments]])/Posts_Cleaned[[#This Row],[Impressions]]),0)</f>
        <v>8.7733440816874911E-2</v>
      </c>
      <c r="Q250" s="3" t="str">
        <f>_xlfn.TEXTJOIN(", ", TRUE, Posts_Cleaned[[#This Row],[Hashtags Used.1]], Posts_Cleaned[[#This Row],[Hashtags Used.2]], Posts_Cleaned[[#This Row],[Hashtags Used.3]])</f>
        <v>#EVRevolution</v>
      </c>
      <c r="R250" s="2">
        <f>VLOOKUP(Posts_Cleaned[[#This Row],[Campaign_Name]],'Campaign Metadata Dataset '!$A$2:$B$5,2,0)</f>
        <v>45566</v>
      </c>
      <c r="S250" s="2">
        <f>VLOOKUP(Posts_Cleaned[[#This Row],[Campaign_Name]],'Campaign Metadata Dataset '!$A$1:$C$5,3,0)</f>
        <v>45596</v>
      </c>
      <c r="T250" s="1" t="str">
        <f t="shared" si="12"/>
        <v>Before Campaign</v>
      </c>
      <c r="U250" s="1">
        <f>SUM(Posts_Cleaned[[#This Row],[Likes]]+Posts_Cleaned[[#This Row],[Shares]]+Posts_Cleaned[[#This Row],[Comments]]+Posts_Cleaned[[#This Row],[Clicks]])</f>
        <v>1560</v>
      </c>
      <c r="V250" s="1">
        <f ca="1">AVERAGEIF(Posts_Cleaned[[#This Row],[Period]]:T:T,"Before Campaign",Posts_Cleaned[[#This Row],[Engagement Rate ]])</f>
        <v>0.13888725538345539</v>
      </c>
      <c r="W250" s="5">
        <f t="shared" ca="1" si="15"/>
        <v>0.11256332426931306</v>
      </c>
      <c r="X250" s="6">
        <f ca="1">(Posts_Cleaned[[#This Row],[During ]]-Posts_Cleaned[[#This Row],[Before ]])/Posts_Cleaned[[#This Row],[During ]]</f>
        <v>-0.23385886375531237</v>
      </c>
      <c r="Y250" s="1">
        <f>IFERROR(VLOOKUP(O250, 'Campaign Metadata Dataset '!$A$1:$G$5,5,0),0)</f>
        <v>200000</v>
      </c>
      <c r="Z250" s="1">
        <f t="shared" si="13"/>
        <v>7.7999999999999996E-3</v>
      </c>
      <c r="AA250" s="1">
        <f t="shared" ca="1" si="14"/>
        <v>-0.23385886375531237</v>
      </c>
    </row>
    <row r="251" spans="1:27" x14ac:dyDescent="0.25">
      <c r="A251" t="s">
        <v>308</v>
      </c>
      <c r="B251" s="1" t="s">
        <v>40</v>
      </c>
      <c r="C251" s="2">
        <v>45465</v>
      </c>
      <c r="D251" s="1" t="s">
        <v>17</v>
      </c>
      <c r="E251" s="1" t="s">
        <v>54</v>
      </c>
      <c r="F251">
        <v>3813</v>
      </c>
      <c r="G251">
        <v>935</v>
      </c>
      <c r="H251">
        <v>274</v>
      </c>
      <c r="I251">
        <v>68634</v>
      </c>
      <c r="J251">
        <v>68488</v>
      </c>
      <c r="K251">
        <v>251</v>
      </c>
      <c r="L251" s="1" t="s">
        <v>19</v>
      </c>
      <c r="M251" s="1"/>
      <c r="N251" s="1"/>
      <c r="O251" s="1"/>
      <c r="P251" s="5">
        <f>IFERROR(((Posts_Cleaned[[#This Row],[Likes]]+Posts_Cleaned[[#This Row],[Shares]]+Posts_Cleaned[[#This Row],[Comments]])/Posts_Cleaned[[#This Row],[Impressions]]),0)</f>
        <v>7.3170731707317069E-2</v>
      </c>
      <c r="Q251" s="3" t="str">
        <f>_xlfn.TEXTJOIN(", ", TRUE, Posts_Cleaned[[#This Row],[Hashtags Used.1]], Posts_Cleaned[[#This Row],[Hashtags Used.2]], Posts_Cleaned[[#This Row],[Hashtags Used.3]])</f>
        <v>#FutureOfDriving</v>
      </c>
      <c r="R251" s="2" t="e">
        <f>VLOOKUP(Posts_Cleaned[[#This Row],[Campaign_Name]],'Campaign Metadata Dataset '!$A$2:$B$5,2,0)</f>
        <v>#N/A</v>
      </c>
      <c r="S251" s="2" t="e">
        <f>VLOOKUP(Posts_Cleaned[[#This Row],[Campaign_Name]],'Campaign Metadata Dataset '!$A$1:$C$5,3,0)</f>
        <v>#N/A</v>
      </c>
      <c r="T251" s="1" t="e">
        <f t="shared" si="12"/>
        <v>#N/A</v>
      </c>
      <c r="U251" s="1">
        <f>SUM(Posts_Cleaned[[#This Row],[Likes]]+Posts_Cleaned[[#This Row],[Shares]]+Posts_Cleaned[[#This Row],[Comments]]+Posts_Cleaned[[#This Row],[Clicks]])</f>
        <v>5273</v>
      </c>
      <c r="V251" s="1">
        <f ca="1">AVERAGEIF(Posts_Cleaned[[#This Row],[Period]]:T:T,"Before Campaign",Posts_Cleaned[[#This Row],[Engagement Rate ]])</f>
        <v>0.13329523279913943</v>
      </c>
      <c r="W251" s="5">
        <f t="shared" ca="1" si="15"/>
        <v>0.13157092495322073</v>
      </c>
      <c r="X251" s="6">
        <f ca="1">(Posts_Cleaned[[#This Row],[During ]]-Posts_Cleaned[[#This Row],[Before ]])/Posts_Cleaned[[#This Row],[During ]]</f>
        <v>-1.3105538678334685E-2</v>
      </c>
      <c r="Y251" s="1">
        <f>IFERROR(VLOOKUP(O251, 'Campaign Metadata Dataset '!$A$1:$G$5,5,0),0)</f>
        <v>0</v>
      </c>
      <c r="Z251" s="1">
        <v>0</v>
      </c>
      <c r="AA251" s="1">
        <f t="shared" ca="1" si="14"/>
        <v>-1.3105538678334685E-2</v>
      </c>
    </row>
    <row r="252" spans="1:27" x14ac:dyDescent="0.25">
      <c r="A252" t="s">
        <v>309</v>
      </c>
      <c r="B252" s="1" t="s">
        <v>33</v>
      </c>
      <c r="C252" s="2">
        <v>45743</v>
      </c>
      <c r="D252" s="1" t="s">
        <v>41</v>
      </c>
      <c r="E252" s="1" t="s">
        <v>69</v>
      </c>
      <c r="F252">
        <v>1377</v>
      </c>
      <c r="G252">
        <v>796</v>
      </c>
      <c r="H252">
        <v>387</v>
      </c>
      <c r="I252">
        <v>22032</v>
      </c>
      <c r="J252">
        <v>21869</v>
      </c>
      <c r="K252">
        <v>189</v>
      </c>
      <c r="L252" s="1" t="s">
        <v>19</v>
      </c>
      <c r="M252" s="1"/>
      <c r="N252" s="1"/>
      <c r="O252" s="1"/>
      <c r="P252" s="5">
        <f>IFERROR(((Posts_Cleaned[[#This Row],[Likes]]+Posts_Cleaned[[#This Row],[Shares]]+Posts_Cleaned[[#This Row],[Comments]])/Posts_Cleaned[[#This Row],[Impressions]]),0)</f>
        <v>0.11619462599854757</v>
      </c>
      <c r="Q252" s="3" t="str">
        <f>_xlfn.TEXTJOIN(", ", TRUE, Posts_Cleaned[[#This Row],[Hashtags Used.1]], Posts_Cleaned[[#This Row],[Hashtags Used.2]], Posts_Cleaned[[#This Row],[Hashtags Used.3]])</f>
        <v>#FutureOfDriving</v>
      </c>
      <c r="R252" s="2" t="e">
        <f>VLOOKUP(Posts_Cleaned[[#This Row],[Campaign_Name]],'Campaign Metadata Dataset '!$A$2:$B$5,2,0)</f>
        <v>#N/A</v>
      </c>
      <c r="S252" s="2" t="e">
        <f>VLOOKUP(Posts_Cleaned[[#This Row],[Campaign_Name]],'Campaign Metadata Dataset '!$A$1:$C$5,3,0)</f>
        <v>#N/A</v>
      </c>
      <c r="T252" s="1" t="e">
        <f t="shared" si="12"/>
        <v>#N/A</v>
      </c>
      <c r="U252" s="1">
        <f>SUM(Posts_Cleaned[[#This Row],[Likes]]+Posts_Cleaned[[#This Row],[Shares]]+Posts_Cleaned[[#This Row],[Comments]]+Posts_Cleaned[[#This Row],[Clicks]])</f>
        <v>2749</v>
      </c>
      <c r="V252" s="1">
        <f ca="1">AVERAGEIF(Posts_Cleaned[[#This Row],[Period]]:T:T,"Before Campaign",Posts_Cleaned[[#This Row],[Engagement Rate ]])</f>
        <v>0.14536219194277936</v>
      </c>
      <c r="W252" s="5">
        <f t="shared" ca="1" si="15"/>
        <v>8.8983598032318367E-2</v>
      </c>
      <c r="X252" s="6">
        <f ca="1">(Posts_Cleaned[[#This Row],[During ]]-Posts_Cleaned[[#This Row],[Before ]])/Posts_Cleaned[[#This Row],[During ]]</f>
        <v>-0.63358411164700923</v>
      </c>
      <c r="Y252" s="1">
        <f>IFERROR(VLOOKUP(O252, 'Campaign Metadata Dataset '!$A$1:$G$5,5,0),0)</f>
        <v>0</v>
      </c>
      <c r="Z252" s="1">
        <v>0</v>
      </c>
      <c r="AA252" s="1">
        <f t="shared" ca="1" si="14"/>
        <v>-0.63358411164700923</v>
      </c>
    </row>
    <row r="253" spans="1:27" x14ac:dyDescent="0.25">
      <c r="A253" t="s">
        <v>310</v>
      </c>
      <c r="B253" s="1" t="s">
        <v>40</v>
      </c>
      <c r="C253" s="2">
        <v>45775</v>
      </c>
      <c r="D253" s="1" t="s">
        <v>41</v>
      </c>
      <c r="E253" s="1" t="s">
        <v>42</v>
      </c>
      <c r="F253">
        <v>2089</v>
      </c>
      <c r="G253">
        <v>476</v>
      </c>
      <c r="H253">
        <v>69</v>
      </c>
      <c r="I253">
        <v>16712</v>
      </c>
      <c r="J253">
        <v>16309</v>
      </c>
      <c r="K253">
        <v>64</v>
      </c>
      <c r="L253" s="1" t="s">
        <v>19</v>
      </c>
      <c r="M253" s="1"/>
      <c r="N253" s="1"/>
      <c r="O253" s="1" t="s">
        <v>31</v>
      </c>
      <c r="P253" s="5">
        <f>IFERROR(((Posts_Cleaned[[#This Row],[Likes]]+Posts_Cleaned[[#This Row],[Shares]]+Posts_Cleaned[[#This Row],[Comments]])/Posts_Cleaned[[#This Row],[Impressions]]),0)</f>
        <v>0.15761129727142173</v>
      </c>
      <c r="Q253" s="3" t="str">
        <f>_xlfn.TEXTJOIN(", ", TRUE, Posts_Cleaned[[#This Row],[Hashtags Used.1]], Posts_Cleaned[[#This Row],[Hashtags Used.2]], Posts_Cleaned[[#This Row],[Hashtags Used.3]])</f>
        <v>#FutureOfDriving</v>
      </c>
      <c r="R253" s="2">
        <f>VLOOKUP(Posts_Cleaned[[#This Row],[Campaign_Name]],'Campaign Metadata Dataset '!$A$2:$B$5,2,0)</f>
        <v>45651</v>
      </c>
      <c r="S253" s="2">
        <f>VLOOKUP(Posts_Cleaned[[#This Row],[Campaign_Name]],'Campaign Metadata Dataset '!$A$1:$C$5,3,0)</f>
        <v>45667</v>
      </c>
      <c r="T253" s="1" t="str">
        <f t="shared" si="12"/>
        <v>Before Campaign</v>
      </c>
      <c r="U253" s="1">
        <f>SUM(Posts_Cleaned[[#This Row],[Likes]]+Posts_Cleaned[[#This Row],[Shares]]+Posts_Cleaned[[#This Row],[Comments]]+Posts_Cleaned[[#This Row],[Clicks]])</f>
        <v>2698</v>
      </c>
      <c r="V253" s="1">
        <f ca="1">AVERAGEIF(Posts_Cleaned[[#This Row],[Period]]:T:T,"Before Campaign",Posts_Cleaned[[#This Row],[Engagement Rate ]])</f>
        <v>0.14159399449308105</v>
      </c>
      <c r="W253" s="5">
        <f t="shared" ca="1" si="15"/>
        <v>7.8655135909428422E-2</v>
      </c>
      <c r="X253" s="6">
        <f ca="1">(Posts_Cleaned[[#This Row],[During ]]-Posts_Cleaned[[#This Row],[Before ]])/Posts_Cleaned[[#This Row],[During ]]</f>
        <v>-0.80018752565791595</v>
      </c>
      <c r="Y253" s="1">
        <f>IFERROR(VLOOKUP(O253, 'Campaign Metadata Dataset '!$A$1:$G$5,5,0),0)</f>
        <v>250000</v>
      </c>
      <c r="Z253" s="1">
        <f t="shared" si="13"/>
        <v>1.0792E-2</v>
      </c>
      <c r="AA253" s="1">
        <f t="shared" ca="1" si="14"/>
        <v>-0.80018752565791595</v>
      </c>
    </row>
    <row r="254" spans="1:27" x14ac:dyDescent="0.25">
      <c r="A254" t="s">
        <v>311</v>
      </c>
      <c r="B254" s="1" t="s">
        <v>16</v>
      </c>
      <c r="C254" s="2">
        <v>45507</v>
      </c>
      <c r="D254" s="1" t="s">
        <v>17</v>
      </c>
      <c r="E254" s="1" t="s">
        <v>18</v>
      </c>
      <c r="F254">
        <v>3791</v>
      </c>
      <c r="G254">
        <v>593</v>
      </c>
      <c r="H254">
        <v>228</v>
      </c>
      <c r="I254">
        <v>53074</v>
      </c>
      <c r="J254">
        <v>52613</v>
      </c>
      <c r="K254">
        <v>205</v>
      </c>
      <c r="L254" s="1" t="s">
        <v>36</v>
      </c>
      <c r="M254" s="1"/>
      <c r="N254" s="1"/>
      <c r="O254" s="1"/>
      <c r="P254" s="5">
        <f>IFERROR(((Posts_Cleaned[[#This Row],[Likes]]+Posts_Cleaned[[#This Row],[Shares]]+Posts_Cleaned[[#This Row],[Comments]])/Posts_Cleaned[[#This Row],[Impressions]]),0)</f>
        <v>8.6897539284772202E-2</v>
      </c>
      <c r="Q254" s="3" t="str">
        <f>_xlfn.TEXTJOIN(", ", TRUE, Posts_Cleaned[[#This Row],[Hashtags Used.1]], Posts_Cleaned[[#This Row],[Hashtags Used.2]], Posts_Cleaned[[#This Row],[Hashtags Used.3]])</f>
        <v>#EVRevolution</v>
      </c>
      <c r="R254" s="2" t="e">
        <f>VLOOKUP(Posts_Cleaned[[#This Row],[Campaign_Name]],'Campaign Metadata Dataset '!$A$2:$B$5,2,0)</f>
        <v>#N/A</v>
      </c>
      <c r="S254" s="2" t="e">
        <f>VLOOKUP(Posts_Cleaned[[#This Row],[Campaign_Name]],'Campaign Metadata Dataset '!$A$1:$C$5,3,0)</f>
        <v>#N/A</v>
      </c>
      <c r="T254" s="1" t="e">
        <f t="shared" si="12"/>
        <v>#N/A</v>
      </c>
      <c r="U254" s="1">
        <f>SUM(Posts_Cleaned[[#This Row],[Likes]]+Posts_Cleaned[[#This Row],[Shares]]+Posts_Cleaned[[#This Row],[Comments]]+Posts_Cleaned[[#This Row],[Clicks]])</f>
        <v>4817</v>
      </c>
      <c r="V254" s="1">
        <f ca="1">AVERAGEIF(Posts_Cleaned[[#This Row],[Period]]:T:T,"Before Campaign",Posts_Cleaned[[#This Row],[Engagement Rate ]])</f>
        <v>0.14102971637182002</v>
      </c>
      <c r="W254" s="5">
        <f t="shared" ca="1" si="15"/>
        <v>0.12266352387397542</v>
      </c>
      <c r="X254" s="6">
        <f ca="1">(Posts_Cleaned[[#This Row],[During ]]-Posts_Cleaned[[#This Row],[Before ]])/Posts_Cleaned[[#This Row],[During ]]</f>
        <v>-0.14972823148888206</v>
      </c>
      <c r="Y254" s="1">
        <f>IFERROR(VLOOKUP(O254, 'Campaign Metadata Dataset '!$A$1:$G$5,5,0),0)</f>
        <v>0</v>
      </c>
      <c r="Z254" s="1">
        <v>0</v>
      </c>
      <c r="AA254" s="1">
        <f t="shared" ca="1" si="14"/>
        <v>-0.14972823148888206</v>
      </c>
    </row>
    <row r="255" spans="1:27" x14ac:dyDescent="0.25">
      <c r="A255" t="s">
        <v>312</v>
      </c>
      <c r="B255" s="1" t="s">
        <v>16</v>
      </c>
      <c r="C255" s="2">
        <v>45671</v>
      </c>
      <c r="D255" s="1" t="s">
        <v>46</v>
      </c>
      <c r="E255" s="1" t="s">
        <v>92</v>
      </c>
      <c r="F255">
        <v>2692</v>
      </c>
      <c r="G255">
        <v>115</v>
      </c>
      <c r="H255">
        <v>64</v>
      </c>
      <c r="I255">
        <v>21536</v>
      </c>
      <c r="J255">
        <v>21120</v>
      </c>
      <c r="K255">
        <v>224</v>
      </c>
      <c r="L255" s="1" t="s">
        <v>19</v>
      </c>
      <c r="M255" s="1"/>
      <c r="N255" s="1"/>
      <c r="O255" s="1" t="s">
        <v>27</v>
      </c>
      <c r="P255" s="5">
        <f>IFERROR(((Posts_Cleaned[[#This Row],[Likes]]+Posts_Cleaned[[#This Row],[Shares]]+Posts_Cleaned[[#This Row],[Comments]])/Posts_Cleaned[[#This Row],[Impressions]]),0)</f>
        <v>0.13331166419019316</v>
      </c>
      <c r="Q255" s="3" t="str">
        <f>_xlfn.TEXTJOIN(", ", TRUE, Posts_Cleaned[[#This Row],[Hashtags Used.1]], Posts_Cleaned[[#This Row],[Hashtags Used.2]], Posts_Cleaned[[#This Row],[Hashtags Used.3]])</f>
        <v>#FutureOfDriving</v>
      </c>
      <c r="R255" s="2">
        <f>VLOOKUP(Posts_Cleaned[[#This Row],[Campaign_Name]],'Campaign Metadata Dataset '!$A$2:$B$5,2,0)</f>
        <v>45566</v>
      </c>
      <c r="S255" s="2">
        <f>VLOOKUP(Posts_Cleaned[[#This Row],[Campaign_Name]],'Campaign Metadata Dataset '!$A$1:$C$5,3,0)</f>
        <v>45596</v>
      </c>
      <c r="T255" s="1" t="str">
        <f t="shared" si="12"/>
        <v>Before Campaign</v>
      </c>
      <c r="U255" s="1">
        <f>SUM(Posts_Cleaned[[#This Row],[Likes]]+Posts_Cleaned[[#This Row],[Shares]]+Posts_Cleaned[[#This Row],[Comments]]+Posts_Cleaned[[#This Row],[Clicks]])</f>
        <v>3095</v>
      </c>
      <c r="V255" s="1">
        <f ca="1">AVERAGEIF(Posts_Cleaned[[#This Row],[Period]]:T:T,"Before Campaign",Posts_Cleaned[[#This Row],[Engagement Rate ]])</f>
        <v>0.14801522214635826</v>
      </c>
      <c r="W255" s="5">
        <f t="shared" ca="1" si="15"/>
        <v>0.16598043761011499</v>
      </c>
      <c r="X255" s="6">
        <f ca="1">(Posts_Cleaned[[#This Row],[During ]]-Posts_Cleaned[[#This Row],[Before ]])/Posts_Cleaned[[#This Row],[During ]]</f>
        <v>0.10823694480163196</v>
      </c>
      <c r="Y255" s="1">
        <f>IFERROR(VLOOKUP(O255, 'Campaign Metadata Dataset '!$A$1:$G$5,5,0),0)</f>
        <v>200000</v>
      </c>
      <c r="Z255" s="1">
        <f t="shared" si="13"/>
        <v>1.5474999999999999E-2</v>
      </c>
      <c r="AA255" s="1">
        <f t="shared" ca="1" si="14"/>
        <v>0.10823694480163196</v>
      </c>
    </row>
    <row r="256" spans="1:27" x14ac:dyDescent="0.25">
      <c r="A256" t="s">
        <v>313</v>
      </c>
      <c r="B256" s="1" t="s">
        <v>40</v>
      </c>
      <c r="C256" s="2">
        <v>45750</v>
      </c>
      <c r="D256" s="1" t="s">
        <v>34</v>
      </c>
      <c r="E256" s="1" t="s">
        <v>58</v>
      </c>
      <c r="F256">
        <v>3767</v>
      </c>
      <c r="G256">
        <v>514</v>
      </c>
      <c r="H256">
        <v>238</v>
      </c>
      <c r="I256">
        <v>37670</v>
      </c>
      <c r="J256">
        <v>36807</v>
      </c>
      <c r="K256">
        <v>226</v>
      </c>
      <c r="L256" s="1" t="s">
        <v>19</v>
      </c>
      <c r="M256" s="1"/>
      <c r="N256" s="1"/>
      <c r="O256" s="1" t="s">
        <v>37</v>
      </c>
      <c r="P256" s="5">
        <f>IFERROR(((Posts_Cleaned[[#This Row],[Likes]]+Posts_Cleaned[[#This Row],[Shares]]+Posts_Cleaned[[#This Row],[Comments]])/Posts_Cleaned[[#This Row],[Impressions]]),0)</f>
        <v>0.11996283514733209</v>
      </c>
      <c r="Q256" s="3" t="str">
        <f>_xlfn.TEXTJOIN(", ", TRUE, Posts_Cleaned[[#This Row],[Hashtags Used.1]], Posts_Cleaned[[#This Row],[Hashtags Used.2]], Posts_Cleaned[[#This Row],[Hashtags Used.3]])</f>
        <v>#FutureOfDriving</v>
      </c>
      <c r="R256" s="2">
        <f>VLOOKUP(Posts_Cleaned[[#This Row],[Campaign_Name]],'Campaign Metadata Dataset '!$A$2:$B$5,2,0)</f>
        <v>45717</v>
      </c>
      <c r="S256" s="2">
        <f>VLOOKUP(Posts_Cleaned[[#This Row],[Campaign_Name]],'Campaign Metadata Dataset '!$A$1:$C$5,3,0)</f>
        <v>45747</v>
      </c>
      <c r="T256" s="1" t="str">
        <f t="shared" si="12"/>
        <v>Before Campaign</v>
      </c>
      <c r="U256" s="1">
        <f>SUM(Posts_Cleaned[[#This Row],[Likes]]+Posts_Cleaned[[#This Row],[Shares]]+Posts_Cleaned[[#This Row],[Comments]]+Posts_Cleaned[[#This Row],[Clicks]])</f>
        <v>4745</v>
      </c>
      <c r="V256" s="1">
        <f ca="1">AVERAGEIF(Posts_Cleaned[[#This Row],[Period]]:T:T,"Before Campaign",Posts_Cleaned[[#This Row],[Engagement Rate ]])</f>
        <v>0.14011263347410019</v>
      </c>
      <c r="W256" s="5">
        <f t="shared" ca="1" si="15"/>
        <v>0.1601038886426166</v>
      </c>
      <c r="X256" s="6">
        <f ca="1">(Posts_Cleaned[[#This Row],[During ]]-Posts_Cleaned[[#This Row],[Before ]])/Posts_Cleaned[[#This Row],[During ]]</f>
        <v>0.12486426993126211</v>
      </c>
      <c r="Y256" s="1">
        <f>IFERROR(VLOOKUP(O256, 'Campaign Metadata Dataset '!$A$1:$G$5,5,0),0)</f>
        <v>180000</v>
      </c>
      <c r="Z256" s="1">
        <f t="shared" si="13"/>
        <v>2.6361111111111109E-2</v>
      </c>
      <c r="AA256" s="1">
        <f t="shared" ca="1" si="14"/>
        <v>0.12486426993126211</v>
      </c>
    </row>
    <row r="257" spans="1:27" x14ac:dyDescent="0.25">
      <c r="A257" t="s">
        <v>314</v>
      </c>
      <c r="B257" s="1" t="s">
        <v>29</v>
      </c>
      <c r="C257" s="2">
        <v>45553</v>
      </c>
      <c r="D257" s="1" t="s">
        <v>41</v>
      </c>
      <c r="E257" s="1" t="s">
        <v>56</v>
      </c>
      <c r="F257">
        <v>2143</v>
      </c>
      <c r="G257">
        <v>12</v>
      </c>
      <c r="H257">
        <v>204</v>
      </c>
      <c r="I257">
        <v>40717</v>
      </c>
      <c r="J257">
        <v>40125</v>
      </c>
      <c r="K257">
        <v>248</v>
      </c>
      <c r="L257" s="1" t="s">
        <v>36</v>
      </c>
      <c r="M257" s="1"/>
      <c r="N257" s="1"/>
      <c r="O257" s="1" t="s">
        <v>27</v>
      </c>
      <c r="P257" s="5">
        <f>IFERROR(((Posts_Cleaned[[#This Row],[Likes]]+Posts_Cleaned[[#This Row],[Shares]]+Posts_Cleaned[[#This Row],[Comments]])/Posts_Cleaned[[#This Row],[Impressions]]),0)</f>
        <v>5.7936488444630008E-2</v>
      </c>
      <c r="Q257" s="3" t="str">
        <f>_xlfn.TEXTJOIN(", ", TRUE, Posts_Cleaned[[#This Row],[Hashtags Used.1]], Posts_Cleaned[[#This Row],[Hashtags Used.2]], Posts_Cleaned[[#This Row],[Hashtags Used.3]])</f>
        <v>#EVRevolution</v>
      </c>
      <c r="R257" s="2">
        <f>VLOOKUP(Posts_Cleaned[[#This Row],[Campaign_Name]],'Campaign Metadata Dataset '!$A$2:$B$5,2,0)</f>
        <v>45566</v>
      </c>
      <c r="S257" s="2">
        <f>VLOOKUP(Posts_Cleaned[[#This Row],[Campaign_Name]],'Campaign Metadata Dataset '!$A$1:$C$5,3,0)</f>
        <v>45596</v>
      </c>
      <c r="T257" s="1" t="str">
        <f t="shared" si="12"/>
        <v>Before Campaign</v>
      </c>
      <c r="U257" s="1">
        <f>SUM(Posts_Cleaned[[#This Row],[Likes]]+Posts_Cleaned[[#This Row],[Shares]]+Posts_Cleaned[[#This Row],[Comments]]+Posts_Cleaned[[#This Row],[Clicks]])</f>
        <v>2607</v>
      </c>
      <c r="V257" s="1">
        <f ca="1">AVERAGEIF(Posts_Cleaned[[#This Row],[Period]]:T:T,"Before Campaign",Posts_Cleaned[[#This Row],[Engagement Rate ]])</f>
        <v>0.14757902994719091</v>
      </c>
      <c r="W257" s="5">
        <f t="shared" ca="1" si="15"/>
        <v>9.0725211177117113E-2</v>
      </c>
      <c r="X257" s="6">
        <f ca="1">(Posts_Cleaned[[#This Row],[During ]]-Posts_Cleaned[[#This Row],[Before ]])/Posts_Cleaned[[#This Row],[During ]]</f>
        <v>-0.62665953633419125</v>
      </c>
      <c r="Y257" s="1">
        <f>IFERROR(VLOOKUP(O257, 'Campaign Metadata Dataset '!$A$1:$G$5,5,0),0)</f>
        <v>200000</v>
      </c>
      <c r="Z257" s="1">
        <f t="shared" si="13"/>
        <v>1.3035E-2</v>
      </c>
      <c r="AA257" s="1">
        <f t="shared" ca="1" si="14"/>
        <v>-0.62665953633419125</v>
      </c>
    </row>
    <row r="258" spans="1:27" x14ac:dyDescent="0.25">
      <c r="A258" t="s">
        <v>315</v>
      </c>
      <c r="B258" s="1" t="s">
        <v>40</v>
      </c>
      <c r="C258" s="2">
        <v>45753</v>
      </c>
      <c r="D258" s="1" t="s">
        <v>46</v>
      </c>
      <c r="E258" s="1" t="s">
        <v>51</v>
      </c>
      <c r="F258">
        <v>3090</v>
      </c>
      <c r="G258">
        <v>697</v>
      </c>
      <c r="H258">
        <v>164</v>
      </c>
      <c r="I258">
        <v>49440</v>
      </c>
      <c r="J258">
        <v>48524</v>
      </c>
      <c r="K258">
        <v>25</v>
      </c>
      <c r="L258" s="1" t="s">
        <v>36</v>
      </c>
      <c r="M258" s="1" t="s">
        <v>36</v>
      </c>
      <c r="N258" s="1" t="s">
        <v>26</v>
      </c>
      <c r="O258" s="1" t="s">
        <v>27</v>
      </c>
      <c r="P258" s="5">
        <f>IFERROR(((Posts_Cleaned[[#This Row],[Likes]]+Posts_Cleaned[[#This Row],[Shares]]+Posts_Cleaned[[#This Row],[Comments]])/Posts_Cleaned[[#This Row],[Impressions]]),0)</f>
        <v>7.9915048543689318E-2</v>
      </c>
      <c r="Q258" s="3" t="str">
        <f>_xlfn.TEXTJOIN(", ", TRUE, Posts_Cleaned[[#This Row],[Hashtags Used.1]], Posts_Cleaned[[#This Row],[Hashtags Used.2]], Posts_Cleaned[[#This Row],[Hashtags Used.3]])</f>
        <v>#EVRevolution, #EVRevolution, #BetterWithTesla</v>
      </c>
      <c r="R258" s="2">
        <f>VLOOKUP(Posts_Cleaned[[#This Row],[Campaign_Name]],'Campaign Metadata Dataset '!$A$2:$B$5,2,0)</f>
        <v>45566</v>
      </c>
      <c r="S258" s="2">
        <f>VLOOKUP(Posts_Cleaned[[#This Row],[Campaign_Name]],'Campaign Metadata Dataset '!$A$1:$C$5,3,0)</f>
        <v>45596</v>
      </c>
      <c r="T258" s="1" t="str">
        <f t="shared" ref="T258:T302" si="16">IF(AND(C258&gt;R258, C258&lt;=S258),"During Campaign","Before Campaign")</f>
        <v>Before Campaign</v>
      </c>
      <c r="U258" s="1">
        <f>SUM(Posts_Cleaned[[#This Row],[Likes]]+Posts_Cleaned[[#This Row],[Shares]]+Posts_Cleaned[[#This Row],[Comments]]+Posts_Cleaned[[#This Row],[Clicks]])</f>
        <v>3976</v>
      </c>
      <c r="V258" s="1">
        <f ca="1">AVERAGEIF(Posts_Cleaned[[#This Row],[Period]]:T:T,"Before Campaign",Posts_Cleaned[[#This Row],[Engagement Rate ]])</f>
        <v>0.13793172873330925</v>
      </c>
      <c r="W258" s="5">
        <f t="shared" ca="1" si="15"/>
        <v>0.1307545363115577</v>
      </c>
      <c r="X258" s="6">
        <f ca="1">(Posts_Cleaned[[#This Row],[During ]]-Posts_Cleaned[[#This Row],[Before ]])/Posts_Cleaned[[#This Row],[During ]]</f>
        <v>-5.4890580657561021E-2</v>
      </c>
      <c r="Y258" s="1">
        <f>IFERROR(VLOOKUP(O258, 'Campaign Metadata Dataset '!$A$1:$G$5,5,0),0)</f>
        <v>200000</v>
      </c>
      <c r="Z258" s="1">
        <f t="shared" ref="Z258:Z301" si="17">(F:F+G:G+H:H+K:K)/Y:Y</f>
        <v>1.9879999999999998E-2</v>
      </c>
      <c r="AA258" s="1">
        <f t="shared" ref="AA258:AA297" ca="1" si="18">(W:W-V:V)/W:W</f>
        <v>-5.4890580657561021E-2</v>
      </c>
    </row>
    <row r="259" spans="1:27" x14ac:dyDescent="0.25">
      <c r="A259" t="s">
        <v>316</v>
      </c>
      <c r="B259" s="1" t="s">
        <v>33</v>
      </c>
      <c r="C259" s="2">
        <v>45509</v>
      </c>
      <c r="D259" s="1" t="s">
        <v>34</v>
      </c>
      <c r="E259" s="1" t="s">
        <v>35</v>
      </c>
      <c r="F259">
        <v>3601</v>
      </c>
      <c r="G259">
        <v>695</v>
      </c>
      <c r="H259">
        <v>75</v>
      </c>
      <c r="I259">
        <v>21606</v>
      </c>
      <c r="J259">
        <v>21454</v>
      </c>
      <c r="K259">
        <v>172</v>
      </c>
      <c r="L259" s="1" t="s">
        <v>36</v>
      </c>
      <c r="M259" s="1"/>
      <c r="N259" s="1"/>
      <c r="O259" s="1" t="s">
        <v>27</v>
      </c>
      <c r="P259" s="5">
        <f>IFERROR(((Posts_Cleaned[[#This Row],[Likes]]+Posts_Cleaned[[#This Row],[Shares]]+Posts_Cleaned[[#This Row],[Comments]])/Posts_Cleaned[[#This Row],[Impressions]]),0)</f>
        <v>0.2023049153013052</v>
      </c>
      <c r="Q259" s="3" t="str">
        <f>_xlfn.TEXTJOIN(", ", TRUE, Posts_Cleaned[[#This Row],[Hashtags Used.1]], Posts_Cleaned[[#This Row],[Hashtags Used.2]], Posts_Cleaned[[#This Row],[Hashtags Used.3]])</f>
        <v>#EVRevolution</v>
      </c>
      <c r="R259" s="2">
        <f>VLOOKUP(Posts_Cleaned[[#This Row],[Campaign_Name]],'Campaign Metadata Dataset '!$A$2:$B$5,2,0)</f>
        <v>45566</v>
      </c>
      <c r="S259" s="2">
        <f>VLOOKUP(Posts_Cleaned[[#This Row],[Campaign_Name]],'Campaign Metadata Dataset '!$A$1:$C$5,3,0)</f>
        <v>45596</v>
      </c>
      <c r="T259" s="1" t="str">
        <f t="shared" si="16"/>
        <v>Before Campaign</v>
      </c>
      <c r="U259" s="1">
        <f>SUM(Posts_Cleaned[[#This Row],[Likes]]+Posts_Cleaned[[#This Row],[Shares]]+Posts_Cleaned[[#This Row],[Comments]]+Posts_Cleaned[[#This Row],[Clicks]])</f>
        <v>4543</v>
      </c>
      <c r="V259" s="1">
        <f ca="1">AVERAGEIF(Posts_Cleaned[[#This Row],[Period]]:T:T,"Before Campaign",Posts_Cleaned[[#This Row],[Engagement Rate ]])</f>
        <v>0.12823817762134213</v>
      </c>
      <c r="W259" s="5">
        <f t="shared" ref="W259:W298" ca="1" si="19">AVERAGEIF($T$2:$T$302,"During Campaign",P259)</f>
        <v>0.17187995427311828</v>
      </c>
      <c r="X259" s="6">
        <f ca="1">(Posts_Cleaned[[#This Row],[During ]]-Posts_Cleaned[[#This Row],[Before ]])/Posts_Cleaned[[#This Row],[During ]]</f>
        <v>0.25390847255188997</v>
      </c>
      <c r="Y259" s="1">
        <f>IFERROR(VLOOKUP(O259, 'Campaign Metadata Dataset '!$A$1:$G$5,5,0),0)</f>
        <v>200000</v>
      </c>
      <c r="Z259" s="1">
        <f t="shared" si="17"/>
        <v>2.2714999999999999E-2</v>
      </c>
      <c r="AA259" s="1">
        <f t="shared" ca="1" si="18"/>
        <v>0.25390847255188997</v>
      </c>
    </row>
    <row r="260" spans="1:27" x14ac:dyDescent="0.25">
      <c r="A260" t="s">
        <v>317</v>
      </c>
      <c r="B260" s="1" t="s">
        <v>40</v>
      </c>
      <c r="C260" s="2">
        <v>45698</v>
      </c>
      <c r="D260" s="1" t="s">
        <v>23</v>
      </c>
      <c r="E260" s="1" t="s">
        <v>49</v>
      </c>
      <c r="F260">
        <v>562</v>
      </c>
      <c r="G260">
        <v>158</v>
      </c>
      <c r="H260">
        <v>149</v>
      </c>
      <c r="I260">
        <v>3372</v>
      </c>
      <c r="J260">
        <v>2940</v>
      </c>
      <c r="K260">
        <v>93</v>
      </c>
      <c r="L260" s="1" t="s">
        <v>25</v>
      </c>
      <c r="M260" s="1"/>
      <c r="N260" s="1"/>
      <c r="O260" s="1" t="s">
        <v>21</v>
      </c>
      <c r="P260" s="5">
        <f>IFERROR(((Posts_Cleaned[[#This Row],[Likes]]+Posts_Cleaned[[#This Row],[Shares]]+Posts_Cleaned[[#This Row],[Comments]])/Posts_Cleaned[[#This Row],[Impressions]]),0)</f>
        <v>0.25771055753262156</v>
      </c>
      <c r="Q260" s="3" t="str">
        <f>_xlfn.TEXTJOIN(", ", TRUE, Posts_Cleaned[[#This Row],[Hashtags Used.1]], Posts_Cleaned[[#This Row],[Hashtags Used.2]], Posts_Cleaned[[#This Row],[Hashtags Used.3]])</f>
        <v>#TeslaCoInnovation</v>
      </c>
      <c r="R260" s="2">
        <f>VLOOKUP(Posts_Cleaned[[#This Row],[Campaign_Name]],'Campaign Metadata Dataset '!$A$2:$B$5,2,0)</f>
        <v>45458</v>
      </c>
      <c r="S260" s="2">
        <f>VLOOKUP(Posts_Cleaned[[#This Row],[Campaign_Name]],'Campaign Metadata Dataset '!$A$1:$C$5,3,0)</f>
        <v>45488</v>
      </c>
      <c r="T260" s="1" t="str">
        <f t="shared" si="16"/>
        <v>Before Campaign</v>
      </c>
      <c r="U260" s="1">
        <f>SUM(Posts_Cleaned[[#This Row],[Likes]]+Posts_Cleaned[[#This Row],[Shares]]+Posts_Cleaned[[#This Row],[Comments]]+Posts_Cleaned[[#This Row],[Clicks]])</f>
        <v>962</v>
      </c>
      <c r="V260" s="1">
        <f ca="1">AVERAGEIF(Posts_Cleaned[[#This Row],[Period]]:T:T,"Before Campaign",Posts_Cleaned[[#This Row],[Engagement Rate ]])</f>
        <v>0.12844581750722378</v>
      </c>
      <c r="W260" s="5">
        <f t="shared" ca="1" si="19"/>
        <v>0.23889591128384299</v>
      </c>
      <c r="X260" s="6">
        <f ca="1">(Posts_Cleaned[[#This Row],[During ]]-Posts_Cleaned[[#This Row],[Before ]])/Posts_Cleaned[[#This Row],[During ]]</f>
        <v>0.46233563891090829</v>
      </c>
      <c r="Y260" s="1">
        <f>IFERROR(VLOOKUP(O260, 'Campaign Metadata Dataset '!$A$1:$G$5,5,0),0)</f>
        <v>150000</v>
      </c>
      <c r="Z260" s="1">
        <f t="shared" si="17"/>
        <v>6.4133333333333334E-3</v>
      </c>
      <c r="AA260" s="1">
        <f t="shared" ca="1" si="18"/>
        <v>0.46233563891090829</v>
      </c>
    </row>
    <row r="261" spans="1:27" x14ac:dyDescent="0.25">
      <c r="A261" t="s">
        <v>318</v>
      </c>
      <c r="B261" s="1" t="s">
        <v>33</v>
      </c>
      <c r="C261" s="2">
        <v>45700</v>
      </c>
      <c r="D261" s="1" t="s">
        <v>34</v>
      </c>
      <c r="E261" s="1" t="s">
        <v>35</v>
      </c>
      <c r="F261">
        <v>4332</v>
      </c>
      <c r="G261">
        <v>771</v>
      </c>
      <c r="H261">
        <v>219</v>
      </c>
      <c r="I261">
        <v>60648</v>
      </c>
      <c r="J261">
        <v>60397</v>
      </c>
      <c r="K261">
        <v>10</v>
      </c>
      <c r="L261" s="1" t="s">
        <v>25</v>
      </c>
      <c r="M261" s="1" t="s">
        <v>36</v>
      </c>
      <c r="N261" s="1" t="s">
        <v>26</v>
      </c>
      <c r="O261" s="1" t="s">
        <v>31</v>
      </c>
      <c r="P261" s="5">
        <f>IFERROR(((Posts_Cleaned[[#This Row],[Likes]]+Posts_Cleaned[[#This Row],[Shares]]+Posts_Cleaned[[#This Row],[Comments]])/Posts_Cleaned[[#This Row],[Impressions]]),0)</f>
        <v>8.7752275425405618E-2</v>
      </c>
      <c r="Q261" s="3" t="str">
        <f>_xlfn.TEXTJOIN(", ", TRUE, Posts_Cleaned[[#This Row],[Hashtags Used.1]], Posts_Cleaned[[#This Row],[Hashtags Used.2]], Posts_Cleaned[[#This Row],[Hashtags Used.3]])</f>
        <v>#TeslaCoInnovation, #EVRevolution, #BetterWithTesla</v>
      </c>
      <c r="R261" s="2">
        <f>VLOOKUP(Posts_Cleaned[[#This Row],[Campaign_Name]],'Campaign Metadata Dataset '!$A$2:$B$5,2,0)</f>
        <v>45651</v>
      </c>
      <c r="S261" s="2">
        <f>VLOOKUP(Posts_Cleaned[[#This Row],[Campaign_Name]],'Campaign Metadata Dataset '!$A$1:$C$5,3,0)</f>
        <v>45667</v>
      </c>
      <c r="T261" s="1" t="str">
        <f t="shared" si="16"/>
        <v>Before Campaign</v>
      </c>
      <c r="U261" s="1">
        <f>SUM(Posts_Cleaned[[#This Row],[Likes]]+Posts_Cleaned[[#This Row],[Shares]]+Posts_Cleaned[[#This Row],[Comments]]+Posts_Cleaned[[#This Row],[Clicks]])</f>
        <v>5332</v>
      </c>
      <c r="V261" s="1">
        <f ca="1">AVERAGEIF(Posts_Cleaned[[#This Row],[Period]]:T:T,"Before Campaign",Posts_Cleaned[[#This Row],[Engagement Rate ]])</f>
        <v>0.14796225213763564</v>
      </c>
      <c r="W261" s="5">
        <f t="shared" ca="1" si="19"/>
        <v>0.26197997660611111</v>
      </c>
      <c r="X261" s="6">
        <f ca="1">(Posts_Cleaned[[#This Row],[During ]]-Posts_Cleaned[[#This Row],[Before ]])/Posts_Cleaned[[#This Row],[During ]]</f>
        <v>0.43521541587089302</v>
      </c>
      <c r="Y261" s="1">
        <f>IFERROR(VLOOKUP(O261, 'Campaign Metadata Dataset '!$A$1:$G$5,5,0),0)</f>
        <v>250000</v>
      </c>
      <c r="Z261" s="1">
        <f t="shared" si="17"/>
        <v>2.1328E-2</v>
      </c>
      <c r="AA261" s="1">
        <f t="shared" ca="1" si="18"/>
        <v>0.43521541587089302</v>
      </c>
    </row>
    <row r="262" spans="1:27" x14ac:dyDescent="0.25">
      <c r="A262" t="s">
        <v>319</v>
      </c>
      <c r="B262" s="1" t="s">
        <v>33</v>
      </c>
      <c r="C262" s="2">
        <v>45592</v>
      </c>
      <c r="D262" s="1" t="s">
        <v>46</v>
      </c>
      <c r="E262" s="1" t="s">
        <v>138</v>
      </c>
      <c r="F262">
        <v>4853</v>
      </c>
      <c r="G262">
        <v>837</v>
      </c>
      <c r="H262">
        <v>340</v>
      </c>
      <c r="I262">
        <v>72795</v>
      </c>
      <c r="J262">
        <v>72237</v>
      </c>
      <c r="K262">
        <v>170</v>
      </c>
      <c r="L262" s="1" t="s">
        <v>36</v>
      </c>
      <c r="M262" s="1"/>
      <c r="N262" s="1"/>
      <c r="O262" s="1" t="s">
        <v>21</v>
      </c>
      <c r="P262" s="5">
        <f>IFERROR(((Posts_Cleaned[[#This Row],[Likes]]+Posts_Cleaned[[#This Row],[Shares]]+Posts_Cleaned[[#This Row],[Comments]])/Posts_Cleaned[[#This Row],[Impressions]]),0)</f>
        <v>8.2835359571399134E-2</v>
      </c>
      <c r="Q262" s="3" t="str">
        <f>_xlfn.TEXTJOIN(", ", TRUE, Posts_Cleaned[[#This Row],[Hashtags Used.1]], Posts_Cleaned[[#This Row],[Hashtags Used.2]], Posts_Cleaned[[#This Row],[Hashtags Used.3]])</f>
        <v>#EVRevolution</v>
      </c>
      <c r="R262" s="2">
        <f>VLOOKUP(Posts_Cleaned[[#This Row],[Campaign_Name]],'Campaign Metadata Dataset '!$A$2:$B$5,2,0)</f>
        <v>45458</v>
      </c>
      <c r="S262" s="2">
        <f>VLOOKUP(Posts_Cleaned[[#This Row],[Campaign_Name]],'Campaign Metadata Dataset '!$A$1:$C$5,3,0)</f>
        <v>45488</v>
      </c>
      <c r="T262" s="1" t="str">
        <f t="shared" si="16"/>
        <v>Before Campaign</v>
      </c>
      <c r="U262" s="1">
        <f>SUM(Posts_Cleaned[[#This Row],[Likes]]+Posts_Cleaned[[#This Row],[Shares]]+Posts_Cleaned[[#This Row],[Comments]]+Posts_Cleaned[[#This Row],[Clicks]])</f>
        <v>6200</v>
      </c>
      <c r="V262" s="1">
        <f ca="1">AVERAGEIF(Posts_Cleaned[[#This Row],[Period]]:T:T,"Before Campaign",Posts_Cleaned[[#This Row],[Engagement Rate ]])</f>
        <v>0.15118110836205392</v>
      </c>
      <c r="W262" s="5">
        <f t="shared" ca="1" si="19"/>
        <v>0.10104180633220153</v>
      </c>
      <c r="X262" s="6">
        <f ca="1">(Posts_Cleaned[[#This Row],[During ]]-Posts_Cleaned[[#This Row],[Before ]])/Posts_Cleaned[[#This Row],[During ]]</f>
        <v>-0.49622333418116304</v>
      </c>
      <c r="Y262" s="1">
        <f>IFERROR(VLOOKUP(O262, 'Campaign Metadata Dataset '!$A$1:$G$5,5,0),0)</f>
        <v>150000</v>
      </c>
      <c r="Z262" s="1">
        <f t="shared" si="17"/>
        <v>4.1333333333333333E-2</v>
      </c>
      <c r="AA262" s="1">
        <f t="shared" ca="1" si="18"/>
        <v>-0.49622333418116304</v>
      </c>
    </row>
    <row r="263" spans="1:27" x14ac:dyDescent="0.25">
      <c r="A263" t="s">
        <v>320</v>
      </c>
      <c r="B263" s="1" t="s">
        <v>29</v>
      </c>
      <c r="C263" s="2">
        <v>45675</v>
      </c>
      <c r="D263" s="1" t="s">
        <v>46</v>
      </c>
      <c r="E263" s="1" t="s">
        <v>47</v>
      </c>
      <c r="F263">
        <v>1206</v>
      </c>
      <c r="G263">
        <v>238</v>
      </c>
      <c r="H263">
        <v>36</v>
      </c>
      <c r="I263">
        <v>9648</v>
      </c>
      <c r="J263">
        <v>9417</v>
      </c>
      <c r="K263">
        <v>237</v>
      </c>
      <c r="L263" s="1" t="s">
        <v>25</v>
      </c>
      <c r="M263" s="1"/>
      <c r="N263" s="1"/>
      <c r="O263" s="1"/>
      <c r="P263" s="5">
        <f>IFERROR(((Posts_Cleaned[[#This Row],[Likes]]+Posts_Cleaned[[#This Row],[Shares]]+Posts_Cleaned[[#This Row],[Comments]])/Posts_Cleaned[[#This Row],[Impressions]]),0)</f>
        <v>0.15339966832504145</v>
      </c>
      <c r="Q263" s="3" t="str">
        <f>_xlfn.TEXTJOIN(", ", TRUE, Posts_Cleaned[[#This Row],[Hashtags Used.1]], Posts_Cleaned[[#This Row],[Hashtags Used.2]], Posts_Cleaned[[#This Row],[Hashtags Used.3]])</f>
        <v>#TeslaCoInnovation</v>
      </c>
      <c r="R263" s="2" t="e">
        <f>VLOOKUP(Posts_Cleaned[[#This Row],[Campaign_Name]],'Campaign Metadata Dataset '!$A$2:$B$5,2,0)</f>
        <v>#N/A</v>
      </c>
      <c r="S263" s="2" t="e">
        <f>VLOOKUP(Posts_Cleaned[[#This Row],[Campaign_Name]],'Campaign Metadata Dataset '!$A$1:$C$5,3,0)</f>
        <v>#N/A</v>
      </c>
      <c r="T263" s="1" t="e">
        <f t="shared" si="16"/>
        <v>#N/A</v>
      </c>
      <c r="U263" s="1">
        <f>SUM(Posts_Cleaned[[#This Row],[Likes]]+Posts_Cleaned[[#This Row],[Shares]]+Posts_Cleaned[[#This Row],[Comments]]+Posts_Cleaned[[#This Row],[Clicks]])</f>
        <v>1717</v>
      </c>
      <c r="V263" s="1">
        <f ca="1">AVERAGEIF(Posts_Cleaned[[#This Row],[Period]]:T:T,"Before Campaign",Posts_Cleaned[[#This Row],[Engagement Rate ]])</f>
        <v>0.14318139301159602</v>
      </c>
      <c r="W263" s="5">
        <f t="shared" ca="1" si="19"/>
        <v>5.9458909776183004E-2</v>
      </c>
      <c r="X263" s="6">
        <f ca="1">(Posts_Cleaned[[#This Row],[During ]]-Posts_Cleaned[[#This Row],[Before ]])/Posts_Cleaned[[#This Row],[During ]]</f>
        <v>-1.408072962497356</v>
      </c>
      <c r="Y263" s="1">
        <f>IFERROR(VLOOKUP(O263, 'Campaign Metadata Dataset '!$A$1:$G$5,5,0),0)</f>
        <v>0</v>
      </c>
      <c r="Z263" s="1">
        <v>0</v>
      </c>
      <c r="AA263" s="1">
        <f t="shared" ca="1" si="18"/>
        <v>-1.408072962497356</v>
      </c>
    </row>
    <row r="264" spans="1:27" x14ac:dyDescent="0.25">
      <c r="A264" t="s">
        <v>321</v>
      </c>
      <c r="B264" s="1" t="s">
        <v>33</v>
      </c>
      <c r="C264" s="2">
        <v>45524</v>
      </c>
      <c r="D264" s="1" t="s">
        <v>17</v>
      </c>
      <c r="E264" s="1" t="s">
        <v>65</v>
      </c>
      <c r="F264">
        <v>2603</v>
      </c>
      <c r="G264">
        <v>690</v>
      </c>
      <c r="H264">
        <v>205</v>
      </c>
      <c r="I264">
        <v>13015</v>
      </c>
      <c r="J264">
        <v>12130</v>
      </c>
      <c r="K264">
        <v>20</v>
      </c>
      <c r="L264" s="1" t="s">
        <v>19</v>
      </c>
      <c r="M264" s="1"/>
      <c r="N264" s="1"/>
      <c r="O264" s="1" t="s">
        <v>27</v>
      </c>
      <c r="P264" s="5">
        <f>IFERROR(((Posts_Cleaned[[#This Row],[Likes]]+Posts_Cleaned[[#This Row],[Shares]]+Posts_Cleaned[[#This Row],[Comments]])/Posts_Cleaned[[#This Row],[Impressions]]),0)</f>
        <v>0.26876680752977333</v>
      </c>
      <c r="Q264" s="3" t="str">
        <f>_xlfn.TEXTJOIN(", ", TRUE, Posts_Cleaned[[#This Row],[Hashtags Used.1]], Posts_Cleaned[[#This Row],[Hashtags Used.2]], Posts_Cleaned[[#This Row],[Hashtags Used.3]])</f>
        <v>#FutureOfDriving</v>
      </c>
      <c r="R264" s="2">
        <f>VLOOKUP(Posts_Cleaned[[#This Row],[Campaign_Name]],'Campaign Metadata Dataset '!$A$2:$B$5,2,0)</f>
        <v>45566</v>
      </c>
      <c r="S264" s="2">
        <f>VLOOKUP(Posts_Cleaned[[#This Row],[Campaign_Name]],'Campaign Metadata Dataset '!$A$1:$C$5,3,0)</f>
        <v>45596</v>
      </c>
      <c r="T264" s="1" t="str">
        <f t="shared" si="16"/>
        <v>Before Campaign</v>
      </c>
      <c r="U264" s="1">
        <f>SUM(Posts_Cleaned[[#This Row],[Likes]]+Posts_Cleaned[[#This Row],[Shares]]+Posts_Cleaned[[#This Row],[Comments]]+Posts_Cleaned[[#This Row],[Clicks]])</f>
        <v>3518</v>
      </c>
      <c r="V264" s="1">
        <f ca="1">AVERAGEIF(Posts_Cleaned[[#This Row],[Period]]:T:T,"Before Campaign",Posts_Cleaned[[#This Row],[Engagement Rate ]])</f>
        <v>0.13605733619712052</v>
      </c>
      <c r="W264" s="5">
        <f t="shared" ca="1" si="19"/>
        <v>7.7310856396880387E-2</v>
      </c>
      <c r="X264" s="6">
        <f ca="1">(Posts_Cleaned[[#This Row],[During ]]-Posts_Cleaned[[#This Row],[Before ]])/Posts_Cleaned[[#This Row],[During ]]</f>
        <v>-0.75987361333395653</v>
      </c>
      <c r="Y264" s="1">
        <f>IFERROR(VLOOKUP(O264, 'Campaign Metadata Dataset '!$A$1:$G$5,5,0),0)</f>
        <v>200000</v>
      </c>
      <c r="Z264" s="1">
        <f t="shared" si="17"/>
        <v>1.7590000000000001E-2</v>
      </c>
      <c r="AA264" s="1">
        <f t="shared" ca="1" si="18"/>
        <v>-0.75987361333395653</v>
      </c>
    </row>
    <row r="265" spans="1:27" x14ac:dyDescent="0.25">
      <c r="A265" t="s">
        <v>322</v>
      </c>
      <c r="B265" s="1" t="s">
        <v>16</v>
      </c>
      <c r="C265" s="2">
        <v>45687</v>
      </c>
      <c r="D265" s="1" t="s">
        <v>46</v>
      </c>
      <c r="E265" s="1" t="s">
        <v>92</v>
      </c>
      <c r="F265">
        <v>59</v>
      </c>
      <c r="G265">
        <v>163</v>
      </c>
      <c r="H265">
        <v>93</v>
      </c>
      <c r="I265">
        <v>590</v>
      </c>
      <c r="J265">
        <v>475</v>
      </c>
      <c r="K265">
        <v>293</v>
      </c>
      <c r="L265" s="1" t="s">
        <v>25</v>
      </c>
      <c r="M265" s="1"/>
      <c r="N265" s="1"/>
      <c r="O265" s="1" t="s">
        <v>27</v>
      </c>
      <c r="P265" s="5">
        <f>IFERROR(((Posts_Cleaned[[#This Row],[Likes]]+Posts_Cleaned[[#This Row],[Shares]]+Posts_Cleaned[[#This Row],[Comments]])/Posts_Cleaned[[#This Row],[Impressions]]),0)</f>
        <v>0.53389830508474578</v>
      </c>
      <c r="Q265" s="3" t="str">
        <f>_xlfn.TEXTJOIN(", ", TRUE, Posts_Cleaned[[#This Row],[Hashtags Used.1]], Posts_Cleaned[[#This Row],[Hashtags Used.2]], Posts_Cleaned[[#This Row],[Hashtags Used.3]])</f>
        <v>#TeslaCoInnovation</v>
      </c>
      <c r="R265" s="2">
        <f>VLOOKUP(Posts_Cleaned[[#This Row],[Campaign_Name]],'Campaign Metadata Dataset '!$A$2:$B$5,2,0)</f>
        <v>45566</v>
      </c>
      <c r="S265" s="2">
        <f>VLOOKUP(Posts_Cleaned[[#This Row],[Campaign_Name]],'Campaign Metadata Dataset '!$A$1:$C$5,3,0)</f>
        <v>45596</v>
      </c>
      <c r="T265" s="1" t="str">
        <f t="shared" si="16"/>
        <v>Before Campaign</v>
      </c>
      <c r="U265" s="1">
        <f>SUM(Posts_Cleaned[[#This Row],[Likes]]+Posts_Cleaned[[#This Row],[Shares]]+Posts_Cleaned[[#This Row],[Comments]]+Posts_Cleaned[[#This Row],[Clicks]])</f>
        <v>608</v>
      </c>
      <c r="V265" s="1">
        <f ca="1">AVERAGEIF(Posts_Cleaned[[#This Row],[Period]]:T:T,"Before Campaign",Posts_Cleaned[[#This Row],[Engagement Rate ]])</f>
        <v>0.12447083285674822</v>
      </c>
      <c r="W265" s="5">
        <f t="shared" ca="1" si="19"/>
        <v>0.12586448256651392</v>
      </c>
      <c r="X265" s="6">
        <f ca="1">(Posts_Cleaned[[#This Row],[During ]]-Posts_Cleaned[[#This Row],[Before ]])/Posts_Cleaned[[#This Row],[During ]]</f>
        <v>1.1072620975732514E-2</v>
      </c>
      <c r="Y265" s="1">
        <f>IFERROR(VLOOKUP(O265, 'Campaign Metadata Dataset '!$A$1:$G$5,5,0),0)</f>
        <v>200000</v>
      </c>
      <c r="Z265" s="1">
        <f t="shared" si="17"/>
        <v>3.0400000000000002E-3</v>
      </c>
      <c r="AA265" s="1">
        <f t="shared" ca="1" si="18"/>
        <v>1.1072620975732514E-2</v>
      </c>
    </row>
    <row r="266" spans="1:27" x14ac:dyDescent="0.25">
      <c r="A266" t="s">
        <v>323</v>
      </c>
      <c r="B266" s="1" t="s">
        <v>16</v>
      </c>
      <c r="C266" s="2">
        <v>45708</v>
      </c>
      <c r="D266" s="1" t="s">
        <v>41</v>
      </c>
      <c r="E266" s="1" t="s">
        <v>44</v>
      </c>
      <c r="F266">
        <v>1877</v>
      </c>
      <c r="G266">
        <v>745</v>
      </c>
      <c r="H266">
        <v>225</v>
      </c>
      <c r="I266">
        <v>11262</v>
      </c>
      <c r="J266">
        <v>10967</v>
      </c>
      <c r="K266">
        <v>41</v>
      </c>
      <c r="L266" s="1" t="s">
        <v>36</v>
      </c>
      <c r="M266" s="1"/>
      <c r="N266" s="1"/>
      <c r="O266" s="1" t="s">
        <v>37</v>
      </c>
      <c r="P266" s="5">
        <f>IFERROR(((Posts_Cleaned[[#This Row],[Likes]]+Posts_Cleaned[[#This Row],[Shares]]+Posts_Cleaned[[#This Row],[Comments]])/Posts_Cleaned[[#This Row],[Impressions]]),0)</f>
        <v>0.25279701651571657</v>
      </c>
      <c r="Q266" s="3" t="str">
        <f>_xlfn.TEXTJOIN(", ", TRUE, Posts_Cleaned[[#This Row],[Hashtags Used.1]], Posts_Cleaned[[#This Row],[Hashtags Used.2]], Posts_Cleaned[[#This Row],[Hashtags Used.3]])</f>
        <v>#EVRevolution</v>
      </c>
      <c r="R266" s="2">
        <f>VLOOKUP(Posts_Cleaned[[#This Row],[Campaign_Name]],'Campaign Metadata Dataset '!$A$2:$B$5,2,0)</f>
        <v>45717</v>
      </c>
      <c r="S266" s="2">
        <f>VLOOKUP(Posts_Cleaned[[#This Row],[Campaign_Name]],'Campaign Metadata Dataset '!$A$1:$C$5,3,0)</f>
        <v>45747</v>
      </c>
      <c r="T266" s="1" t="str">
        <f t="shared" si="16"/>
        <v>Before Campaign</v>
      </c>
      <c r="U266" s="1">
        <f>SUM(Posts_Cleaned[[#This Row],[Likes]]+Posts_Cleaned[[#This Row],[Shares]]+Posts_Cleaned[[#This Row],[Comments]]+Posts_Cleaned[[#This Row],[Clicks]])</f>
        <v>2888</v>
      </c>
      <c r="V266" s="1">
        <f ca="1">AVERAGEIF(Posts_Cleaned[[#This Row],[Period]]:T:T,"Before Campaign",Posts_Cleaned[[#This Row],[Engagement Rate ]])</f>
        <v>0.12257512620048748</v>
      </c>
      <c r="W266" s="5">
        <f t="shared" ca="1" si="19"/>
        <v>0.13740568193136002</v>
      </c>
      <c r="X266" s="6">
        <f ca="1">(Posts_Cleaned[[#This Row],[During ]]-Posts_Cleaned[[#This Row],[Before ]])/Posts_Cleaned[[#This Row],[During ]]</f>
        <v>0.10793262347244877</v>
      </c>
      <c r="Y266" s="1">
        <f>IFERROR(VLOOKUP(O266, 'Campaign Metadata Dataset '!$A$1:$G$5,5,0),0)</f>
        <v>180000</v>
      </c>
      <c r="Z266" s="1">
        <f t="shared" si="17"/>
        <v>1.6044444444444445E-2</v>
      </c>
      <c r="AA266" s="1">
        <f t="shared" ca="1" si="18"/>
        <v>0.10793262347244877</v>
      </c>
    </row>
    <row r="267" spans="1:27" x14ac:dyDescent="0.25">
      <c r="A267" t="s">
        <v>324</v>
      </c>
      <c r="B267" s="1" t="s">
        <v>40</v>
      </c>
      <c r="C267" s="2">
        <v>45621</v>
      </c>
      <c r="D267" s="1" t="s">
        <v>34</v>
      </c>
      <c r="E267" s="1" t="s">
        <v>58</v>
      </c>
      <c r="F267">
        <v>4182</v>
      </c>
      <c r="G267">
        <v>640</v>
      </c>
      <c r="H267">
        <v>240</v>
      </c>
      <c r="I267">
        <v>50184</v>
      </c>
      <c r="J267">
        <v>49351</v>
      </c>
      <c r="K267">
        <v>10</v>
      </c>
      <c r="L267" s="1" t="s">
        <v>25</v>
      </c>
      <c r="M267" s="1"/>
      <c r="N267" s="1"/>
      <c r="O267" s="1" t="s">
        <v>31</v>
      </c>
      <c r="P267" s="5">
        <f>IFERROR(((Posts_Cleaned[[#This Row],[Likes]]+Posts_Cleaned[[#This Row],[Shares]]+Posts_Cleaned[[#This Row],[Comments]])/Posts_Cleaned[[#This Row],[Impressions]]),0)</f>
        <v>0.10086880280567512</v>
      </c>
      <c r="Q267" s="3" t="str">
        <f>_xlfn.TEXTJOIN(", ", TRUE, Posts_Cleaned[[#This Row],[Hashtags Used.1]], Posts_Cleaned[[#This Row],[Hashtags Used.2]], Posts_Cleaned[[#This Row],[Hashtags Used.3]])</f>
        <v>#TeslaCoInnovation</v>
      </c>
      <c r="R267" s="2">
        <f>VLOOKUP(Posts_Cleaned[[#This Row],[Campaign_Name]],'Campaign Metadata Dataset '!$A$2:$B$5,2,0)</f>
        <v>45651</v>
      </c>
      <c r="S267" s="2">
        <f>VLOOKUP(Posts_Cleaned[[#This Row],[Campaign_Name]],'Campaign Metadata Dataset '!$A$1:$C$5,3,0)</f>
        <v>45667</v>
      </c>
      <c r="T267" s="1" t="str">
        <f t="shared" si="16"/>
        <v>Before Campaign</v>
      </c>
      <c r="U267" s="1">
        <f>SUM(Posts_Cleaned[[#This Row],[Likes]]+Posts_Cleaned[[#This Row],[Shares]]+Posts_Cleaned[[#This Row],[Comments]]+Posts_Cleaned[[#This Row],[Clicks]])</f>
        <v>5072</v>
      </c>
      <c r="V267" s="1">
        <f ca="1">AVERAGEIF(Posts_Cleaned[[#This Row],[Period]]:T:T,"Before Campaign",Posts_Cleaned[[#This Row],[Engagement Rate ]])</f>
        <v>0.12199048336508232</v>
      </c>
      <c r="W267" s="5">
        <f t="shared" ca="1" si="19"/>
        <v>0.1327158720063718</v>
      </c>
      <c r="X267" s="6">
        <f ca="1">(Posts_Cleaned[[#This Row],[During ]]-Posts_Cleaned[[#This Row],[Before ]])/Posts_Cleaned[[#This Row],[During ]]</f>
        <v>8.0814664283519508E-2</v>
      </c>
      <c r="Y267" s="1">
        <f>IFERROR(VLOOKUP(O267, 'Campaign Metadata Dataset '!$A$1:$G$5,5,0),0)</f>
        <v>250000</v>
      </c>
      <c r="Z267" s="1">
        <f t="shared" si="17"/>
        <v>2.0288E-2</v>
      </c>
      <c r="AA267" s="1">
        <f t="shared" ca="1" si="18"/>
        <v>8.0814664283519508E-2</v>
      </c>
    </row>
    <row r="268" spans="1:27" x14ac:dyDescent="0.25">
      <c r="A268" t="s">
        <v>325</v>
      </c>
      <c r="B268" s="1" t="s">
        <v>16</v>
      </c>
      <c r="C268" s="2">
        <v>45569</v>
      </c>
      <c r="D268" s="1" t="s">
        <v>17</v>
      </c>
      <c r="E268" s="1" t="s">
        <v>18</v>
      </c>
      <c r="F268">
        <v>4187</v>
      </c>
      <c r="G268">
        <v>66</v>
      </c>
      <c r="H268">
        <v>31</v>
      </c>
      <c r="I268">
        <v>66992</v>
      </c>
      <c r="J268">
        <v>66614</v>
      </c>
      <c r="K268">
        <v>62</v>
      </c>
      <c r="L268" s="1" t="s">
        <v>19</v>
      </c>
      <c r="M268" s="1"/>
      <c r="N268" s="1"/>
      <c r="O268" s="1"/>
      <c r="P268" s="5">
        <f>IFERROR(((Posts_Cleaned[[#This Row],[Likes]]+Posts_Cleaned[[#This Row],[Shares]]+Posts_Cleaned[[#This Row],[Comments]])/Posts_Cleaned[[#This Row],[Impressions]]),0)</f>
        <v>6.3947934081681396E-2</v>
      </c>
      <c r="Q268" s="3" t="str">
        <f>_xlfn.TEXTJOIN(", ", TRUE, Posts_Cleaned[[#This Row],[Hashtags Used.1]], Posts_Cleaned[[#This Row],[Hashtags Used.2]], Posts_Cleaned[[#This Row],[Hashtags Used.3]])</f>
        <v>#FutureOfDriving</v>
      </c>
      <c r="R268" s="2" t="e">
        <f>VLOOKUP(Posts_Cleaned[[#This Row],[Campaign_Name]],'Campaign Metadata Dataset '!$A$2:$B$5,2,0)</f>
        <v>#N/A</v>
      </c>
      <c r="S268" s="2" t="e">
        <f>VLOOKUP(Posts_Cleaned[[#This Row],[Campaign_Name]],'Campaign Metadata Dataset '!$A$1:$C$5,3,0)</f>
        <v>#N/A</v>
      </c>
      <c r="T268" s="1" t="e">
        <f t="shared" si="16"/>
        <v>#N/A</v>
      </c>
      <c r="U268" s="1">
        <f>SUM(Posts_Cleaned[[#This Row],[Likes]]+Posts_Cleaned[[#This Row],[Shares]]+Posts_Cleaned[[#This Row],[Comments]]+Posts_Cleaned[[#This Row],[Clicks]])</f>
        <v>4346</v>
      </c>
      <c r="V268" s="1">
        <f ca="1">AVERAGEIF(Posts_Cleaned[[#This Row],[Period]]:T:T,"Before Campaign",Posts_Cleaned[[#This Row],[Engagement Rate ]])</f>
        <v>0.12087085735499763</v>
      </c>
      <c r="W268" s="5">
        <f t="shared" ca="1" si="19"/>
        <v>0.17714907512097422</v>
      </c>
      <c r="X268" s="6">
        <f ca="1">(Posts_Cleaned[[#This Row],[During ]]-Posts_Cleaned[[#This Row],[Before ]])/Posts_Cleaned[[#This Row],[During ]]</f>
        <v>0.31768846508255533</v>
      </c>
      <c r="Y268" s="1">
        <f>IFERROR(VLOOKUP(O268, 'Campaign Metadata Dataset '!$A$1:$G$5,5,0),0)</f>
        <v>0</v>
      </c>
      <c r="Z268" s="1">
        <v>0</v>
      </c>
      <c r="AA268" s="1">
        <f t="shared" ca="1" si="18"/>
        <v>0.31768846508255533</v>
      </c>
    </row>
    <row r="269" spans="1:27" x14ac:dyDescent="0.25">
      <c r="A269" t="s">
        <v>326</v>
      </c>
      <c r="B269" s="1" t="s">
        <v>33</v>
      </c>
      <c r="C269" s="2">
        <v>45760</v>
      </c>
      <c r="D269" s="1" t="s">
        <v>17</v>
      </c>
      <c r="E269" s="1" t="s">
        <v>65</v>
      </c>
      <c r="F269">
        <v>4579</v>
      </c>
      <c r="G269">
        <v>125</v>
      </c>
      <c r="H269">
        <v>300</v>
      </c>
      <c r="I269">
        <v>59527</v>
      </c>
      <c r="J269">
        <v>59400</v>
      </c>
      <c r="K269">
        <v>269</v>
      </c>
      <c r="L269" s="1" t="s">
        <v>36</v>
      </c>
      <c r="M269" s="1"/>
      <c r="N269" s="1"/>
      <c r="O269" s="1" t="s">
        <v>21</v>
      </c>
      <c r="P269" s="5">
        <f>IFERROR(((Posts_Cleaned[[#This Row],[Likes]]+Posts_Cleaned[[#This Row],[Shares]]+Posts_Cleaned[[#This Row],[Comments]])/Posts_Cleaned[[#This Row],[Impressions]]),0)</f>
        <v>8.4062694239588759E-2</v>
      </c>
      <c r="Q269" s="3" t="str">
        <f>_xlfn.TEXTJOIN(", ", TRUE, Posts_Cleaned[[#This Row],[Hashtags Used.1]], Posts_Cleaned[[#This Row],[Hashtags Used.2]], Posts_Cleaned[[#This Row],[Hashtags Used.3]])</f>
        <v>#EVRevolution</v>
      </c>
      <c r="R269" s="2">
        <f>VLOOKUP(Posts_Cleaned[[#This Row],[Campaign_Name]],'Campaign Metadata Dataset '!$A$2:$B$5,2,0)</f>
        <v>45458</v>
      </c>
      <c r="S269" s="2">
        <f>VLOOKUP(Posts_Cleaned[[#This Row],[Campaign_Name]],'Campaign Metadata Dataset '!$A$1:$C$5,3,0)</f>
        <v>45488</v>
      </c>
      <c r="T269" s="1" t="str">
        <f t="shared" si="16"/>
        <v>Before Campaign</v>
      </c>
      <c r="U269" s="1">
        <f>SUM(Posts_Cleaned[[#This Row],[Likes]]+Posts_Cleaned[[#This Row],[Shares]]+Posts_Cleaned[[#This Row],[Comments]]+Posts_Cleaned[[#This Row],[Clicks]])</f>
        <v>5273</v>
      </c>
      <c r="V269" s="1">
        <f ca="1">AVERAGEIF(Posts_Cleaned[[#This Row],[Period]]:T:T,"Before Campaign",Posts_Cleaned[[#This Row],[Engagement Rate ]])</f>
        <v>0.13369738254519006</v>
      </c>
      <c r="W269" s="5">
        <f t="shared" ca="1" si="19"/>
        <v>0.1351035672948335</v>
      </c>
      <c r="X269" s="6">
        <f ca="1">(Posts_Cleaned[[#This Row],[During ]]-Posts_Cleaned[[#This Row],[Before ]])/Posts_Cleaned[[#This Row],[During ]]</f>
        <v>1.0408198523542682E-2</v>
      </c>
      <c r="Y269" s="1">
        <f>IFERROR(VLOOKUP(O269, 'Campaign Metadata Dataset '!$A$1:$G$5,5,0),0)</f>
        <v>150000</v>
      </c>
      <c r="Z269" s="1">
        <f t="shared" si="17"/>
        <v>3.5153333333333335E-2</v>
      </c>
      <c r="AA269" s="1">
        <f t="shared" ca="1" si="18"/>
        <v>1.0408198523542682E-2</v>
      </c>
    </row>
    <row r="270" spans="1:27" x14ac:dyDescent="0.25">
      <c r="A270" t="s">
        <v>327</v>
      </c>
      <c r="B270" s="1" t="s">
        <v>33</v>
      </c>
      <c r="C270" s="2">
        <v>45601</v>
      </c>
      <c r="D270" s="1" t="s">
        <v>60</v>
      </c>
      <c r="E270" s="1" t="s">
        <v>67</v>
      </c>
      <c r="F270">
        <v>4561</v>
      </c>
      <c r="G270">
        <v>51</v>
      </c>
      <c r="H270">
        <v>441</v>
      </c>
      <c r="I270">
        <v>22805</v>
      </c>
      <c r="J270">
        <v>21890</v>
      </c>
      <c r="K270">
        <v>45</v>
      </c>
      <c r="L270" s="1" t="s">
        <v>25</v>
      </c>
      <c r="M270" s="1"/>
      <c r="N270" s="1"/>
      <c r="O270" s="1" t="s">
        <v>27</v>
      </c>
      <c r="P270" s="5">
        <f>IFERROR(((Posts_Cleaned[[#This Row],[Likes]]+Posts_Cleaned[[#This Row],[Shares]]+Posts_Cleaned[[#This Row],[Comments]])/Posts_Cleaned[[#This Row],[Impressions]]),0)</f>
        <v>0.22157421618066214</v>
      </c>
      <c r="Q270" s="3" t="str">
        <f>_xlfn.TEXTJOIN(", ", TRUE, Posts_Cleaned[[#This Row],[Hashtags Used.1]], Posts_Cleaned[[#This Row],[Hashtags Used.2]], Posts_Cleaned[[#This Row],[Hashtags Used.3]])</f>
        <v>#TeslaCoInnovation</v>
      </c>
      <c r="R270" s="2">
        <f>VLOOKUP(Posts_Cleaned[[#This Row],[Campaign_Name]],'Campaign Metadata Dataset '!$A$2:$B$5,2,0)</f>
        <v>45566</v>
      </c>
      <c r="S270" s="2">
        <f>VLOOKUP(Posts_Cleaned[[#This Row],[Campaign_Name]],'Campaign Metadata Dataset '!$A$1:$C$5,3,0)</f>
        <v>45596</v>
      </c>
      <c r="T270" s="1" t="str">
        <f t="shared" si="16"/>
        <v>Before Campaign</v>
      </c>
      <c r="U270" s="1">
        <f>SUM(Posts_Cleaned[[#This Row],[Likes]]+Posts_Cleaned[[#This Row],[Shares]]+Posts_Cleaned[[#This Row],[Comments]]+Posts_Cleaned[[#This Row],[Clicks]])</f>
        <v>5098</v>
      </c>
      <c r="V270" s="1">
        <f ca="1">AVERAGEIF(Posts_Cleaned[[#This Row],[Period]]:T:T,"Before Campaign",Posts_Cleaned[[#This Row],[Engagement Rate ]])</f>
        <v>0.11712254226044441</v>
      </c>
      <c r="W270" s="5">
        <f t="shared" ca="1" si="19"/>
        <v>7.8645952030768115E-2</v>
      </c>
      <c r="X270" s="6">
        <f ca="1">(Posts_Cleaned[[#This Row],[During ]]-Posts_Cleaned[[#This Row],[Before ]])/Posts_Cleaned[[#This Row],[During ]]</f>
        <v>-0.48923802479526685</v>
      </c>
      <c r="Y270" s="1">
        <f>IFERROR(VLOOKUP(O270, 'Campaign Metadata Dataset '!$A$1:$G$5,5,0),0)</f>
        <v>200000</v>
      </c>
      <c r="Z270" s="1">
        <f t="shared" si="17"/>
        <v>2.5489999999999999E-2</v>
      </c>
      <c r="AA270" s="1">
        <f t="shared" ca="1" si="18"/>
        <v>-0.48923802479526685</v>
      </c>
    </row>
    <row r="271" spans="1:27" x14ac:dyDescent="0.25">
      <c r="A271" t="s">
        <v>328</v>
      </c>
      <c r="B271" s="1" t="s">
        <v>29</v>
      </c>
      <c r="C271" s="2">
        <v>45672</v>
      </c>
      <c r="D271" s="1" t="s">
        <v>17</v>
      </c>
      <c r="E271" s="1" t="s">
        <v>30</v>
      </c>
      <c r="F271">
        <v>3774</v>
      </c>
      <c r="G271">
        <v>239</v>
      </c>
      <c r="H271">
        <v>39</v>
      </c>
      <c r="I271">
        <v>60384</v>
      </c>
      <c r="J271">
        <v>59490</v>
      </c>
      <c r="K271">
        <v>241</v>
      </c>
      <c r="L271" s="1" t="s">
        <v>25</v>
      </c>
      <c r="M271" s="1"/>
      <c r="N271" s="1"/>
      <c r="O271" s="1" t="s">
        <v>31</v>
      </c>
      <c r="P271" s="5">
        <f>IFERROR(((Posts_Cleaned[[#This Row],[Likes]]+Posts_Cleaned[[#This Row],[Shares]]+Posts_Cleaned[[#This Row],[Comments]])/Posts_Cleaned[[#This Row],[Impressions]]),0)</f>
        <v>6.7103868574456813E-2</v>
      </c>
      <c r="Q271" s="3" t="str">
        <f>_xlfn.TEXTJOIN(", ", TRUE, Posts_Cleaned[[#This Row],[Hashtags Used.1]], Posts_Cleaned[[#This Row],[Hashtags Used.2]], Posts_Cleaned[[#This Row],[Hashtags Used.3]])</f>
        <v>#TeslaCoInnovation</v>
      </c>
      <c r="R271" s="2">
        <f>VLOOKUP(Posts_Cleaned[[#This Row],[Campaign_Name]],'Campaign Metadata Dataset '!$A$2:$B$5,2,0)</f>
        <v>45651</v>
      </c>
      <c r="S271" s="2">
        <f>VLOOKUP(Posts_Cleaned[[#This Row],[Campaign_Name]],'Campaign Metadata Dataset '!$A$1:$C$5,3,0)</f>
        <v>45667</v>
      </c>
      <c r="T271" s="1" t="str">
        <f t="shared" si="16"/>
        <v>Before Campaign</v>
      </c>
      <c r="U271" s="1">
        <f>SUM(Posts_Cleaned[[#This Row],[Likes]]+Posts_Cleaned[[#This Row],[Shares]]+Posts_Cleaned[[#This Row],[Comments]]+Posts_Cleaned[[#This Row],[Clicks]])</f>
        <v>4293</v>
      </c>
      <c r="V271" s="1">
        <f ca="1">AVERAGEIF(Posts_Cleaned[[#This Row],[Period]]:T:T,"Before Campaign",Posts_Cleaned[[#This Row],[Engagement Rate ]])</f>
        <v>0.12223194194205636</v>
      </c>
      <c r="W271" s="5">
        <f t="shared" ca="1" si="19"/>
        <v>0.16329576350474292</v>
      </c>
      <c r="X271" s="6">
        <f ca="1">(Posts_Cleaned[[#This Row],[During ]]-Posts_Cleaned[[#This Row],[Before ]])/Posts_Cleaned[[#This Row],[During ]]</f>
        <v>0.25146899516161586</v>
      </c>
      <c r="Y271" s="1">
        <f>IFERROR(VLOOKUP(O271, 'Campaign Metadata Dataset '!$A$1:$G$5,5,0),0)</f>
        <v>250000</v>
      </c>
      <c r="Z271" s="1">
        <f t="shared" si="17"/>
        <v>1.7172E-2</v>
      </c>
      <c r="AA271" s="1">
        <f t="shared" ca="1" si="18"/>
        <v>0.25146899516161586</v>
      </c>
    </row>
    <row r="272" spans="1:27" x14ac:dyDescent="0.25">
      <c r="A272" t="s">
        <v>329</v>
      </c>
      <c r="B272" s="1" t="s">
        <v>33</v>
      </c>
      <c r="C272" s="2">
        <v>45582</v>
      </c>
      <c r="D272" s="1" t="s">
        <v>60</v>
      </c>
      <c r="E272" s="1" t="s">
        <v>67</v>
      </c>
      <c r="F272">
        <v>3575</v>
      </c>
      <c r="G272">
        <v>749</v>
      </c>
      <c r="H272">
        <v>111</v>
      </c>
      <c r="I272">
        <v>21450</v>
      </c>
      <c r="J272">
        <v>20785</v>
      </c>
      <c r="K272">
        <v>195</v>
      </c>
      <c r="L272" s="1" t="s">
        <v>36</v>
      </c>
      <c r="M272" s="1"/>
      <c r="N272" s="1"/>
      <c r="O272" s="1" t="s">
        <v>27</v>
      </c>
      <c r="P272" s="5">
        <f>IFERROR(((Posts_Cleaned[[#This Row],[Likes]]+Posts_Cleaned[[#This Row],[Shares]]+Posts_Cleaned[[#This Row],[Comments]])/Posts_Cleaned[[#This Row],[Impressions]]),0)</f>
        <v>0.20675990675990677</v>
      </c>
      <c r="Q272" s="3" t="str">
        <f>_xlfn.TEXTJOIN(", ", TRUE, Posts_Cleaned[[#This Row],[Hashtags Used.1]], Posts_Cleaned[[#This Row],[Hashtags Used.2]], Posts_Cleaned[[#This Row],[Hashtags Used.3]])</f>
        <v>#EVRevolution</v>
      </c>
      <c r="R272" s="2">
        <f>VLOOKUP(Posts_Cleaned[[#This Row],[Campaign_Name]],'Campaign Metadata Dataset '!$A$2:$B$5,2,0)</f>
        <v>45566</v>
      </c>
      <c r="S272" s="2">
        <f>VLOOKUP(Posts_Cleaned[[#This Row],[Campaign_Name]],'Campaign Metadata Dataset '!$A$1:$C$5,3,0)</f>
        <v>45596</v>
      </c>
      <c r="T272" s="1" t="str">
        <f t="shared" si="16"/>
        <v>During Campaign</v>
      </c>
      <c r="U272" s="1">
        <f>SUM(Posts_Cleaned[[#This Row],[Likes]]+Posts_Cleaned[[#This Row],[Shares]]+Posts_Cleaned[[#This Row],[Comments]]+Posts_Cleaned[[#This Row],[Clicks]])</f>
        <v>4630</v>
      </c>
      <c r="V272" s="1">
        <f ca="1">AVERAGEIF(Posts_Cleaned[[#This Row],[Period]]:T:T,"Before Campaign",Posts_Cleaned[[#This Row],[Engagement Rate ]])</f>
        <v>0.11908940382994078</v>
      </c>
      <c r="W272" s="5">
        <f t="shared" ca="1" si="19"/>
        <v>0.14256548020537099</v>
      </c>
      <c r="X272" s="6">
        <f ca="1">(Posts_Cleaned[[#This Row],[During ]]-Posts_Cleaned[[#This Row],[Before ]])/Posts_Cleaned[[#This Row],[During ]]</f>
        <v>0.16466872865445431</v>
      </c>
      <c r="Y272" s="1">
        <f>IFERROR(VLOOKUP(O272, 'Campaign Metadata Dataset '!$A$1:$G$5,5,0),0)</f>
        <v>200000</v>
      </c>
      <c r="Z272" s="1">
        <f t="shared" si="17"/>
        <v>2.315E-2</v>
      </c>
      <c r="AA272" s="1">
        <f t="shared" ca="1" si="18"/>
        <v>0.16466872865445431</v>
      </c>
    </row>
    <row r="273" spans="1:27" x14ac:dyDescent="0.25">
      <c r="A273" t="s">
        <v>330</v>
      </c>
      <c r="B273" s="1" t="s">
        <v>33</v>
      </c>
      <c r="C273" s="2">
        <v>45743</v>
      </c>
      <c r="D273" s="1" t="s">
        <v>23</v>
      </c>
      <c r="E273" s="1" t="s">
        <v>82</v>
      </c>
      <c r="F273">
        <v>4941</v>
      </c>
      <c r="G273">
        <v>414</v>
      </c>
      <c r="H273">
        <v>266</v>
      </c>
      <c r="I273">
        <v>39528</v>
      </c>
      <c r="J273">
        <v>39154</v>
      </c>
      <c r="K273">
        <v>217</v>
      </c>
      <c r="L273" s="1" t="s">
        <v>25</v>
      </c>
      <c r="M273" s="1"/>
      <c r="N273" s="1"/>
      <c r="O273" s="1" t="s">
        <v>31</v>
      </c>
      <c r="P273" s="5">
        <f>IFERROR(((Posts_Cleaned[[#This Row],[Likes]]+Posts_Cleaned[[#This Row],[Shares]]+Posts_Cleaned[[#This Row],[Comments]])/Posts_Cleaned[[#This Row],[Impressions]]),0)</f>
        <v>0.14220299534507186</v>
      </c>
      <c r="Q273" s="3" t="str">
        <f>_xlfn.TEXTJOIN(", ", TRUE, Posts_Cleaned[[#This Row],[Hashtags Used.1]], Posts_Cleaned[[#This Row],[Hashtags Used.2]], Posts_Cleaned[[#This Row],[Hashtags Used.3]])</f>
        <v>#TeslaCoInnovation</v>
      </c>
      <c r="R273" s="2">
        <f>VLOOKUP(Posts_Cleaned[[#This Row],[Campaign_Name]],'Campaign Metadata Dataset '!$A$2:$B$5,2,0)</f>
        <v>45651</v>
      </c>
      <c r="S273" s="2">
        <f>VLOOKUP(Posts_Cleaned[[#This Row],[Campaign_Name]],'Campaign Metadata Dataset '!$A$1:$C$5,3,0)</f>
        <v>45667</v>
      </c>
      <c r="T273" s="1" t="str">
        <f t="shared" si="16"/>
        <v>Before Campaign</v>
      </c>
      <c r="U273" s="1">
        <f>SUM(Posts_Cleaned[[#This Row],[Likes]]+Posts_Cleaned[[#This Row],[Shares]]+Posts_Cleaned[[#This Row],[Comments]]+Posts_Cleaned[[#This Row],[Clicks]])</f>
        <v>5838</v>
      </c>
      <c r="V273" s="1">
        <f ca="1">AVERAGEIF(Posts_Cleaned[[#This Row],[Period]]:T:T,"Before Campaign",Posts_Cleaned[[#This Row],[Engagement Rate ]])</f>
        <v>0.109061793317289</v>
      </c>
      <c r="W273" s="5">
        <f t="shared" ca="1" si="19"/>
        <v>0.19587637472567523</v>
      </c>
      <c r="X273" s="6">
        <f ca="1">(Posts_Cleaned[[#This Row],[During ]]-Posts_Cleaned[[#This Row],[Before ]])/Posts_Cleaned[[#This Row],[During ]]</f>
        <v>0.44321108929022202</v>
      </c>
      <c r="Y273" s="1">
        <f>IFERROR(VLOOKUP(O273, 'Campaign Metadata Dataset '!$A$1:$G$5,5,0),0)</f>
        <v>250000</v>
      </c>
      <c r="Z273" s="1">
        <f t="shared" si="17"/>
        <v>2.3352000000000001E-2</v>
      </c>
      <c r="AA273" s="1">
        <f t="shared" ca="1" si="18"/>
        <v>0.44321108929022202</v>
      </c>
    </row>
    <row r="274" spans="1:27" x14ac:dyDescent="0.25">
      <c r="A274" t="s">
        <v>331</v>
      </c>
      <c r="B274" s="1" t="s">
        <v>29</v>
      </c>
      <c r="C274" s="2">
        <v>45577</v>
      </c>
      <c r="D274" s="1" t="s">
        <v>34</v>
      </c>
      <c r="E274" s="1" t="s">
        <v>105</v>
      </c>
      <c r="F274">
        <v>3641</v>
      </c>
      <c r="G274">
        <v>226</v>
      </c>
      <c r="H274">
        <v>46</v>
      </c>
      <c r="I274">
        <v>40051</v>
      </c>
      <c r="J274">
        <v>39319</v>
      </c>
      <c r="K274">
        <v>296</v>
      </c>
      <c r="L274" s="1" t="s">
        <v>36</v>
      </c>
      <c r="M274" s="1"/>
      <c r="N274" s="1"/>
      <c r="O274" s="1" t="s">
        <v>37</v>
      </c>
      <c r="P274" s="5">
        <f>IFERROR(((Posts_Cleaned[[#This Row],[Likes]]+Posts_Cleaned[[#This Row],[Shares]]+Posts_Cleaned[[#This Row],[Comments]])/Posts_Cleaned[[#This Row],[Impressions]]),0)</f>
        <v>9.7700431949264685E-2</v>
      </c>
      <c r="Q274" s="3" t="str">
        <f>_xlfn.TEXTJOIN(", ", TRUE, Posts_Cleaned[[#This Row],[Hashtags Used.1]], Posts_Cleaned[[#This Row],[Hashtags Used.2]], Posts_Cleaned[[#This Row],[Hashtags Used.3]])</f>
        <v>#EVRevolution</v>
      </c>
      <c r="R274" s="2">
        <f>VLOOKUP(Posts_Cleaned[[#This Row],[Campaign_Name]],'Campaign Metadata Dataset '!$A$2:$B$5,2,0)</f>
        <v>45717</v>
      </c>
      <c r="S274" s="2">
        <f>VLOOKUP(Posts_Cleaned[[#This Row],[Campaign_Name]],'Campaign Metadata Dataset '!$A$1:$C$5,3,0)</f>
        <v>45747</v>
      </c>
      <c r="T274" s="1" t="str">
        <f t="shared" si="16"/>
        <v>Before Campaign</v>
      </c>
      <c r="U274" s="1">
        <f>SUM(Posts_Cleaned[[#This Row],[Likes]]+Posts_Cleaned[[#This Row],[Shares]]+Posts_Cleaned[[#This Row],[Comments]]+Posts_Cleaned[[#This Row],[Clicks]])</f>
        <v>4209</v>
      </c>
      <c r="V274" s="1">
        <f ca="1">AVERAGEIF(Posts_Cleaned[[#This Row],[Period]]:T:T,"Before Campaign",Posts_Cleaned[[#This Row],[Engagement Rate ]])</f>
        <v>0.12476285928364032</v>
      </c>
      <c r="W274" s="5">
        <f t="shared" ca="1" si="19"/>
        <v>0.14743980960069678</v>
      </c>
      <c r="X274" s="6">
        <f ca="1">(Posts_Cleaned[[#This Row],[During ]]-Posts_Cleaned[[#This Row],[Before ]])/Posts_Cleaned[[#This Row],[During ]]</f>
        <v>0.15380479924974946</v>
      </c>
      <c r="Y274" s="1">
        <f>IFERROR(VLOOKUP(O274, 'Campaign Metadata Dataset '!$A$1:$G$5,5,0),0)</f>
        <v>180000</v>
      </c>
      <c r="Z274" s="1">
        <f t="shared" si="17"/>
        <v>2.3383333333333332E-2</v>
      </c>
      <c r="AA274" s="1">
        <f t="shared" ca="1" si="18"/>
        <v>0.15380479924974946</v>
      </c>
    </row>
    <row r="275" spans="1:27" x14ac:dyDescent="0.25">
      <c r="A275" t="s">
        <v>332</v>
      </c>
      <c r="B275" s="1" t="s">
        <v>16</v>
      </c>
      <c r="C275" s="2">
        <v>45658</v>
      </c>
      <c r="D275" s="1" t="s">
        <v>41</v>
      </c>
      <c r="E275" s="1" t="s">
        <v>44</v>
      </c>
      <c r="F275">
        <v>3535</v>
      </c>
      <c r="G275">
        <v>494</v>
      </c>
      <c r="H275">
        <v>152</v>
      </c>
      <c r="I275">
        <v>53025</v>
      </c>
      <c r="J275">
        <v>52791</v>
      </c>
      <c r="K275">
        <v>44</v>
      </c>
      <c r="L275" s="1" t="s">
        <v>25</v>
      </c>
      <c r="M275" s="1"/>
      <c r="N275" s="1"/>
      <c r="O275" s="1" t="s">
        <v>37</v>
      </c>
      <c r="P275" s="5">
        <f>IFERROR(((Posts_Cleaned[[#This Row],[Likes]]+Posts_Cleaned[[#This Row],[Shares]]+Posts_Cleaned[[#This Row],[Comments]])/Posts_Cleaned[[#This Row],[Impressions]]),0)</f>
        <v>7.8849599245638849E-2</v>
      </c>
      <c r="Q275" s="3" t="str">
        <f>_xlfn.TEXTJOIN(", ", TRUE, Posts_Cleaned[[#This Row],[Hashtags Used.1]], Posts_Cleaned[[#This Row],[Hashtags Used.2]], Posts_Cleaned[[#This Row],[Hashtags Used.3]])</f>
        <v>#TeslaCoInnovation</v>
      </c>
      <c r="R275" s="2">
        <f>VLOOKUP(Posts_Cleaned[[#This Row],[Campaign_Name]],'Campaign Metadata Dataset '!$A$2:$B$5,2,0)</f>
        <v>45717</v>
      </c>
      <c r="S275" s="2">
        <f>VLOOKUP(Posts_Cleaned[[#This Row],[Campaign_Name]],'Campaign Metadata Dataset '!$A$1:$C$5,3,0)</f>
        <v>45747</v>
      </c>
      <c r="T275" s="1" t="str">
        <f t="shared" si="16"/>
        <v>Before Campaign</v>
      </c>
      <c r="U275" s="1">
        <f>SUM(Posts_Cleaned[[#This Row],[Likes]]+Posts_Cleaned[[#This Row],[Shares]]+Posts_Cleaned[[#This Row],[Comments]]+Posts_Cleaned[[#This Row],[Clicks]])</f>
        <v>4225</v>
      </c>
      <c r="V275" s="1">
        <f ca="1">AVERAGEIF(Posts_Cleaned[[#This Row],[Period]]:T:T,"Before Campaign",Posts_Cleaned[[#This Row],[Engagement Rate ]])</f>
        <v>0.12921641216211038</v>
      </c>
      <c r="W275" s="5">
        <f t="shared" ca="1" si="19"/>
        <v>5.7022944220512906E-2</v>
      </c>
      <c r="X275" s="6">
        <f ca="1">(Posts_Cleaned[[#This Row],[During ]]-Posts_Cleaned[[#This Row],[Before ]])/Posts_Cleaned[[#This Row],[During ]]</f>
        <v>-1.2660424488503923</v>
      </c>
      <c r="Y275" s="1">
        <f>IFERROR(VLOOKUP(O275, 'Campaign Metadata Dataset '!$A$1:$G$5,5,0),0)</f>
        <v>180000</v>
      </c>
      <c r="Z275" s="1">
        <f t="shared" si="17"/>
        <v>2.3472222222222221E-2</v>
      </c>
      <c r="AA275" s="1">
        <f t="shared" ca="1" si="18"/>
        <v>-1.2660424488503923</v>
      </c>
    </row>
    <row r="276" spans="1:27" x14ac:dyDescent="0.25">
      <c r="A276" t="s">
        <v>333</v>
      </c>
      <c r="B276" s="1" t="s">
        <v>40</v>
      </c>
      <c r="C276" s="2">
        <v>45509</v>
      </c>
      <c r="D276" s="1" t="s">
        <v>17</v>
      </c>
      <c r="E276" s="1" t="s">
        <v>54</v>
      </c>
      <c r="F276">
        <v>1741</v>
      </c>
      <c r="G276">
        <v>831</v>
      </c>
      <c r="H276">
        <v>345</v>
      </c>
      <c r="I276">
        <v>17410</v>
      </c>
      <c r="J276">
        <v>16844</v>
      </c>
      <c r="K276">
        <v>58</v>
      </c>
      <c r="L276" s="1" t="s">
        <v>36</v>
      </c>
      <c r="M276" s="1"/>
      <c r="N276" s="1"/>
      <c r="O276" s="1" t="s">
        <v>31</v>
      </c>
      <c r="P276" s="5">
        <f>IFERROR(((Posts_Cleaned[[#This Row],[Likes]]+Posts_Cleaned[[#This Row],[Shares]]+Posts_Cleaned[[#This Row],[Comments]])/Posts_Cleaned[[#This Row],[Impressions]]),0)</f>
        <v>0.16754738655944859</v>
      </c>
      <c r="Q276" s="3" t="str">
        <f>_xlfn.TEXTJOIN(", ", TRUE, Posts_Cleaned[[#This Row],[Hashtags Used.1]], Posts_Cleaned[[#This Row],[Hashtags Used.2]], Posts_Cleaned[[#This Row],[Hashtags Used.3]])</f>
        <v>#EVRevolution</v>
      </c>
      <c r="R276" s="2">
        <f>VLOOKUP(Posts_Cleaned[[#This Row],[Campaign_Name]],'Campaign Metadata Dataset '!$A$2:$B$5,2,0)</f>
        <v>45651</v>
      </c>
      <c r="S276" s="2">
        <f>VLOOKUP(Posts_Cleaned[[#This Row],[Campaign_Name]],'Campaign Metadata Dataset '!$A$1:$C$5,3,0)</f>
        <v>45667</v>
      </c>
      <c r="T276" s="1" t="str">
        <f t="shared" si="16"/>
        <v>Before Campaign</v>
      </c>
      <c r="U276" s="1">
        <f>SUM(Posts_Cleaned[[#This Row],[Likes]]+Posts_Cleaned[[#This Row],[Shares]]+Posts_Cleaned[[#This Row],[Comments]]+Posts_Cleaned[[#This Row],[Clicks]])</f>
        <v>2975</v>
      </c>
      <c r="V276" s="1">
        <f ca="1">AVERAGEIF(Posts_Cleaned[[#This Row],[Period]]:T:T,"Before Campaign",Posts_Cleaned[[#This Row],[Engagement Rate ]])</f>
        <v>0.12959496184821198</v>
      </c>
      <c r="W276" s="5">
        <f t="shared" ca="1" si="19"/>
        <v>7.1601749020870215E-2</v>
      </c>
      <c r="X276" s="6">
        <f ca="1">(Posts_Cleaned[[#This Row],[During ]]-Posts_Cleaned[[#This Row],[Before ]])/Posts_Cleaned[[#This Row],[During ]]</f>
        <v>-0.809941288032477</v>
      </c>
      <c r="Y276" s="1">
        <f>IFERROR(VLOOKUP(O276, 'Campaign Metadata Dataset '!$A$1:$G$5,5,0),0)</f>
        <v>250000</v>
      </c>
      <c r="Z276" s="1">
        <f t="shared" si="17"/>
        <v>1.1900000000000001E-2</v>
      </c>
      <c r="AA276" s="1">
        <f t="shared" ca="1" si="18"/>
        <v>-0.809941288032477</v>
      </c>
    </row>
    <row r="277" spans="1:27" x14ac:dyDescent="0.25">
      <c r="A277" t="s">
        <v>334</v>
      </c>
      <c r="B277" s="1" t="s">
        <v>16</v>
      </c>
      <c r="C277" s="2">
        <v>45450</v>
      </c>
      <c r="D277" s="1" t="s">
        <v>41</v>
      </c>
      <c r="E277" s="1" t="s">
        <v>44</v>
      </c>
      <c r="F277">
        <v>1556</v>
      </c>
      <c r="G277">
        <v>195</v>
      </c>
      <c r="H277">
        <v>131</v>
      </c>
      <c r="I277">
        <v>9336</v>
      </c>
      <c r="J277">
        <v>8875</v>
      </c>
      <c r="K277">
        <v>137</v>
      </c>
      <c r="L277" s="1" t="s">
        <v>25</v>
      </c>
      <c r="M277" s="1"/>
      <c r="N277" s="1"/>
      <c r="O277" s="1" t="s">
        <v>27</v>
      </c>
      <c r="P277" s="5">
        <f>IFERROR(((Posts_Cleaned[[#This Row],[Likes]]+Posts_Cleaned[[#This Row],[Shares]]+Posts_Cleaned[[#This Row],[Comments]])/Posts_Cleaned[[#This Row],[Impressions]]),0)</f>
        <v>0.2015852613538989</v>
      </c>
      <c r="Q277" s="3" t="str">
        <f>_xlfn.TEXTJOIN(", ", TRUE, Posts_Cleaned[[#This Row],[Hashtags Used.1]], Posts_Cleaned[[#This Row],[Hashtags Used.2]], Posts_Cleaned[[#This Row],[Hashtags Used.3]])</f>
        <v>#TeslaCoInnovation</v>
      </c>
      <c r="R277" s="2">
        <f>VLOOKUP(Posts_Cleaned[[#This Row],[Campaign_Name]],'Campaign Metadata Dataset '!$A$2:$B$5,2,0)</f>
        <v>45566</v>
      </c>
      <c r="S277" s="2">
        <f>VLOOKUP(Posts_Cleaned[[#This Row],[Campaign_Name]],'Campaign Metadata Dataset '!$A$1:$C$5,3,0)</f>
        <v>45596</v>
      </c>
      <c r="T277" s="1" t="str">
        <f t="shared" si="16"/>
        <v>Before Campaign</v>
      </c>
      <c r="U277" s="1">
        <f>SUM(Posts_Cleaned[[#This Row],[Likes]]+Posts_Cleaned[[#This Row],[Shares]]+Posts_Cleaned[[#This Row],[Comments]]+Posts_Cleaned[[#This Row],[Clicks]])</f>
        <v>2019</v>
      </c>
      <c r="V277" s="1">
        <f ca="1">AVERAGEIF(Posts_Cleaned[[#This Row],[Period]]:T:T,"Before Campaign",Posts_Cleaned[[#This Row],[Engagement Rate ]])</f>
        <v>0.12848812667087053</v>
      </c>
      <c r="W277" s="5">
        <f t="shared" ca="1" si="19"/>
        <v>7.3196702537560998E-2</v>
      </c>
      <c r="X277" s="6">
        <f ca="1">(Posts_Cleaned[[#This Row],[During ]]-Posts_Cleaned[[#This Row],[Before ]])/Posts_Cleaned[[#This Row],[During ]]</f>
        <v>-0.75538135211673851</v>
      </c>
      <c r="Y277" s="1">
        <f>IFERROR(VLOOKUP(O277, 'Campaign Metadata Dataset '!$A$1:$G$5,5,0),0)</f>
        <v>200000</v>
      </c>
      <c r="Z277" s="1">
        <f t="shared" si="17"/>
        <v>1.0095E-2</v>
      </c>
      <c r="AA277" s="1">
        <f t="shared" ca="1" si="18"/>
        <v>-0.75538135211673851</v>
      </c>
    </row>
    <row r="278" spans="1:27" x14ac:dyDescent="0.25">
      <c r="A278" t="s">
        <v>335</v>
      </c>
      <c r="B278" s="1" t="s">
        <v>40</v>
      </c>
      <c r="C278" s="2">
        <v>45753</v>
      </c>
      <c r="D278" s="1" t="s">
        <v>46</v>
      </c>
      <c r="E278" s="1" t="s">
        <v>51</v>
      </c>
      <c r="F278">
        <v>4236</v>
      </c>
      <c r="G278">
        <v>711</v>
      </c>
      <c r="H278">
        <v>298</v>
      </c>
      <c r="I278">
        <v>21180</v>
      </c>
      <c r="J278">
        <v>20516</v>
      </c>
      <c r="K278">
        <v>238</v>
      </c>
      <c r="L278" s="1" t="s">
        <v>19</v>
      </c>
      <c r="M278" s="1"/>
      <c r="N278" s="1"/>
      <c r="O278" s="1" t="s">
        <v>21</v>
      </c>
      <c r="P278" s="5">
        <f>IFERROR(((Posts_Cleaned[[#This Row],[Likes]]+Posts_Cleaned[[#This Row],[Shares]]+Posts_Cleaned[[#This Row],[Comments]])/Posts_Cleaned[[#This Row],[Impressions]]),0)</f>
        <v>0.24763928234183191</v>
      </c>
      <c r="Q278" s="3" t="str">
        <f>_xlfn.TEXTJOIN(", ", TRUE, Posts_Cleaned[[#This Row],[Hashtags Used.1]], Posts_Cleaned[[#This Row],[Hashtags Used.2]], Posts_Cleaned[[#This Row],[Hashtags Used.3]])</f>
        <v>#FutureOfDriving</v>
      </c>
      <c r="R278" s="2">
        <f>VLOOKUP(Posts_Cleaned[[#This Row],[Campaign_Name]],'Campaign Metadata Dataset '!$A$2:$B$5,2,0)</f>
        <v>45458</v>
      </c>
      <c r="S278" s="2">
        <f>VLOOKUP(Posts_Cleaned[[#This Row],[Campaign_Name]],'Campaign Metadata Dataset '!$A$1:$C$5,3,0)</f>
        <v>45488</v>
      </c>
      <c r="T278" s="1" t="str">
        <f t="shared" si="16"/>
        <v>Before Campaign</v>
      </c>
      <c r="U278" s="1">
        <f>SUM(Posts_Cleaned[[#This Row],[Likes]]+Posts_Cleaned[[#This Row],[Shares]]+Posts_Cleaned[[#This Row],[Comments]]+Posts_Cleaned[[#This Row],[Clicks]])</f>
        <v>5483</v>
      </c>
      <c r="V278" s="1">
        <f ca="1">AVERAGEIF(Posts_Cleaned[[#This Row],[Period]]:T:T,"Before Campaign",Posts_Cleaned[[#This Row],[Engagement Rate ]])</f>
        <v>0.11749771481948883</v>
      </c>
      <c r="W278" s="5">
        <f t="shared" ca="1" si="19"/>
        <v>8.5141781840450154E-2</v>
      </c>
      <c r="X278" s="6">
        <f ca="1">(Posts_Cleaned[[#This Row],[During ]]-Posts_Cleaned[[#This Row],[Before ]])/Posts_Cleaned[[#This Row],[During ]]</f>
        <v>-0.38002414654266303</v>
      </c>
      <c r="Y278" s="1">
        <f>IFERROR(VLOOKUP(O278, 'Campaign Metadata Dataset '!$A$1:$G$5,5,0),0)</f>
        <v>150000</v>
      </c>
      <c r="Z278" s="1">
        <f t="shared" si="17"/>
        <v>3.6553333333333334E-2</v>
      </c>
      <c r="AA278" s="1">
        <f t="shared" ca="1" si="18"/>
        <v>-0.38002414654266303</v>
      </c>
    </row>
    <row r="279" spans="1:27" x14ac:dyDescent="0.25">
      <c r="A279" t="s">
        <v>336</v>
      </c>
      <c r="B279" s="1" t="s">
        <v>16</v>
      </c>
      <c r="C279" s="2">
        <v>45622</v>
      </c>
      <c r="D279" s="1" t="s">
        <v>23</v>
      </c>
      <c r="E279" s="1" t="s">
        <v>24</v>
      </c>
      <c r="F279">
        <v>4516</v>
      </c>
      <c r="G279">
        <v>836</v>
      </c>
      <c r="H279">
        <v>169</v>
      </c>
      <c r="I279">
        <v>49676</v>
      </c>
      <c r="J279">
        <v>49257</v>
      </c>
      <c r="K279">
        <v>282</v>
      </c>
      <c r="L279" s="1" t="s">
        <v>36</v>
      </c>
      <c r="M279" s="1"/>
      <c r="N279" s="1"/>
      <c r="O279" s="1" t="s">
        <v>37</v>
      </c>
      <c r="P279" s="5">
        <f>IFERROR(((Posts_Cleaned[[#This Row],[Likes]]+Posts_Cleaned[[#This Row],[Shares]]+Posts_Cleaned[[#This Row],[Comments]])/Posts_Cleaned[[#This Row],[Impressions]]),0)</f>
        <v>0.11114018842096787</v>
      </c>
      <c r="Q279" s="3" t="str">
        <f>_xlfn.TEXTJOIN(", ", TRUE, Posts_Cleaned[[#This Row],[Hashtags Used.1]], Posts_Cleaned[[#This Row],[Hashtags Used.2]], Posts_Cleaned[[#This Row],[Hashtags Used.3]])</f>
        <v>#EVRevolution</v>
      </c>
      <c r="R279" s="2">
        <f>VLOOKUP(Posts_Cleaned[[#This Row],[Campaign_Name]],'Campaign Metadata Dataset '!$A$2:$B$5,2,0)</f>
        <v>45717</v>
      </c>
      <c r="S279" s="2">
        <f>VLOOKUP(Posts_Cleaned[[#This Row],[Campaign_Name]],'Campaign Metadata Dataset '!$A$1:$C$5,3,0)</f>
        <v>45747</v>
      </c>
      <c r="T279" s="1" t="str">
        <f t="shared" si="16"/>
        <v>Before Campaign</v>
      </c>
      <c r="U279" s="1">
        <f>SUM(Posts_Cleaned[[#This Row],[Likes]]+Posts_Cleaned[[#This Row],[Shares]]+Posts_Cleaned[[#This Row],[Comments]]+Posts_Cleaned[[#This Row],[Clicks]])</f>
        <v>5803</v>
      </c>
      <c r="V279" s="1">
        <f ca="1">AVERAGEIF(Posts_Cleaned[[#This Row],[Period]]:T:T,"Before Campaign",Posts_Cleaned[[#This Row],[Engagement Rate ]])</f>
        <v>0.11486174436903848</v>
      </c>
      <c r="W279" s="5">
        <f t="shared" ca="1" si="19"/>
        <v>8.2704166904082013E-2</v>
      </c>
      <c r="X279" s="6">
        <f ca="1">(Posts_Cleaned[[#This Row],[During ]]-Posts_Cleaned[[#This Row],[Before ]])/Posts_Cleaned[[#This Row],[During ]]</f>
        <v>-0.38882656906818164</v>
      </c>
      <c r="Y279" s="1">
        <f>IFERROR(VLOOKUP(O279, 'Campaign Metadata Dataset '!$A$1:$G$5,5,0),0)</f>
        <v>180000</v>
      </c>
      <c r="Z279" s="1">
        <f t="shared" si="17"/>
        <v>3.2238888888888886E-2</v>
      </c>
      <c r="AA279" s="1">
        <f t="shared" ca="1" si="18"/>
        <v>-0.38882656906818164</v>
      </c>
    </row>
    <row r="280" spans="1:27" x14ac:dyDescent="0.25">
      <c r="A280" t="s">
        <v>337</v>
      </c>
      <c r="B280" s="1" t="s">
        <v>29</v>
      </c>
      <c r="C280" s="2">
        <v>45537</v>
      </c>
      <c r="D280" s="1" t="s">
        <v>46</v>
      </c>
      <c r="E280" s="1" t="s">
        <v>47</v>
      </c>
      <c r="F280">
        <v>4905</v>
      </c>
      <c r="G280">
        <v>845</v>
      </c>
      <c r="H280">
        <v>129</v>
      </c>
      <c r="I280">
        <v>98100</v>
      </c>
      <c r="J280">
        <v>97772</v>
      </c>
      <c r="K280">
        <v>279</v>
      </c>
      <c r="L280" s="1" t="s">
        <v>25</v>
      </c>
      <c r="M280" s="1"/>
      <c r="N280" s="1"/>
      <c r="O280" s="1" t="s">
        <v>27</v>
      </c>
      <c r="P280" s="5">
        <f>IFERROR(((Posts_Cleaned[[#This Row],[Likes]]+Posts_Cleaned[[#This Row],[Shares]]+Posts_Cleaned[[#This Row],[Comments]])/Posts_Cleaned[[#This Row],[Impressions]]),0)</f>
        <v>5.9928644240570844E-2</v>
      </c>
      <c r="Q280" s="3" t="str">
        <f>_xlfn.TEXTJOIN(", ", TRUE, Posts_Cleaned[[#This Row],[Hashtags Used.1]], Posts_Cleaned[[#This Row],[Hashtags Used.2]], Posts_Cleaned[[#This Row],[Hashtags Used.3]])</f>
        <v>#TeslaCoInnovation</v>
      </c>
      <c r="R280" s="2">
        <f>VLOOKUP(Posts_Cleaned[[#This Row],[Campaign_Name]],'Campaign Metadata Dataset '!$A$2:$B$5,2,0)</f>
        <v>45566</v>
      </c>
      <c r="S280" s="2">
        <f>VLOOKUP(Posts_Cleaned[[#This Row],[Campaign_Name]],'Campaign Metadata Dataset '!$A$1:$C$5,3,0)</f>
        <v>45596</v>
      </c>
      <c r="T280" s="1" t="str">
        <f t="shared" si="16"/>
        <v>Before Campaign</v>
      </c>
      <c r="U280" s="1">
        <f>SUM(Posts_Cleaned[[#This Row],[Likes]]+Posts_Cleaned[[#This Row],[Shares]]+Posts_Cleaned[[#This Row],[Comments]]+Posts_Cleaned[[#This Row],[Clicks]])</f>
        <v>6158</v>
      </c>
      <c r="V280" s="1">
        <f ca="1">AVERAGEIF(Posts_Cleaned[[#This Row],[Period]]:T:T,"Before Campaign",Posts_Cleaned[[#This Row],[Engagement Rate ]])</f>
        <v>0.11366449930509233</v>
      </c>
      <c r="W280" s="5">
        <f t="shared" ca="1" si="19"/>
        <v>8.6451422728010971E-2</v>
      </c>
      <c r="X280" s="6">
        <f ca="1">(Posts_Cleaned[[#This Row],[During ]]-Posts_Cleaned[[#This Row],[Before ]])/Posts_Cleaned[[#This Row],[During ]]</f>
        <v>-0.31477881703228577</v>
      </c>
      <c r="Y280" s="1">
        <f>IFERROR(VLOOKUP(O280, 'Campaign Metadata Dataset '!$A$1:$G$5,5,0),0)</f>
        <v>200000</v>
      </c>
      <c r="Z280" s="1">
        <f t="shared" si="17"/>
        <v>3.0790000000000001E-2</v>
      </c>
      <c r="AA280" s="1">
        <f t="shared" ca="1" si="18"/>
        <v>-0.31477881703228577</v>
      </c>
    </row>
    <row r="281" spans="1:27" x14ac:dyDescent="0.25">
      <c r="A281" t="s">
        <v>338</v>
      </c>
      <c r="B281" s="1" t="s">
        <v>29</v>
      </c>
      <c r="C281" s="2">
        <v>45586</v>
      </c>
      <c r="D281" s="1" t="s">
        <v>60</v>
      </c>
      <c r="E281" s="1" t="s">
        <v>140</v>
      </c>
      <c r="F281">
        <v>4275</v>
      </c>
      <c r="G281">
        <v>680</v>
      </c>
      <c r="H281">
        <v>385</v>
      </c>
      <c r="I281">
        <v>64125</v>
      </c>
      <c r="J281">
        <v>63650</v>
      </c>
      <c r="K281">
        <v>104</v>
      </c>
      <c r="L281" s="1" t="s">
        <v>36</v>
      </c>
      <c r="M281" s="1" t="s">
        <v>25</v>
      </c>
      <c r="N281" s="1" t="s">
        <v>20</v>
      </c>
      <c r="O281" s="1" t="s">
        <v>37</v>
      </c>
      <c r="P281" s="5">
        <f>IFERROR(((Posts_Cleaned[[#This Row],[Likes]]+Posts_Cleaned[[#This Row],[Shares]]+Posts_Cleaned[[#This Row],[Comments]])/Posts_Cleaned[[#This Row],[Impressions]]),0)</f>
        <v>8.3274853801169585E-2</v>
      </c>
      <c r="Q281" s="3" t="str">
        <f>_xlfn.TEXTJOIN(", ", TRUE, Posts_Cleaned[[#This Row],[Hashtags Used.1]], Posts_Cleaned[[#This Row],[Hashtags Used.2]], Posts_Cleaned[[#This Row],[Hashtags Used.3]])</f>
        <v>#EVRevolution, #TeslaCoInnovation, #AnytimeIsTeslaTime</v>
      </c>
      <c r="R281" s="2">
        <f>VLOOKUP(Posts_Cleaned[[#This Row],[Campaign_Name]],'Campaign Metadata Dataset '!$A$2:$B$5,2,0)</f>
        <v>45717</v>
      </c>
      <c r="S281" s="2">
        <f>VLOOKUP(Posts_Cleaned[[#This Row],[Campaign_Name]],'Campaign Metadata Dataset '!$A$1:$C$5,3,0)</f>
        <v>45747</v>
      </c>
      <c r="T281" s="1" t="str">
        <f t="shared" si="16"/>
        <v>Before Campaign</v>
      </c>
      <c r="U281" s="1">
        <f>SUM(Posts_Cleaned[[#This Row],[Likes]]+Posts_Cleaned[[#This Row],[Shares]]+Posts_Cleaned[[#This Row],[Comments]]+Posts_Cleaned[[#This Row],[Clicks]])</f>
        <v>5444</v>
      </c>
      <c r="V281" s="1">
        <f ca="1">AVERAGEIF(Posts_Cleaned[[#This Row],[Period]]:T:T,"Before Campaign",Posts_Cleaned[[#This Row],[Engagement Rate ]])</f>
        <v>0.10766464465869791</v>
      </c>
      <c r="W281" s="5">
        <f t="shared" ca="1" si="19"/>
        <v>0.12491936107683782</v>
      </c>
      <c r="X281" s="6">
        <f ca="1">(Posts_Cleaned[[#This Row],[During ]]-Posts_Cleaned[[#This Row],[Before ]])/Posts_Cleaned[[#This Row],[During ]]</f>
        <v>0.13812683854127744</v>
      </c>
      <c r="Y281" s="1">
        <f>IFERROR(VLOOKUP(O281, 'Campaign Metadata Dataset '!$A$1:$G$5,5,0),0)</f>
        <v>180000</v>
      </c>
      <c r="Z281" s="1">
        <f t="shared" si="17"/>
        <v>3.0244444444444445E-2</v>
      </c>
      <c r="AA281" s="1">
        <f t="shared" ca="1" si="18"/>
        <v>0.13812683854127744</v>
      </c>
    </row>
    <row r="282" spans="1:27" x14ac:dyDescent="0.25">
      <c r="A282" t="s">
        <v>339</v>
      </c>
      <c r="B282" s="1" t="s">
        <v>29</v>
      </c>
      <c r="C282" s="2">
        <v>45738</v>
      </c>
      <c r="D282" s="1" t="s">
        <v>46</v>
      </c>
      <c r="E282" s="1" t="s">
        <v>47</v>
      </c>
      <c r="F282">
        <v>3166</v>
      </c>
      <c r="G282">
        <v>90</v>
      </c>
      <c r="H282">
        <v>341</v>
      </c>
      <c r="I282">
        <v>56988</v>
      </c>
      <c r="J282">
        <v>56125</v>
      </c>
      <c r="K282">
        <v>135</v>
      </c>
      <c r="L282" s="1" t="s">
        <v>36</v>
      </c>
      <c r="M282" s="1"/>
      <c r="N282" s="1"/>
      <c r="O282" s="1" t="s">
        <v>27</v>
      </c>
      <c r="P282" s="5">
        <f>IFERROR(((Posts_Cleaned[[#This Row],[Likes]]+Posts_Cleaned[[#This Row],[Shares]]+Posts_Cleaned[[#This Row],[Comments]])/Posts_Cleaned[[#This Row],[Impressions]]),0)</f>
        <v>6.3118551273952411E-2</v>
      </c>
      <c r="Q282" s="3" t="str">
        <f>_xlfn.TEXTJOIN(", ", TRUE, Posts_Cleaned[[#This Row],[Hashtags Used.1]], Posts_Cleaned[[#This Row],[Hashtags Used.2]], Posts_Cleaned[[#This Row],[Hashtags Used.3]])</f>
        <v>#EVRevolution</v>
      </c>
      <c r="R282" s="2">
        <f>VLOOKUP(Posts_Cleaned[[#This Row],[Campaign_Name]],'Campaign Metadata Dataset '!$A$2:$B$5,2,0)</f>
        <v>45566</v>
      </c>
      <c r="S282" s="2">
        <f>VLOOKUP(Posts_Cleaned[[#This Row],[Campaign_Name]],'Campaign Metadata Dataset '!$A$1:$C$5,3,0)</f>
        <v>45596</v>
      </c>
      <c r="T282" s="1" t="str">
        <f t="shared" si="16"/>
        <v>Before Campaign</v>
      </c>
      <c r="U282" s="1">
        <f>SUM(Posts_Cleaned[[#This Row],[Likes]]+Posts_Cleaned[[#This Row],[Shares]]+Posts_Cleaned[[#This Row],[Comments]]+Posts_Cleaned[[#This Row],[Clicks]])</f>
        <v>3732</v>
      </c>
      <c r="V282" s="1">
        <f ca="1">AVERAGEIF(Posts_Cleaned[[#This Row],[Period]]:T:T,"Before Campaign",Posts_Cleaned[[#This Row],[Engagement Rate ]])</f>
        <v>0.10152007508469131</v>
      </c>
      <c r="W282" s="5">
        <f t="shared" ca="1" si="19"/>
        <v>0.16501263435975261</v>
      </c>
      <c r="X282" s="6">
        <f ca="1">(Posts_Cleaned[[#This Row],[During ]]-Posts_Cleaned[[#This Row],[Before ]])/Posts_Cleaned[[#This Row],[During ]]</f>
        <v>0.38477392668392818</v>
      </c>
      <c r="Y282" s="1">
        <f>IFERROR(VLOOKUP(O282, 'Campaign Metadata Dataset '!$A$1:$G$5,5,0),0)</f>
        <v>200000</v>
      </c>
      <c r="Z282" s="1">
        <f t="shared" si="17"/>
        <v>1.866E-2</v>
      </c>
      <c r="AA282" s="1">
        <f t="shared" ca="1" si="18"/>
        <v>0.38477392668392818</v>
      </c>
    </row>
    <row r="283" spans="1:27" x14ac:dyDescent="0.25">
      <c r="A283" t="s">
        <v>340</v>
      </c>
      <c r="B283" s="1" t="s">
        <v>33</v>
      </c>
      <c r="C283" s="2">
        <v>45568</v>
      </c>
      <c r="D283" s="1" t="s">
        <v>60</v>
      </c>
      <c r="E283" s="1" t="s">
        <v>67</v>
      </c>
      <c r="F283">
        <v>1488</v>
      </c>
      <c r="G283">
        <v>417</v>
      </c>
      <c r="H283">
        <v>168</v>
      </c>
      <c r="I283">
        <v>19344</v>
      </c>
      <c r="J283">
        <v>18395</v>
      </c>
      <c r="K283">
        <v>30</v>
      </c>
      <c r="L283" s="1" t="s">
        <v>19</v>
      </c>
      <c r="M283" s="1"/>
      <c r="N283" s="1"/>
      <c r="O283" s="1" t="s">
        <v>31</v>
      </c>
      <c r="P283" s="5">
        <f>IFERROR(((Posts_Cleaned[[#This Row],[Likes]]+Posts_Cleaned[[#This Row],[Shares]]+Posts_Cleaned[[#This Row],[Comments]])/Posts_Cleaned[[#This Row],[Impressions]]),0)</f>
        <v>0.1071650124069479</v>
      </c>
      <c r="Q283" s="3" t="str">
        <f>_xlfn.TEXTJOIN(", ", TRUE, Posts_Cleaned[[#This Row],[Hashtags Used.1]], Posts_Cleaned[[#This Row],[Hashtags Used.2]], Posts_Cleaned[[#This Row],[Hashtags Used.3]])</f>
        <v>#FutureOfDriving</v>
      </c>
      <c r="R283" s="2">
        <f>VLOOKUP(Posts_Cleaned[[#This Row],[Campaign_Name]],'Campaign Metadata Dataset '!$A$2:$B$5,2,0)</f>
        <v>45651</v>
      </c>
      <c r="S283" s="2">
        <f>VLOOKUP(Posts_Cleaned[[#This Row],[Campaign_Name]],'Campaign Metadata Dataset '!$A$1:$C$5,3,0)</f>
        <v>45667</v>
      </c>
      <c r="T283" s="1" t="str">
        <f t="shared" si="16"/>
        <v>Before Campaign</v>
      </c>
      <c r="U283" s="1">
        <f>SUM(Posts_Cleaned[[#This Row],[Likes]]+Posts_Cleaned[[#This Row],[Shares]]+Posts_Cleaned[[#This Row],[Comments]]+Posts_Cleaned[[#This Row],[Clicks]])</f>
        <v>2103</v>
      </c>
      <c r="V283" s="1">
        <f ca="1">AVERAGEIF(Posts_Cleaned[[#This Row],[Period]]:T:T,"Before Campaign",Posts_Cleaned[[#This Row],[Engagement Rate ]])</f>
        <v>0.11572115812786735</v>
      </c>
      <c r="W283" s="5">
        <f t="shared" ca="1" si="19"/>
        <v>0.24805304676507139</v>
      </c>
      <c r="X283" s="6">
        <f ca="1">(Posts_Cleaned[[#This Row],[During ]]-Posts_Cleaned[[#This Row],[Before ]])/Posts_Cleaned[[#This Row],[During ]]</f>
        <v>0.53348221423998188</v>
      </c>
      <c r="Y283" s="1">
        <f>IFERROR(VLOOKUP(O283, 'Campaign Metadata Dataset '!$A$1:$G$5,5,0),0)</f>
        <v>250000</v>
      </c>
      <c r="Z283" s="1">
        <f t="shared" si="17"/>
        <v>8.4119999999999993E-3</v>
      </c>
      <c r="AA283" s="1">
        <f t="shared" ca="1" si="18"/>
        <v>0.53348221423998188</v>
      </c>
    </row>
    <row r="284" spans="1:27" x14ac:dyDescent="0.25">
      <c r="A284" t="s">
        <v>341</v>
      </c>
      <c r="B284" s="1" t="s">
        <v>16</v>
      </c>
      <c r="C284" s="2">
        <v>45786</v>
      </c>
      <c r="D284" s="1" t="s">
        <v>17</v>
      </c>
      <c r="E284" s="1" t="s">
        <v>18</v>
      </c>
      <c r="F284">
        <v>3367</v>
      </c>
      <c r="G284">
        <v>302</v>
      </c>
      <c r="H284">
        <v>57</v>
      </c>
      <c r="I284">
        <v>63973</v>
      </c>
      <c r="J284">
        <v>63789</v>
      </c>
      <c r="K284">
        <v>157</v>
      </c>
      <c r="L284" s="1" t="s">
        <v>19</v>
      </c>
      <c r="M284" s="1"/>
      <c r="N284" s="1"/>
      <c r="O284" s="1" t="s">
        <v>27</v>
      </c>
      <c r="P284" s="5">
        <f>IFERROR(((Posts_Cleaned[[#This Row],[Likes]]+Posts_Cleaned[[#This Row],[Shares]]+Posts_Cleaned[[#This Row],[Comments]])/Posts_Cleaned[[#This Row],[Impressions]]),0)</f>
        <v>5.8243321401216137E-2</v>
      </c>
      <c r="Q284" s="3" t="str">
        <f>_xlfn.TEXTJOIN(", ", TRUE, Posts_Cleaned[[#This Row],[Hashtags Used.1]], Posts_Cleaned[[#This Row],[Hashtags Used.2]], Posts_Cleaned[[#This Row],[Hashtags Used.3]])</f>
        <v>#FutureOfDriving</v>
      </c>
      <c r="R284" s="2">
        <f>VLOOKUP(Posts_Cleaned[[#This Row],[Campaign_Name]],'Campaign Metadata Dataset '!$A$2:$B$5,2,0)</f>
        <v>45566</v>
      </c>
      <c r="S284" s="2">
        <f>VLOOKUP(Posts_Cleaned[[#This Row],[Campaign_Name]],'Campaign Metadata Dataset '!$A$1:$C$5,3,0)</f>
        <v>45596</v>
      </c>
      <c r="T284" s="1" t="str">
        <f t="shared" si="16"/>
        <v>Before Campaign</v>
      </c>
      <c r="U284" s="1">
        <f>SUM(Posts_Cleaned[[#This Row],[Likes]]+Posts_Cleaned[[#This Row],[Shares]]+Posts_Cleaned[[#This Row],[Comments]]+Posts_Cleaned[[#This Row],[Clicks]])</f>
        <v>3883</v>
      </c>
      <c r="V284" s="1">
        <f ca="1">AVERAGEIF(Posts_Cleaned[[#This Row],[Period]]:T:T,"Before Campaign",Posts_Cleaned[[#This Row],[Engagement Rate ]])</f>
        <v>0.12249558996833688</v>
      </c>
      <c r="W284" s="5">
        <f t="shared" ca="1" si="19"/>
        <v>0.18463163860491644</v>
      </c>
      <c r="X284" s="6">
        <f ca="1">(Posts_Cleaned[[#This Row],[During ]]-Posts_Cleaned[[#This Row],[Before ]])/Posts_Cleaned[[#This Row],[During ]]</f>
        <v>0.33654063358848929</v>
      </c>
      <c r="Y284" s="1">
        <f>IFERROR(VLOOKUP(O284, 'Campaign Metadata Dataset '!$A$1:$G$5,5,0),0)</f>
        <v>200000</v>
      </c>
      <c r="Z284" s="1">
        <f t="shared" si="17"/>
        <v>1.9415000000000002E-2</v>
      </c>
      <c r="AA284" s="1">
        <f t="shared" ca="1" si="18"/>
        <v>0.33654063358848929</v>
      </c>
    </row>
    <row r="285" spans="1:27" x14ac:dyDescent="0.25">
      <c r="A285" t="s">
        <v>342</v>
      </c>
      <c r="B285" s="1" t="s">
        <v>16</v>
      </c>
      <c r="C285" s="2">
        <v>45552</v>
      </c>
      <c r="D285" s="1" t="s">
        <v>23</v>
      </c>
      <c r="E285" s="1" t="s">
        <v>24</v>
      </c>
      <c r="F285">
        <v>571</v>
      </c>
      <c r="G285">
        <v>190</v>
      </c>
      <c r="H285">
        <v>352</v>
      </c>
      <c r="I285">
        <v>9707</v>
      </c>
      <c r="J285">
        <v>9418</v>
      </c>
      <c r="K285">
        <v>231</v>
      </c>
      <c r="L285" s="1" t="s">
        <v>25</v>
      </c>
      <c r="M285" s="1"/>
      <c r="N285" s="1"/>
      <c r="O285" s="1" t="s">
        <v>37</v>
      </c>
      <c r="P285" s="5">
        <f>IFERROR(((Posts_Cleaned[[#This Row],[Likes]]+Posts_Cleaned[[#This Row],[Shares]]+Posts_Cleaned[[#This Row],[Comments]])/Posts_Cleaned[[#This Row],[Impressions]]),0)</f>
        <v>0.11465952405480581</v>
      </c>
      <c r="Q285" s="3" t="str">
        <f>_xlfn.TEXTJOIN(", ", TRUE, Posts_Cleaned[[#This Row],[Hashtags Used.1]], Posts_Cleaned[[#This Row],[Hashtags Used.2]], Posts_Cleaned[[#This Row],[Hashtags Used.3]])</f>
        <v>#TeslaCoInnovation</v>
      </c>
      <c r="R285" s="2">
        <f>VLOOKUP(Posts_Cleaned[[#This Row],[Campaign_Name]],'Campaign Metadata Dataset '!$A$2:$B$5,2,0)</f>
        <v>45717</v>
      </c>
      <c r="S285" s="2">
        <f>VLOOKUP(Posts_Cleaned[[#This Row],[Campaign_Name]],'Campaign Metadata Dataset '!$A$1:$C$5,3,0)</f>
        <v>45747</v>
      </c>
      <c r="T285" s="1" t="str">
        <f t="shared" si="16"/>
        <v>Before Campaign</v>
      </c>
      <c r="U285" s="1">
        <f>SUM(Posts_Cleaned[[#This Row],[Likes]]+Posts_Cleaned[[#This Row],[Shares]]+Posts_Cleaned[[#This Row],[Comments]]+Posts_Cleaned[[#This Row],[Clicks]])</f>
        <v>1344</v>
      </c>
      <c r="V285" s="1">
        <f ca="1">AVERAGEIF(Posts_Cleaned[[#This Row],[Period]]:T:T,"Before Campaign",Posts_Cleaned[[#This Row],[Engagement Rate ]])</f>
        <v>0.13512729649339841</v>
      </c>
      <c r="W285" s="5">
        <f t="shared" ca="1" si="19"/>
        <v>7.0511078258850474E-2</v>
      </c>
      <c r="X285" s="6">
        <f ca="1">(Posts_Cleaned[[#This Row],[During ]]-Posts_Cleaned[[#This Row],[Before ]])/Posts_Cleaned[[#This Row],[During ]]</f>
        <v>-0.91639810126485166</v>
      </c>
      <c r="Y285" s="1">
        <f>IFERROR(VLOOKUP(O285, 'Campaign Metadata Dataset '!$A$1:$G$5,5,0),0)</f>
        <v>180000</v>
      </c>
      <c r="Z285" s="1">
        <f t="shared" si="17"/>
        <v>7.4666666666666666E-3</v>
      </c>
      <c r="AA285" s="1">
        <f t="shared" ca="1" si="18"/>
        <v>-0.91639810126485166</v>
      </c>
    </row>
    <row r="286" spans="1:27" x14ac:dyDescent="0.25">
      <c r="A286" t="s">
        <v>343</v>
      </c>
      <c r="B286" s="1" t="s">
        <v>29</v>
      </c>
      <c r="C286" s="2">
        <v>45491</v>
      </c>
      <c r="D286" s="1" t="s">
        <v>23</v>
      </c>
      <c r="E286" s="1" t="s">
        <v>77</v>
      </c>
      <c r="F286">
        <v>4021</v>
      </c>
      <c r="G286">
        <v>794</v>
      </c>
      <c r="H286">
        <v>77</v>
      </c>
      <c r="I286">
        <v>36189</v>
      </c>
      <c r="J286">
        <v>35505</v>
      </c>
      <c r="K286">
        <v>174</v>
      </c>
      <c r="L286" s="1" t="s">
        <v>36</v>
      </c>
      <c r="M286" s="1"/>
      <c r="N286" s="1"/>
      <c r="O286" s="1"/>
      <c r="P286" s="5">
        <f>IFERROR(((Posts_Cleaned[[#This Row],[Likes]]+Posts_Cleaned[[#This Row],[Shares]]+Posts_Cleaned[[#This Row],[Comments]])/Posts_Cleaned[[#This Row],[Impressions]]),0)</f>
        <v>0.13517919809886983</v>
      </c>
      <c r="Q286" s="3" t="str">
        <f>_xlfn.TEXTJOIN(", ", TRUE, Posts_Cleaned[[#This Row],[Hashtags Used.1]], Posts_Cleaned[[#This Row],[Hashtags Used.2]], Posts_Cleaned[[#This Row],[Hashtags Used.3]])</f>
        <v>#EVRevolution</v>
      </c>
      <c r="R286" s="2" t="e">
        <f>VLOOKUP(Posts_Cleaned[[#This Row],[Campaign_Name]],'Campaign Metadata Dataset '!$A$2:$B$5,2,0)</f>
        <v>#N/A</v>
      </c>
      <c r="S286" s="2" t="e">
        <f>VLOOKUP(Posts_Cleaned[[#This Row],[Campaign_Name]],'Campaign Metadata Dataset '!$A$1:$C$5,3,0)</f>
        <v>#N/A</v>
      </c>
      <c r="T286" s="1" t="e">
        <f t="shared" si="16"/>
        <v>#N/A</v>
      </c>
      <c r="U286" s="1">
        <f>SUM(Posts_Cleaned[[#This Row],[Likes]]+Posts_Cleaned[[#This Row],[Shares]]+Posts_Cleaned[[#This Row],[Comments]]+Posts_Cleaned[[#This Row],[Clicks]])</f>
        <v>5066</v>
      </c>
      <c r="V286" s="1">
        <f ca="1">AVERAGEIF(Posts_Cleaned[[#This Row],[Period]]:T:T,"Before Campaign",Posts_Cleaned[[#This Row],[Engagement Rate ]])</f>
        <v>0.12906342538217405</v>
      </c>
      <c r="W286" s="5">
        <f t="shared" ca="1" si="19"/>
        <v>7.8470421543373248E-2</v>
      </c>
      <c r="X286" s="6">
        <f ca="1">(Posts_Cleaned[[#This Row],[During ]]-Posts_Cleaned[[#This Row],[Before ]])/Posts_Cleaned[[#This Row],[During ]]</f>
        <v>-0.64473979932472192</v>
      </c>
      <c r="Y286" s="1">
        <f>IFERROR(VLOOKUP(O286, 'Campaign Metadata Dataset '!$A$1:$G$5,5,0),0)</f>
        <v>0</v>
      </c>
      <c r="Z286" s="1">
        <v>0</v>
      </c>
      <c r="AA286" s="1">
        <f t="shared" ca="1" si="18"/>
        <v>-0.64473979932472192</v>
      </c>
    </row>
    <row r="287" spans="1:27" x14ac:dyDescent="0.25">
      <c r="A287" t="s">
        <v>344</v>
      </c>
      <c r="B287" s="1" t="s">
        <v>29</v>
      </c>
      <c r="C287" s="2">
        <v>45560</v>
      </c>
      <c r="D287" s="1" t="s">
        <v>60</v>
      </c>
      <c r="E287" s="1" t="s">
        <v>140</v>
      </c>
      <c r="F287">
        <v>3389</v>
      </c>
      <c r="G287">
        <v>344</v>
      </c>
      <c r="H287">
        <v>229</v>
      </c>
      <c r="I287">
        <v>20334</v>
      </c>
      <c r="J287">
        <v>19443</v>
      </c>
      <c r="K287">
        <v>228</v>
      </c>
      <c r="L287" s="1" t="s">
        <v>19</v>
      </c>
      <c r="M287" s="1"/>
      <c r="N287" s="1"/>
      <c r="O287" s="1" t="s">
        <v>31</v>
      </c>
      <c r="P287" s="5">
        <f>IFERROR(((Posts_Cleaned[[#This Row],[Likes]]+Posts_Cleaned[[#This Row],[Shares]]+Posts_Cleaned[[#This Row],[Comments]])/Posts_Cleaned[[#This Row],[Impressions]]),0)</f>
        <v>0.19484607062063539</v>
      </c>
      <c r="Q287" s="3" t="str">
        <f>_xlfn.TEXTJOIN(", ", TRUE, Posts_Cleaned[[#This Row],[Hashtags Used.1]], Posts_Cleaned[[#This Row],[Hashtags Used.2]], Posts_Cleaned[[#This Row],[Hashtags Used.3]])</f>
        <v>#FutureOfDriving</v>
      </c>
      <c r="R287" s="2">
        <f>VLOOKUP(Posts_Cleaned[[#This Row],[Campaign_Name]],'Campaign Metadata Dataset '!$A$2:$B$5,2,0)</f>
        <v>45651</v>
      </c>
      <c r="S287" s="2">
        <f>VLOOKUP(Posts_Cleaned[[#This Row],[Campaign_Name]],'Campaign Metadata Dataset '!$A$1:$C$5,3,0)</f>
        <v>45667</v>
      </c>
      <c r="T287" s="1" t="str">
        <f t="shared" si="16"/>
        <v>Before Campaign</v>
      </c>
      <c r="U287" s="1">
        <f>SUM(Posts_Cleaned[[#This Row],[Likes]]+Posts_Cleaned[[#This Row],[Shares]]+Posts_Cleaned[[#This Row],[Comments]]+Posts_Cleaned[[#This Row],[Clicks]])</f>
        <v>4190</v>
      </c>
      <c r="V287" s="1">
        <f ca="1">AVERAGEIF(Posts_Cleaned[[#This Row],[Period]]:T:T,"Before Campaign",Posts_Cleaned[[#This Row],[Engagement Rate ]])</f>
        <v>0.12485217180167014</v>
      </c>
      <c r="W287" s="5">
        <f t="shared" ca="1" si="19"/>
        <v>7.7939239074330938E-2</v>
      </c>
      <c r="X287" s="6">
        <f ca="1">(Posts_Cleaned[[#This Row],[During ]]-Posts_Cleaned[[#This Row],[Before ]])/Posts_Cleaned[[#This Row],[During ]]</f>
        <v>-0.60191674032893971</v>
      </c>
      <c r="Y287" s="1">
        <f>IFERROR(VLOOKUP(O287, 'Campaign Metadata Dataset '!$A$1:$G$5,5,0),0)</f>
        <v>250000</v>
      </c>
      <c r="Z287" s="1">
        <f t="shared" si="17"/>
        <v>1.6760000000000001E-2</v>
      </c>
      <c r="AA287" s="1">
        <f t="shared" ca="1" si="18"/>
        <v>-0.60191674032893971</v>
      </c>
    </row>
    <row r="288" spans="1:27" x14ac:dyDescent="0.25">
      <c r="A288" t="s">
        <v>345</v>
      </c>
      <c r="B288" s="1" t="s">
        <v>33</v>
      </c>
      <c r="C288" s="2">
        <v>45519</v>
      </c>
      <c r="D288" s="1" t="s">
        <v>17</v>
      </c>
      <c r="E288" s="1" t="s">
        <v>65</v>
      </c>
      <c r="F288">
        <v>1164</v>
      </c>
      <c r="G288">
        <v>616</v>
      </c>
      <c r="H288">
        <v>324</v>
      </c>
      <c r="I288">
        <v>6984</v>
      </c>
      <c r="J288">
        <v>6636</v>
      </c>
      <c r="K288">
        <v>82</v>
      </c>
      <c r="L288" s="1" t="s">
        <v>36</v>
      </c>
      <c r="M288" s="1"/>
      <c r="N288" s="1"/>
      <c r="O288" s="1" t="s">
        <v>21</v>
      </c>
      <c r="P288" s="5">
        <f>IFERROR(((Posts_Cleaned[[#This Row],[Likes]]+Posts_Cleaned[[#This Row],[Shares]]+Posts_Cleaned[[#This Row],[Comments]])/Posts_Cleaned[[#This Row],[Impressions]]),0)</f>
        <v>0.30126002290950743</v>
      </c>
      <c r="Q288" s="3" t="str">
        <f>_xlfn.TEXTJOIN(", ", TRUE, Posts_Cleaned[[#This Row],[Hashtags Used.1]], Posts_Cleaned[[#This Row],[Hashtags Used.2]], Posts_Cleaned[[#This Row],[Hashtags Used.3]])</f>
        <v>#EVRevolution</v>
      </c>
      <c r="R288" s="2">
        <f>VLOOKUP(Posts_Cleaned[[#This Row],[Campaign_Name]],'Campaign Metadata Dataset '!$A$2:$B$5,2,0)</f>
        <v>45458</v>
      </c>
      <c r="S288" s="2">
        <f>VLOOKUP(Posts_Cleaned[[#This Row],[Campaign_Name]],'Campaign Metadata Dataset '!$A$1:$C$5,3,0)</f>
        <v>45488</v>
      </c>
      <c r="T288" s="1" t="str">
        <f t="shared" si="16"/>
        <v>Before Campaign</v>
      </c>
      <c r="U288" s="1">
        <f>SUM(Posts_Cleaned[[#This Row],[Likes]]+Posts_Cleaned[[#This Row],[Shares]]+Posts_Cleaned[[#This Row],[Comments]]+Posts_Cleaned[[#This Row],[Clicks]])</f>
        <v>2186</v>
      </c>
      <c r="V288" s="1">
        <f ca="1">AVERAGEIF(Posts_Cleaned[[#This Row],[Period]]:T:T,"Before Campaign",Posts_Cleaned[[#This Row],[Engagement Rate ]])</f>
        <v>0.11165260848585126</v>
      </c>
      <c r="W288" s="5">
        <f t="shared" ca="1" si="19"/>
        <v>9.7747749159125957E-2</v>
      </c>
      <c r="X288" s="6">
        <f ca="1">(Posts_Cleaned[[#This Row],[During ]]-Posts_Cleaned[[#This Row],[Before ]])/Posts_Cleaned[[#This Row],[During ]]</f>
        <v>-0.14225247585076609</v>
      </c>
      <c r="Y288" s="1">
        <f>IFERROR(VLOOKUP(O288, 'Campaign Metadata Dataset '!$A$1:$G$5,5,0),0)</f>
        <v>150000</v>
      </c>
      <c r="Z288" s="1">
        <f t="shared" si="17"/>
        <v>1.4573333333333334E-2</v>
      </c>
      <c r="AA288" s="1">
        <f t="shared" ca="1" si="18"/>
        <v>-0.14225247585076609</v>
      </c>
    </row>
    <row r="289" spans="1:27" x14ac:dyDescent="0.25">
      <c r="A289" t="s">
        <v>346</v>
      </c>
      <c r="B289" s="1" t="s">
        <v>29</v>
      </c>
      <c r="C289" s="2">
        <v>45764</v>
      </c>
      <c r="D289" s="1" t="s">
        <v>41</v>
      </c>
      <c r="E289" s="1" t="s">
        <v>56</v>
      </c>
      <c r="F289">
        <v>4780</v>
      </c>
      <c r="G289">
        <v>691</v>
      </c>
      <c r="H289">
        <v>380</v>
      </c>
      <c r="I289">
        <v>86040</v>
      </c>
      <c r="J289">
        <v>85743</v>
      </c>
      <c r="K289">
        <v>262</v>
      </c>
      <c r="L289" s="1" t="s">
        <v>19</v>
      </c>
      <c r="M289" s="1"/>
      <c r="N289" s="1"/>
      <c r="O289" s="1" t="s">
        <v>31</v>
      </c>
      <c r="P289" s="5">
        <f>IFERROR(((Posts_Cleaned[[#This Row],[Likes]]+Posts_Cleaned[[#This Row],[Shares]]+Posts_Cleaned[[#This Row],[Comments]])/Posts_Cleaned[[#This Row],[Impressions]]),0)</f>
        <v>6.800325430032543E-2</v>
      </c>
      <c r="Q289" s="3" t="str">
        <f>_xlfn.TEXTJOIN(", ", TRUE, Posts_Cleaned[[#This Row],[Hashtags Used.1]], Posts_Cleaned[[#This Row],[Hashtags Used.2]], Posts_Cleaned[[#This Row],[Hashtags Used.3]])</f>
        <v>#FutureOfDriving</v>
      </c>
      <c r="R289" s="2">
        <f>VLOOKUP(Posts_Cleaned[[#This Row],[Campaign_Name]],'Campaign Metadata Dataset '!$A$2:$B$5,2,0)</f>
        <v>45651</v>
      </c>
      <c r="S289" s="2">
        <f>VLOOKUP(Posts_Cleaned[[#This Row],[Campaign_Name]],'Campaign Metadata Dataset '!$A$1:$C$5,3,0)</f>
        <v>45667</v>
      </c>
      <c r="T289" s="1" t="str">
        <f t="shared" si="16"/>
        <v>Before Campaign</v>
      </c>
      <c r="U289" s="1">
        <f>SUM(Posts_Cleaned[[#This Row],[Likes]]+Posts_Cleaned[[#This Row],[Shares]]+Posts_Cleaned[[#This Row],[Comments]]+Posts_Cleaned[[#This Row],[Clicks]])</f>
        <v>6113</v>
      </c>
      <c r="V289" s="1">
        <f ca="1">AVERAGEIF(Posts_Cleaned[[#This Row],[Period]]:T:T,"Before Campaign",Posts_Cleaned[[#This Row],[Engagement Rate ]])</f>
        <v>0.10011182516591412</v>
      </c>
      <c r="W289" s="5">
        <f t="shared" ca="1" si="19"/>
        <v>0.12391140086185645</v>
      </c>
      <c r="X289" s="6">
        <f ca="1">(Posts_Cleaned[[#This Row],[During ]]-Posts_Cleaned[[#This Row],[Before ]])/Posts_Cleaned[[#This Row],[During ]]</f>
        <v>0.19206929733992331</v>
      </c>
      <c r="Y289" s="1">
        <f>IFERROR(VLOOKUP(O289, 'Campaign Metadata Dataset '!$A$1:$G$5,5,0),0)</f>
        <v>250000</v>
      </c>
      <c r="Z289" s="1">
        <f t="shared" si="17"/>
        <v>2.4452000000000002E-2</v>
      </c>
      <c r="AA289" s="1">
        <f t="shared" ca="1" si="18"/>
        <v>0.19206929733992331</v>
      </c>
    </row>
    <row r="290" spans="1:27" x14ac:dyDescent="0.25">
      <c r="A290" t="s">
        <v>347</v>
      </c>
      <c r="B290" s="1" t="s">
        <v>40</v>
      </c>
      <c r="C290" s="2">
        <v>45624</v>
      </c>
      <c r="D290" s="1" t="s">
        <v>41</v>
      </c>
      <c r="E290" s="1" t="s">
        <v>42</v>
      </c>
      <c r="F290">
        <v>2751</v>
      </c>
      <c r="G290">
        <v>33</v>
      </c>
      <c r="H290">
        <v>430</v>
      </c>
      <c r="I290">
        <v>44016</v>
      </c>
      <c r="J290">
        <v>43415</v>
      </c>
      <c r="K290">
        <v>129</v>
      </c>
      <c r="L290" s="1" t="s">
        <v>19</v>
      </c>
      <c r="M290" s="1"/>
      <c r="N290" s="1"/>
      <c r="O290" s="1"/>
      <c r="P290" s="5">
        <f>IFERROR(((Posts_Cleaned[[#This Row],[Likes]]+Posts_Cleaned[[#This Row],[Shares]]+Posts_Cleaned[[#This Row],[Comments]])/Posts_Cleaned[[#This Row],[Impressions]]),0)</f>
        <v>7.3018902217375503E-2</v>
      </c>
      <c r="Q290" s="3" t="str">
        <f>_xlfn.TEXTJOIN(", ", TRUE, Posts_Cleaned[[#This Row],[Hashtags Used.1]], Posts_Cleaned[[#This Row],[Hashtags Used.2]], Posts_Cleaned[[#This Row],[Hashtags Used.3]])</f>
        <v>#FutureOfDriving</v>
      </c>
      <c r="R290" s="2" t="e">
        <f>VLOOKUP(Posts_Cleaned[[#This Row],[Campaign_Name]],'Campaign Metadata Dataset '!$A$2:$B$5,2,0)</f>
        <v>#N/A</v>
      </c>
      <c r="S290" s="2" t="e">
        <f>VLOOKUP(Posts_Cleaned[[#This Row],[Campaign_Name]],'Campaign Metadata Dataset '!$A$1:$C$5,3,0)</f>
        <v>#N/A</v>
      </c>
      <c r="T290" s="1" t="e">
        <f t="shared" si="16"/>
        <v>#N/A</v>
      </c>
      <c r="U290" s="1">
        <f>SUM(Posts_Cleaned[[#This Row],[Likes]]+Posts_Cleaned[[#This Row],[Shares]]+Posts_Cleaned[[#This Row],[Comments]]+Posts_Cleaned[[#This Row],[Clicks]])</f>
        <v>3343</v>
      </c>
      <c r="V290" s="1">
        <f ca="1">AVERAGEIF(Posts_Cleaned[[#This Row],[Period]]:T:T,"Before Campaign",Posts_Cleaned[[#This Row],[Engagement Rate ]])</f>
        <v>9.8708774070226782E-2</v>
      </c>
      <c r="W290" s="5">
        <f t="shared" ca="1" si="19"/>
        <v>0.15338408197134795</v>
      </c>
      <c r="X290" s="6">
        <f ca="1">(Posts_Cleaned[[#This Row],[During ]]-Posts_Cleaned[[#This Row],[Before ]])/Posts_Cleaned[[#This Row],[During ]]</f>
        <v>0.35646011762377328</v>
      </c>
      <c r="Y290" s="1">
        <f>IFERROR(VLOOKUP(O290, 'Campaign Metadata Dataset '!$A$1:$G$5,5,0),0)</f>
        <v>0</v>
      </c>
      <c r="Z290" s="1">
        <v>0</v>
      </c>
      <c r="AA290" s="1">
        <f t="shared" ca="1" si="18"/>
        <v>0.35646011762377328</v>
      </c>
    </row>
    <row r="291" spans="1:27" x14ac:dyDescent="0.25">
      <c r="A291" t="s">
        <v>348</v>
      </c>
      <c r="B291" s="1" t="s">
        <v>33</v>
      </c>
      <c r="C291" s="2">
        <v>45646</v>
      </c>
      <c r="D291" s="1" t="s">
        <v>41</v>
      </c>
      <c r="E291" s="1" t="s">
        <v>69</v>
      </c>
      <c r="F291">
        <v>2107</v>
      </c>
      <c r="G291">
        <v>550</v>
      </c>
      <c r="H291">
        <v>349</v>
      </c>
      <c r="I291">
        <v>35819</v>
      </c>
      <c r="J291">
        <v>35340</v>
      </c>
      <c r="K291">
        <v>191</v>
      </c>
      <c r="L291" s="1" t="s">
        <v>36</v>
      </c>
      <c r="M291" s="1"/>
      <c r="N291" s="1"/>
      <c r="O291" s="1" t="s">
        <v>37</v>
      </c>
      <c r="P291" s="5">
        <f>IFERROR(((Posts_Cleaned[[#This Row],[Likes]]+Posts_Cleaned[[#This Row],[Shares]]+Posts_Cleaned[[#This Row],[Comments]])/Posts_Cleaned[[#This Row],[Impressions]]),0)</f>
        <v>8.3921940869371006E-2</v>
      </c>
      <c r="Q291" s="3" t="str">
        <f>_xlfn.TEXTJOIN(", ", TRUE, Posts_Cleaned[[#This Row],[Hashtags Used.1]], Posts_Cleaned[[#This Row],[Hashtags Used.2]], Posts_Cleaned[[#This Row],[Hashtags Used.3]])</f>
        <v>#EVRevolution</v>
      </c>
      <c r="R291" s="2">
        <f>VLOOKUP(Posts_Cleaned[[#This Row],[Campaign_Name]],'Campaign Metadata Dataset '!$A$2:$B$5,2,0)</f>
        <v>45717</v>
      </c>
      <c r="S291" s="2">
        <f>VLOOKUP(Posts_Cleaned[[#This Row],[Campaign_Name]],'Campaign Metadata Dataset '!$A$1:$C$5,3,0)</f>
        <v>45747</v>
      </c>
      <c r="T291" s="1" t="str">
        <f t="shared" si="16"/>
        <v>Before Campaign</v>
      </c>
      <c r="U291" s="1">
        <f>SUM(Posts_Cleaned[[#This Row],[Likes]]+Posts_Cleaned[[#This Row],[Shares]]+Posts_Cleaned[[#This Row],[Comments]]+Posts_Cleaned[[#This Row],[Clicks]])</f>
        <v>3197</v>
      </c>
      <c r="V291" s="1">
        <f ca="1">AVERAGEIF(Posts_Cleaned[[#This Row],[Period]]:T:T,"Before Campaign",Posts_Cleaned[[#This Row],[Engagement Rate ]])</f>
        <v>0.11402914424371555</v>
      </c>
      <c r="W291" s="5">
        <f t="shared" ca="1" si="19"/>
        <v>0.17394579892405398</v>
      </c>
      <c r="X291" s="6">
        <f ca="1">(Posts_Cleaned[[#This Row],[During ]]-Posts_Cleaned[[#This Row],[Before ]])/Posts_Cleaned[[#This Row],[During ]]</f>
        <v>0.34445588827643081</v>
      </c>
      <c r="Y291" s="1">
        <f>IFERROR(VLOOKUP(O291, 'Campaign Metadata Dataset '!$A$1:$G$5,5,0),0)</f>
        <v>180000</v>
      </c>
      <c r="Z291" s="1">
        <f t="shared" si="17"/>
        <v>1.7761111111111109E-2</v>
      </c>
      <c r="AA291" s="1">
        <f t="shared" ca="1" si="18"/>
        <v>0.34445588827643081</v>
      </c>
    </row>
    <row r="292" spans="1:27" x14ac:dyDescent="0.25">
      <c r="A292" t="s">
        <v>349</v>
      </c>
      <c r="B292" s="1" t="s">
        <v>40</v>
      </c>
      <c r="C292" s="2">
        <v>45602</v>
      </c>
      <c r="D292" s="1" t="s">
        <v>60</v>
      </c>
      <c r="E292" s="1" t="s">
        <v>61</v>
      </c>
      <c r="F292">
        <v>4663</v>
      </c>
      <c r="G292">
        <v>145</v>
      </c>
      <c r="H292">
        <v>225</v>
      </c>
      <c r="I292">
        <v>69945</v>
      </c>
      <c r="J292">
        <v>69596</v>
      </c>
      <c r="K292">
        <v>35</v>
      </c>
      <c r="L292" s="1" t="s">
        <v>36</v>
      </c>
      <c r="M292" s="1"/>
      <c r="N292" s="1"/>
      <c r="O292" s="1" t="s">
        <v>37</v>
      </c>
      <c r="P292" s="5">
        <f>IFERROR(((Posts_Cleaned[[#This Row],[Likes]]+Posts_Cleaned[[#This Row],[Shares]]+Posts_Cleaned[[#This Row],[Comments]])/Posts_Cleaned[[#This Row],[Impressions]]),0)</f>
        <v>7.1956537279290869E-2</v>
      </c>
      <c r="Q292" s="3" t="str">
        <f>_xlfn.TEXTJOIN(", ", TRUE, Posts_Cleaned[[#This Row],[Hashtags Used.1]], Posts_Cleaned[[#This Row],[Hashtags Used.2]], Posts_Cleaned[[#This Row],[Hashtags Used.3]])</f>
        <v>#EVRevolution</v>
      </c>
      <c r="R292" s="2">
        <f>VLOOKUP(Posts_Cleaned[[#This Row],[Campaign_Name]],'Campaign Metadata Dataset '!$A$2:$B$5,2,0)</f>
        <v>45717</v>
      </c>
      <c r="S292" s="2">
        <f>VLOOKUP(Posts_Cleaned[[#This Row],[Campaign_Name]],'Campaign Metadata Dataset '!$A$1:$C$5,3,0)</f>
        <v>45747</v>
      </c>
      <c r="T292" s="1" t="str">
        <f t="shared" si="16"/>
        <v>Before Campaign</v>
      </c>
      <c r="U292" s="1">
        <f>SUM(Posts_Cleaned[[#This Row],[Likes]]+Posts_Cleaned[[#This Row],[Shares]]+Posts_Cleaned[[#This Row],[Comments]]+Posts_Cleaned[[#This Row],[Clicks]])</f>
        <v>5068</v>
      </c>
      <c r="V292" s="1">
        <f ca="1">AVERAGEIF(Posts_Cleaned[[#This Row],[Period]]:T:T,"Before Campaign",Posts_Cleaned[[#This Row],[Engagement Rate ]])</f>
        <v>0.10952784134939647</v>
      </c>
      <c r="W292" s="5">
        <f t="shared" ca="1" si="19"/>
        <v>0.11239754974378238</v>
      </c>
      <c r="X292" s="6">
        <f ca="1">(Posts_Cleaned[[#This Row],[During ]]-Posts_Cleaned[[#This Row],[Before ]])/Posts_Cleaned[[#This Row],[During ]]</f>
        <v>2.5531770051283154E-2</v>
      </c>
      <c r="Y292" s="1">
        <f>IFERROR(VLOOKUP(O292, 'Campaign Metadata Dataset '!$A$1:$G$5,5,0),0)</f>
        <v>180000</v>
      </c>
      <c r="Z292" s="1">
        <f t="shared" si="17"/>
        <v>2.8155555555555555E-2</v>
      </c>
      <c r="AA292" s="1">
        <f t="shared" ca="1" si="18"/>
        <v>2.5531770051283154E-2</v>
      </c>
    </row>
    <row r="293" spans="1:27" x14ac:dyDescent="0.25">
      <c r="A293" t="s">
        <v>350</v>
      </c>
      <c r="B293" s="1" t="s">
        <v>40</v>
      </c>
      <c r="C293" s="2">
        <v>45613</v>
      </c>
      <c r="D293" s="1" t="s">
        <v>23</v>
      </c>
      <c r="E293" s="1" t="s">
        <v>49</v>
      </c>
      <c r="F293">
        <v>880</v>
      </c>
      <c r="G293">
        <v>297</v>
      </c>
      <c r="H293">
        <v>345</v>
      </c>
      <c r="I293">
        <v>12320</v>
      </c>
      <c r="J293">
        <v>11978</v>
      </c>
      <c r="K293">
        <v>238</v>
      </c>
      <c r="L293" s="1" t="s">
        <v>25</v>
      </c>
      <c r="M293" s="1" t="s">
        <v>20</v>
      </c>
      <c r="N293" s="1"/>
      <c r="O293" s="1"/>
      <c r="P293" s="5">
        <f>IFERROR(((Posts_Cleaned[[#This Row],[Likes]]+Posts_Cleaned[[#This Row],[Shares]]+Posts_Cleaned[[#This Row],[Comments]])/Posts_Cleaned[[#This Row],[Impressions]]),0)</f>
        <v>0.12353896103896105</v>
      </c>
      <c r="Q293" s="3" t="str">
        <f>_xlfn.TEXTJOIN(", ", TRUE, Posts_Cleaned[[#This Row],[Hashtags Used.1]], Posts_Cleaned[[#This Row],[Hashtags Used.2]], Posts_Cleaned[[#This Row],[Hashtags Used.3]])</f>
        <v>#TeslaCoInnovation, #AnytimeIsTeslaTime</v>
      </c>
      <c r="R293" s="2" t="e">
        <f>VLOOKUP(Posts_Cleaned[[#This Row],[Campaign_Name]],'Campaign Metadata Dataset '!$A$2:$B$5,2,0)</f>
        <v>#N/A</v>
      </c>
      <c r="S293" s="2" t="e">
        <f>VLOOKUP(Posts_Cleaned[[#This Row],[Campaign_Name]],'Campaign Metadata Dataset '!$A$1:$C$5,3,0)</f>
        <v>#N/A</v>
      </c>
      <c r="T293" s="1" t="e">
        <f t="shared" si="16"/>
        <v>#N/A</v>
      </c>
      <c r="U293" s="1">
        <f>SUM(Posts_Cleaned[[#This Row],[Likes]]+Posts_Cleaned[[#This Row],[Shares]]+Posts_Cleaned[[#This Row],[Comments]]+Posts_Cleaned[[#This Row],[Clicks]])</f>
        <v>1760</v>
      </c>
      <c r="V293" s="1">
        <f ca="1">AVERAGEIF(Posts_Cleaned[[#This Row],[Period]]:T:T,"Before Campaign",Posts_Cleaned[[#This Row],[Engagement Rate ]])</f>
        <v>0.10764397170726371</v>
      </c>
      <c r="W293" s="5">
        <f t="shared" ca="1" si="19"/>
        <v>0.15143906480327105</v>
      </c>
      <c r="X293" s="6">
        <f ca="1">(Posts_Cleaned[[#This Row],[During ]]-Posts_Cleaned[[#This Row],[Before ]])/Posts_Cleaned[[#This Row],[During ]]</f>
        <v>0.28919283906632637</v>
      </c>
      <c r="Y293" s="1">
        <f>IFERROR(VLOOKUP(O293, 'Campaign Metadata Dataset '!$A$1:$G$5,5,0),0)</f>
        <v>0</v>
      </c>
      <c r="Z293" s="1">
        <v>0</v>
      </c>
      <c r="AA293" s="1">
        <f t="shared" ca="1" si="18"/>
        <v>0.28919283906632637</v>
      </c>
    </row>
    <row r="294" spans="1:27" x14ac:dyDescent="0.25">
      <c r="A294" t="s">
        <v>351</v>
      </c>
      <c r="B294" s="1" t="s">
        <v>40</v>
      </c>
      <c r="C294" s="2">
        <v>45791</v>
      </c>
      <c r="D294" s="1" t="s">
        <v>23</v>
      </c>
      <c r="E294" s="1" t="s">
        <v>49</v>
      </c>
      <c r="F294">
        <v>2634</v>
      </c>
      <c r="G294">
        <v>726</v>
      </c>
      <c r="H294">
        <v>241</v>
      </c>
      <c r="I294">
        <v>28974</v>
      </c>
      <c r="J294">
        <v>28102</v>
      </c>
      <c r="K294">
        <v>277</v>
      </c>
      <c r="L294" s="1" t="s">
        <v>36</v>
      </c>
      <c r="M294" s="1"/>
      <c r="N294" s="1"/>
      <c r="O294" s="1" t="s">
        <v>21</v>
      </c>
      <c r="P294" s="5">
        <f>IFERROR(((Posts_Cleaned[[#This Row],[Likes]]+Posts_Cleaned[[#This Row],[Shares]]+Posts_Cleaned[[#This Row],[Comments]])/Posts_Cleaned[[#This Row],[Impressions]]),0)</f>
        <v>0.12428384068475185</v>
      </c>
      <c r="Q294" s="3" t="str">
        <f>_xlfn.TEXTJOIN(", ", TRUE, Posts_Cleaned[[#This Row],[Hashtags Used.1]], Posts_Cleaned[[#This Row],[Hashtags Used.2]], Posts_Cleaned[[#This Row],[Hashtags Used.3]])</f>
        <v>#EVRevolution</v>
      </c>
      <c r="R294" s="2">
        <f>VLOOKUP(Posts_Cleaned[[#This Row],[Campaign_Name]],'Campaign Metadata Dataset '!$A$2:$B$5,2,0)</f>
        <v>45458</v>
      </c>
      <c r="S294" s="2">
        <f>VLOOKUP(Posts_Cleaned[[#This Row],[Campaign_Name]],'Campaign Metadata Dataset '!$A$1:$C$5,3,0)</f>
        <v>45488</v>
      </c>
      <c r="T294" s="1" t="str">
        <f t="shared" si="16"/>
        <v>Before Campaign</v>
      </c>
      <c r="U294" s="1">
        <f>SUM(Posts_Cleaned[[#This Row],[Likes]]+Posts_Cleaned[[#This Row],[Shares]]+Posts_Cleaned[[#This Row],[Comments]]+Posts_Cleaned[[#This Row],[Clicks]])</f>
        <v>3878</v>
      </c>
      <c r="V294" s="1">
        <f ca="1">AVERAGEIF(Posts_Cleaned[[#This Row],[Period]]:T:T,"Before Campaign",Posts_Cleaned[[#This Row],[Engagement Rate ]])</f>
        <v>0.12238494758232342</v>
      </c>
      <c r="W294" s="5">
        <f t="shared" ca="1" si="19"/>
        <v>0.1510270487059534</v>
      </c>
      <c r="X294" s="6">
        <f ca="1">(Posts_Cleaned[[#This Row],[During ]]-Posts_Cleaned[[#This Row],[Before ]])/Posts_Cleaned[[#This Row],[During ]]</f>
        <v>0.1896488170102269</v>
      </c>
      <c r="Y294" s="1">
        <f>IFERROR(VLOOKUP(O294, 'Campaign Metadata Dataset '!$A$1:$G$5,5,0),0)</f>
        <v>150000</v>
      </c>
      <c r="Z294" s="1">
        <f t="shared" si="17"/>
        <v>2.5853333333333332E-2</v>
      </c>
      <c r="AA294" s="1">
        <f t="shared" ca="1" si="18"/>
        <v>0.1896488170102269</v>
      </c>
    </row>
    <row r="295" spans="1:27" x14ac:dyDescent="0.25">
      <c r="A295" t="s">
        <v>352</v>
      </c>
      <c r="B295" s="1" t="s">
        <v>40</v>
      </c>
      <c r="C295" s="2">
        <v>45462</v>
      </c>
      <c r="D295" s="1" t="s">
        <v>41</v>
      </c>
      <c r="E295" s="1" t="s">
        <v>42</v>
      </c>
      <c r="F295">
        <v>4731</v>
      </c>
      <c r="G295">
        <v>173</v>
      </c>
      <c r="H295">
        <v>276</v>
      </c>
      <c r="I295">
        <v>28386</v>
      </c>
      <c r="J295">
        <v>28185</v>
      </c>
      <c r="K295">
        <v>89</v>
      </c>
      <c r="L295" s="1" t="s">
        <v>36</v>
      </c>
      <c r="M295" s="1"/>
      <c r="N295" s="1"/>
      <c r="O295" s="1" t="s">
        <v>31</v>
      </c>
      <c r="P295" s="5">
        <f>IFERROR(((Posts_Cleaned[[#This Row],[Likes]]+Posts_Cleaned[[#This Row],[Shares]]+Posts_Cleaned[[#This Row],[Comments]])/Posts_Cleaned[[#This Row],[Impressions]]),0)</f>
        <v>0.18248432325794406</v>
      </c>
      <c r="Q295" s="3" t="str">
        <f>_xlfn.TEXTJOIN(", ", TRUE, Posts_Cleaned[[#This Row],[Hashtags Used.1]], Posts_Cleaned[[#This Row],[Hashtags Used.2]], Posts_Cleaned[[#This Row],[Hashtags Used.3]])</f>
        <v>#EVRevolution</v>
      </c>
      <c r="R295" s="2">
        <f>VLOOKUP(Posts_Cleaned[[#This Row],[Campaign_Name]],'Campaign Metadata Dataset '!$A$2:$B$5,2,0)</f>
        <v>45651</v>
      </c>
      <c r="S295" s="2">
        <f>VLOOKUP(Posts_Cleaned[[#This Row],[Campaign_Name]],'Campaign Metadata Dataset '!$A$1:$C$5,3,0)</f>
        <v>45667</v>
      </c>
      <c r="T295" s="1" t="str">
        <f t="shared" si="16"/>
        <v>Before Campaign</v>
      </c>
      <c r="U295" s="1">
        <f>SUM(Posts_Cleaned[[#This Row],[Likes]]+Posts_Cleaned[[#This Row],[Shares]]+Posts_Cleaned[[#This Row],[Comments]]+Posts_Cleaned[[#This Row],[Clicks]])</f>
        <v>5269</v>
      </c>
      <c r="V295" s="1">
        <f ca="1">AVERAGEIF(Posts_Cleaned[[#This Row],[Period]]:T:T,"Before Campaign",Posts_Cleaned[[#This Row],[Engagement Rate ]])</f>
        <v>0.1053698393798943</v>
      </c>
      <c r="W295" s="5">
        <f t="shared" ca="1" si="19"/>
        <v>9.8484186592030218E-2</v>
      </c>
      <c r="X295" s="6">
        <f ca="1">(Posts_Cleaned[[#This Row],[During ]]-Posts_Cleaned[[#This Row],[Before ]])/Posts_Cleaned[[#This Row],[During ]]</f>
        <v>-6.9916328967490338E-2</v>
      </c>
      <c r="Y295" s="1">
        <f>IFERROR(VLOOKUP(O295, 'Campaign Metadata Dataset '!$A$1:$G$5,5,0),0)</f>
        <v>250000</v>
      </c>
      <c r="Z295" s="1">
        <f t="shared" si="17"/>
        <v>2.1076000000000001E-2</v>
      </c>
      <c r="AA295" s="1">
        <f t="shared" ca="1" si="18"/>
        <v>-6.9916328967490338E-2</v>
      </c>
    </row>
    <row r="296" spans="1:27" x14ac:dyDescent="0.25">
      <c r="A296" t="s">
        <v>353</v>
      </c>
      <c r="B296" s="1" t="s">
        <v>16</v>
      </c>
      <c r="C296" s="2">
        <v>45783</v>
      </c>
      <c r="D296" s="1" t="s">
        <v>46</v>
      </c>
      <c r="E296" s="1" t="s">
        <v>92</v>
      </c>
      <c r="F296">
        <v>1952</v>
      </c>
      <c r="G296">
        <v>344</v>
      </c>
      <c r="H296">
        <v>287</v>
      </c>
      <c r="I296">
        <v>15616</v>
      </c>
      <c r="J296">
        <v>15403</v>
      </c>
      <c r="K296">
        <v>235</v>
      </c>
      <c r="L296" s="1" t="s">
        <v>19</v>
      </c>
      <c r="M296" s="1" t="s">
        <v>25</v>
      </c>
      <c r="N296" s="1" t="s">
        <v>20</v>
      </c>
      <c r="O296" s="1" t="s">
        <v>27</v>
      </c>
      <c r="P296" s="5">
        <f>IFERROR(((Posts_Cleaned[[#This Row],[Likes]]+Posts_Cleaned[[#This Row],[Shares]]+Posts_Cleaned[[#This Row],[Comments]])/Posts_Cleaned[[#This Row],[Impressions]]),0)</f>
        <v>0.16540727459016394</v>
      </c>
      <c r="Q296" s="3" t="str">
        <f>_xlfn.TEXTJOIN(", ", TRUE, Posts_Cleaned[[#This Row],[Hashtags Used.1]], Posts_Cleaned[[#This Row],[Hashtags Used.2]], Posts_Cleaned[[#This Row],[Hashtags Used.3]])</f>
        <v>#FutureOfDriving, #TeslaCoInnovation, #AnytimeIsTeslaTime</v>
      </c>
      <c r="R296" s="2">
        <f>VLOOKUP(Posts_Cleaned[[#This Row],[Campaign_Name]],'Campaign Metadata Dataset '!$A$2:$B$5,2,0)</f>
        <v>45566</v>
      </c>
      <c r="S296" s="2">
        <f>VLOOKUP(Posts_Cleaned[[#This Row],[Campaign_Name]],'Campaign Metadata Dataset '!$A$1:$C$5,3,0)</f>
        <v>45596</v>
      </c>
      <c r="T296" s="1" t="str">
        <f t="shared" si="16"/>
        <v>Before Campaign</v>
      </c>
      <c r="U296" s="1">
        <f>SUM(Posts_Cleaned[[#This Row],[Likes]]+Posts_Cleaned[[#This Row],[Shares]]+Posts_Cleaned[[#This Row],[Comments]]+Posts_Cleaned[[#This Row],[Clicks]])</f>
        <v>2818</v>
      </c>
      <c r="V296" s="1">
        <f ca="1">AVERAGEIF(Posts_Cleaned[[#This Row],[Period]]:T:T,"Before Campaign",Posts_Cleaned[[#This Row],[Engagement Rate ]])</f>
        <v>0.12496162569765062</v>
      </c>
      <c r="W296" s="5">
        <f t="shared" ca="1" si="19"/>
        <v>0.1109722692602927</v>
      </c>
      <c r="X296" s="6">
        <f ca="1">(Posts_Cleaned[[#This Row],[During ]]-Posts_Cleaned[[#This Row],[Before ]])/Posts_Cleaned[[#This Row],[During ]]</f>
        <v>-0.12606173173358268</v>
      </c>
      <c r="Y296" s="1">
        <f>IFERROR(VLOOKUP(O296, 'Campaign Metadata Dataset '!$A$1:$G$5,5,0),0)</f>
        <v>200000</v>
      </c>
      <c r="Z296" s="1">
        <f t="shared" si="17"/>
        <v>1.409E-2</v>
      </c>
      <c r="AA296" s="1">
        <f t="shared" ca="1" si="18"/>
        <v>-0.12606173173358268</v>
      </c>
    </row>
    <row r="297" spans="1:27" x14ac:dyDescent="0.25">
      <c r="A297" t="s">
        <v>354</v>
      </c>
      <c r="B297" s="1" t="s">
        <v>16</v>
      </c>
      <c r="C297" s="2">
        <v>45699</v>
      </c>
      <c r="D297" s="1" t="s">
        <v>60</v>
      </c>
      <c r="E297" s="1" t="s">
        <v>99</v>
      </c>
      <c r="F297">
        <v>3440</v>
      </c>
      <c r="G297">
        <v>13</v>
      </c>
      <c r="H297">
        <v>20</v>
      </c>
      <c r="I297">
        <v>58480</v>
      </c>
      <c r="J297">
        <v>58146</v>
      </c>
      <c r="K297">
        <v>210</v>
      </c>
      <c r="L297" s="1" t="s">
        <v>25</v>
      </c>
      <c r="M297" s="1" t="s">
        <v>198</v>
      </c>
      <c r="N297" s="1"/>
      <c r="O297" s="1" t="s">
        <v>37</v>
      </c>
      <c r="P297" s="5">
        <f>IFERROR(((Posts_Cleaned[[#This Row],[Likes]]+Posts_Cleaned[[#This Row],[Shares]]+Posts_Cleaned[[#This Row],[Comments]])/Posts_Cleaned[[#This Row],[Impressions]]),0)</f>
        <v>5.9387824897400819E-2</v>
      </c>
      <c r="Q297" s="3" t="str">
        <f>_xlfn.TEXTJOIN(", ", TRUE, Posts_Cleaned[[#This Row],[Hashtags Used.1]], Posts_Cleaned[[#This Row],[Hashtags Used.2]], Posts_Cleaned[[#This Row],[Hashtags Used.3]])</f>
        <v>#TeslaCoInnovation, #SmoothLikeNitroTesla</v>
      </c>
      <c r="R297" s="2">
        <f>VLOOKUP(Posts_Cleaned[[#This Row],[Campaign_Name]],'Campaign Metadata Dataset '!$A$2:$B$5,2,0)</f>
        <v>45717</v>
      </c>
      <c r="S297" s="2">
        <f>VLOOKUP(Posts_Cleaned[[#This Row],[Campaign_Name]],'Campaign Metadata Dataset '!$A$1:$C$5,3,0)</f>
        <v>45747</v>
      </c>
      <c r="T297" s="1" t="str">
        <f t="shared" si="16"/>
        <v>Before Campaign</v>
      </c>
      <c r="U297" s="1">
        <f>SUM(Posts_Cleaned[[#This Row],[Likes]]+Posts_Cleaned[[#This Row],[Shares]]+Posts_Cleaned[[#This Row],[Comments]]+Posts_Cleaned[[#This Row],[Clicks]])</f>
        <v>3683</v>
      </c>
      <c r="V297" s="1">
        <f ca="1">AVERAGEIF(Posts_Cleaned[[#This Row],[Period]]:T:T,"Before Campaign",Posts_Cleaned[[#This Row],[Engagement Rate ]])</f>
        <v>0.13099965898312305</v>
      </c>
      <c r="W297" s="5">
        <f t="shared" ca="1" si="19"/>
        <v>4.1769979019645243E-2</v>
      </c>
      <c r="X297" s="6">
        <f ca="1">(Posts_Cleaned[[#This Row],[During ]]-Posts_Cleaned[[#This Row],[Before ]])/Posts_Cleaned[[#This Row],[During ]]</f>
        <v>-2.1362155801302016</v>
      </c>
      <c r="Y297" s="1">
        <f>IFERROR(VLOOKUP(O297, 'Campaign Metadata Dataset '!$A$1:$G$5,5,0),0)</f>
        <v>180000</v>
      </c>
      <c r="Z297" s="1">
        <f t="shared" si="17"/>
        <v>2.046111111111111E-2</v>
      </c>
      <c r="AA297" s="1">
        <f t="shared" ca="1" si="18"/>
        <v>-2.1362155801302016</v>
      </c>
    </row>
    <row r="298" spans="1:27" x14ac:dyDescent="0.25">
      <c r="A298" t="s">
        <v>355</v>
      </c>
      <c r="B298" s="1" t="s">
        <v>16</v>
      </c>
      <c r="C298" s="2">
        <v>45650</v>
      </c>
      <c r="D298" s="1" t="s">
        <v>23</v>
      </c>
      <c r="E298" s="1" t="s">
        <v>24</v>
      </c>
      <c r="F298">
        <v>2166</v>
      </c>
      <c r="G298">
        <v>354</v>
      </c>
      <c r="H298">
        <v>117</v>
      </c>
      <c r="I298">
        <v>10830</v>
      </c>
      <c r="J298">
        <v>10245</v>
      </c>
      <c r="K298">
        <v>24</v>
      </c>
      <c r="L298" s="1" t="s">
        <v>36</v>
      </c>
      <c r="M298" s="1"/>
      <c r="N298" s="1"/>
      <c r="O298" s="1" t="s">
        <v>37</v>
      </c>
      <c r="P298" s="5">
        <f>IFERROR(((Posts_Cleaned[[#This Row],[Likes]]+Posts_Cleaned[[#This Row],[Shares]]+Posts_Cleaned[[#This Row],[Comments]])/Posts_Cleaned[[#This Row],[Impressions]]),0)</f>
        <v>0.24349030470914126</v>
      </c>
      <c r="Q298" s="3" t="str">
        <f>_xlfn.TEXTJOIN(", ", TRUE, Posts_Cleaned[[#This Row],[Hashtags Used.1]], Posts_Cleaned[[#This Row],[Hashtags Used.2]], Posts_Cleaned[[#This Row],[Hashtags Used.3]])</f>
        <v>#EVRevolution</v>
      </c>
      <c r="R298" s="2">
        <f>VLOOKUP(Posts_Cleaned[[#This Row],[Campaign_Name]],'Campaign Metadata Dataset '!$A$2:$B$5,2,0)</f>
        <v>45717</v>
      </c>
      <c r="S298" s="2">
        <f>VLOOKUP(Posts_Cleaned[[#This Row],[Campaign_Name]],'Campaign Metadata Dataset '!$A$1:$C$5,3,0)</f>
        <v>45747</v>
      </c>
      <c r="T298" s="1" t="str">
        <f t="shared" si="16"/>
        <v>Before Campaign</v>
      </c>
      <c r="U298" s="1">
        <f>SUM(Posts_Cleaned[[#This Row],[Likes]]+Posts_Cleaned[[#This Row],[Shares]]+Posts_Cleaned[[#This Row],[Comments]]+Posts_Cleaned[[#This Row],[Clicks]])</f>
        <v>2661</v>
      </c>
      <c r="V298" s="1">
        <f ca="1">AVERAGEIF(Posts_Cleaned[[#This Row],[Period]]:T:T,"Before Campaign",Posts_Cleaned[[#This Row],[Engagement Rate ]])</f>
        <v>7.0127082805837737E-2</v>
      </c>
      <c r="W298" s="5">
        <f t="shared" ca="1" si="19"/>
        <v>0</v>
      </c>
      <c r="X298" s="6">
        <v>0</v>
      </c>
      <c r="Y298" s="1">
        <f>IFERROR(VLOOKUP(O298, 'Campaign Metadata Dataset '!$A$1:$G$5,5,0),0)</f>
        <v>180000</v>
      </c>
      <c r="Z298" s="1">
        <f t="shared" si="17"/>
        <v>1.4783333333333334E-2</v>
      </c>
      <c r="AA298" s="1">
        <v>0</v>
      </c>
    </row>
    <row r="299" spans="1:27" x14ac:dyDescent="0.25">
      <c r="A299" t="s">
        <v>356</v>
      </c>
      <c r="B299" s="1" t="s">
        <v>40</v>
      </c>
      <c r="C299" s="2">
        <v>45589</v>
      </c>
      <c r="D299" s="1" t="s">
        <v>46</v>
      </c>
      <c r="E299" s="1" t="s">
        <v>51</v>
      </c>
      <c r="F299">
        <v>4303</v>
      </c>
      <c r="G299">
        <v>451</v>
      </c>
      <c r="H299">
        <v>286</v>
      </c>
      <c r="I299">
        <v>86060</v>
      </c>
      <c r="J299">
        <v>85823</v>
      </c>
      <c r="K299">
        <v>14</v>
      </c>
      <c r="L299" s="1" t="s">
        <v>25</v>
      </c>
      <c r="M299" s="1"/>
      <c r="N299" s="1"/>
      <c r="O299" s="1" t="s">
        <v>31</v>
      </c>
      <c r="P299" s="5">
        <f>IFERROR(((Posts_Cleaned[[#This Row],[Likes]]+Posts_Cleaned[[#This Row],[Shares]]+Posts_Cleaned[[#This Row],[Comments]])/Posts_Cleaned[[#This Row],[Impressions]]),0)</f>
        <v>5.8563792702765516E-2</v>
      </c>
      <c r="Q299" s="3" t="str">
        <f>_xlfn.TEXTJOIN(", ", TRUE, Posts_Cleaned[[#This Row],[Hashtags Used.1]], Posts_Cleaned[[#This Row],[Hashtags Used.2]], Posts_Cleaned[[#This Row],[Hashtags Used.3]])</f>
        <v>#TeslaCoInnovation</v>
      </c>
      <c r="R299" s="2">
        <f>VLOOKUP(Posts_Cleaned[[#This Row],[Campaign_Name]],'Campaign Metadata Dataset '!$A$2:$B$5,2,0)</f>
        <v>45651</v>
      </c>
      <c r="S299" s="2">
        <f>VLOOKUP(Posts_Cleaned[[#This Row],[Campaign_Name]],'Campaign Metadata Dataset '!$A$1:$C$5,3,0)</f>
        <v>45667</v>
      </c>
      <c r="T299" s="1" t="str">
        <f t="shared" si="16"/>
        <v>Before Campaign</v>
      </c>
      <c r="U299" s="1">
        <f>SUM(Posts_Cleaned[[#This Row],[Likes]]+Posts_Cleaned[[#This Row],[Shares]]+Posts_Cleaned[[#This Row],[Comments]]+Posts_Cleaned[[#This Row],[Clicks]])</f>
        <v>5054</v>
      </c>
      <c r="V299" s="1">
        <f ca="1">AVERAGEIF(Posts_Cleaned[[#This Row],[Period]]:T:T,"Before Campaign",Posts_Cleaned[[#This Row],[Engagement Rate ]])</f>
        <v>7.3981512840195135E-2</v>
      </c>
      <c r="W299" s="5">
        <v>0</v>
      </c>
      <c r="X299" s="6">
        <v>0</v>
      </c>
      <c r="Y299" s="1">
        <f>IFERROR(VLOOKUP(O299, 'Campaign Metadata Dataset '!$A$1:$G$5,5,0),0)</f>
        <v>250000</v>
      </c>
      <c r="Z299" s="1">
        <f t="shared" si="17"/>
        <v>2.0216000000000001E-2</v>
      </c>
      <c r="AA299" s="1">
        <v>0</v>
      </c>
    </row>
    <row r="300" spans="1:27" x14ac:dyDescent="0.25">
      <c r="A300" t="s">
        <v>357</v>
      </c>
      <c r="B300" s="1" t="s">
        <v>40</v>
      </c>
      <c r="C300" s="2">
        <v>45530</v>
      </c>
      <c r="D300" s="1" t="s">
        <v>46</v>
      </c>
      <c r="E300" s="1" t="s">
        <v>51</v>
      </c>
      <c r="F300">
        <v>2581</v>
      </c>
      <c r="G300">
        <v>517</v>
      </c>
      <c r="H300">
        <v>117</v>
      </c>
      <c r="I300">
        <v>23229</v>
      </c>
      <c r="J300">
        <v>22331</v>
      </c>
      <c r="K300">
        <v>70</v>
      </c>
      <c r="L300" s="1" t="s">
        <v>19</v>
      </c>
      <c r="M300" s="1"/>
      <c r="N300" s="1"/>
      <c r="O300" s="1" t="s">
        <v>31</v>
      </c>
      <c r="P300" s="5">
        <f>IFERROR(((Posts_Cleaned[[#This Row],[Likes]]+Posts_Cleaned[[#This Row],[Shares]]+Posts_Cleaned[[#This Row],[Comments]])/Posts_Cleaned[[#This Row],[Impressions]]),0)</f>
        <v>0.13840458048129492</v>
      </c>
      <c r="Q300" s="3" t="str">
        <f>_xlfn.TEXTJOIN(", ", TRUE, Posts_Cleaned[[#This Row],[Hashtags Used.1]], Posts_Cleaned[[#This Row],[Hashtags Used.2]], Posts_Cleaned[[#This Row],[Hashtags Used.3]])</f>
        <v>#FutureOfDriving</v>
      </c>
      <c r="R300" s="2">
        <f>VLOOKUP(Posts_Cleaned[[#This Row],[Campaign_Name]],'Campaign Metadata Dataset '!$A$2:$B$5,2,0)</f>
        <v>45651</v>
      </c>
      <c r="S300" s="2">
        <f>VLOOKUP(Posts_Cleaned[[#This Row],[Campaign_Name]],'Campaign Metadata Dataset '!$A$1:$C$5,3,0)</f>
        <v>45667</v>
      </c>
      <c r="T300" s="1" t="str">
        <f t="shared" si="16"/>
        <v>Before Campaign</v>
      </c>
      <c r="U300" s="1">
        <f>SUM(Posts_Cleaned[[#This Row],[Likes]]+Posts_Cleaned[[#This Row],[Shares]]+Posts_Cleaned[[#This Row],[Comments]]+Posts_Cleaned[[#This Row],[Clicks]])</f>
        <v>3285</v>
      </c>
      <c r="V300" s="1">
        <f ca="1">AVERAGEIF(Posts_Cleaned[[#This Row],[Period]]:T:T,"Before Campaign",Posts_Cleaned[[#This Row],[Engagement Rate ]])</f>
        <v>4.1769979019645243E-2</v>
      </c>
      <c r="W300" s="5">
        <v>0</v>
      </c>
      <c r="X300" s="6">
        <v>0</v>
      </c>
      <c r="Y300" s="1">
        <f>IFERROR(VLOOKUP(O300, 'Campaign Metadata Dataset '!$A$1:$G$5,5,0),0)</f>
        <v>250000</v>
      </c>
      <c r="Z300" s="1">
        <f t="shared" si="17"/>
        <v>1.3140000000000001E-2</v>
      </c>
      <c r="AA300" s="1">
        <v>0</v>
      </c>
    </row>
    <row r="301" spans="1:27" x14ac:dyDescent="0.25">
      <c r="A301" t="s">
        <v>358</v>
      </c>
      <c r="B301" s="1" t="s">
        <v>16</v>
      </c>
      <c r="C301" s="2">
        <v>45535</v>
      </c>
      <c r="D301" s="1" t="s">
        <v>41</v>
      </c>
      <c r="E301" s="1" t="s">
        <v>44</v>
      </c>
      <c r="F301">
        <v>4494</v>
      </c>
      <c r="G301">
        <v>717</v>
      </c>
      <c r="H301">
        <v>45</v>
      </c>
      <c r="I301">
        <v>62916</v>
      </c>
      <c r="J301">
        <v>62688</v>
      </c>
      <c r="K301">
        <v>191</v>
      </c>
      <c r="L301" s="1" t="s">
        <v>25</v>
      </c>
      <c r="M301" s="1" t="s">
        <v>36</v>
      </c>
      <c r="N301" s="1" t="s">
        <v>26</v>
      </c>
      <c r="O301" s="1" t="s">
        <v>21</v>
      </c>
      <c r="P301" s="5">
        <f>IFERROR(((Posts_Cleaned[[#This Row],[Likes]]+Posts_Cleaned[[#This Row],[Shares]]+Posts_Cleaned[[#This Row],[Comments]])/Posts_Cleaned[[#This Row],[Impressions]]),0)</f>
        <v>8.3539958039290485E-2</v>
      </c>
      <c r="Q301" s="3" t="str">
        <f>_xlfn.TEXTJOIN(", ", TRUE, Posts_Cleaned[[#This Row],[Hashtags Used.1]], Posts_Cleaned[[#This Row],[Hashtags Used.2]], Posts_Cleaned[[#This Row],[Hashtags Used.3]])</f>
        <v>#TeslaCoInnovation, #EVRevolution, #BetterWithTesla</v>
      </c>
      <c r="R301" s="2">
        <f>VLOOKUP(Posts_Cleaned[[#This Row],[Campaign_Name]],'Campaign Metadata Dataset '!$A$2:$B$5,2,0)</f>
        <v>45458</v>
      </c>
      <c r="S301" s="2">
        <f>VLOOKUP(Posts_Cleaned[[#This Row],[Campaign_Name]],'Campaign Metadata Dataset '!$A$1:$C$5,3,0)</f>
        <v>45488</v>
      </c>
      <c r="T301" s="1" t="str">
        <f t="shared" si="16"/>
        <v>Before Campaign</v>
      </c>
      <c r="U301" s="1">
        <f>SUM(Posts_Cleaned[[#This Row],[Likes]]+Posts_Cleaned[[#This Row],[Shares]]+Posts_Cleaned[[#This Row],[Comments]]+Posts_Cleaned[[#This Row],[Clicks]])</f>
        <v>5447</v>
      </c>
      <c r="V301" s="1">
        <f ca="1">AVERAGEIF(Posts_Cleaned[[#This Row],[Period]]:T:T,"Before Campaign",Posts_Cleaned[[#This Row],[Engagement Rate ]])</f>
        <v>0</v>
      </c>
      <c r="W301" s="5">
        <v>0</v>
      </c>
      <c r="X301" s="6">
        <v>0</v>
      </c>
      <c r="Y301" s="1">
        <f>IFERROR(VLOOKUP(O301, 'Campaign Metadata Dataset '!$A$1:$G$5,5,0),0)</f>
        <v>150000</v>
      </c>
      <c r="Z301" s="1">
        <f t="shared" si="17"/>
        <v>3.6313333333333336E-2</v>
      </c>
      <c r="AA301" s="1">
        <v>0</v>
      </c>
    </row>
    <row r="302" spans="1:27" x14ac:dyDescent="0.25">
      <c r="B302" s="1"/>
      <c r="C302" s="2"/>
      <c r="D302" s="1"/>
      <c r="E302" s="1"/>
      <c r="L302" s="1"/>
      <c r="M302" s="1"/>
      <c r="N302" s="1"/>
      <c r="O302" s="1"/>
      <c r="P302" s="5">
        <f>IFERROR(((Posts_Cleaned[[#This Row],[Likes]]+Posts_Cleaned[[#This Row],[Shares]]+Posts_Cleaned[[#This Row],[Comments]])/Posts_Cleaned[[#This Row],[Impressions]]),0)</f>
        <v>0</v>
      </c>
      <c r="Q302" s="1" t="str">
        <f>_xlfn.TEXTJOIN(", ", TRUE, Posts_Cleaned[[#This Row],[Hashtags Used.1]], Posts_Cleaned[[#This Row],[Hashtags Used.2]], Posts_Cleaned[[#This Row],[Hashtags Used.3]])</f>
        <v/>
      </c>
      <c r="R302" s="4" t="e">
        <f>VLOOKUP(Posts_Cleaned[[#This Row],[Campaign_Name]],'Campaign Metadata Dataset '!$A$2:$B$5,2,0)</f>
        <v>#N/A</v>
      </c>
      <c r="S302" s="2" t="e">
        <f>VLOOKUP(Posts_Cleaned[[#This Row],[Campaign_Name]],'Campaign Metadata Dataset '!$A$1:$C$5,3,0)</f>
        <v>#N/A</v>
      </c>
      <c r="T302" s="1" t="e">
        <f t="shared" si="16"/>
        <v>#N/A</v>
      </c>
      <c r="U302" s="1">
        <f>SUM(Posts_Cleaned[[#This Row],[Likes]]+Posts_Cleaned[[#This Row],[Shares]]+Posts_Cleaned[[#This Row],[Comments]]+Posts_Cleaned[[#This Row],[Clicks]])</f>
        <v>0</v>
      </c>
      <c r="V302" s="1">
        <v>0</v>
      </c>
      <c r="W302" s="5">
        <v>0</v>
      </c>
      <c r="X302" s="6">
        <v>0</v>
      </c>
      <c r="Y302" s="1">
        <f>IFERROR(VLOOKUP(O302, 'Campaign Metadata Dataset '!$A$1:$G$5,5,0),0)</f>
        <v>0</v>
      </c>
      <c r="Z302" s="1">
        <v>0</v>
      </c>
      <c r="AA302" s="1">
        <v>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5D6A-7DA0-4D6C-92FC-DFCC95384715}">
  <dimension ref="A1:G1796"/>
  <sheetViews>
    <sheetView zoomScale="133" workbookViewId="0">
      <selection activeCell="J203" sqref="J203"/>
    </sheetView>
  </sheetViews>
  <sheetFormatPr defaultRowHeight="15" x14ac:dyDescent="0.25"/>
  <cols>
    <col min="1" max="1" width="19" bestFit="1" customWidth="1"/>
    <col min="2" max="2" width="11" bestFit="1" customWidth="1"/>
    <col min="3" max="3" width="17.28515625" bestFit="1" customWidth="1"/>
    <col min="4" max="4" width="12.42578125" bestFit="1" customWidth="1"/>
    <col min="5" max="5" width="17.5703125" bestFit="1" customWidth="1"/>
    <col min="6" max="6" width="19.5703125" bestFit="1" customWidth="1"/>
    <col min="7" max="7" width="12.28515625" bestFit="1" customWidth="1"/>
  </cols>
  <sheetData>
    <row r="1" spans="1:7" x14ac:dyDescent="0.25">
      <c r="A1" t="s">
        <v>359</v>
      </c>
      <c r="B1" t="s">
        <v>1</v>
      </c>
      <c r="C1" t="s">
        <v>360</v>
      </c>
      <c r="D1" t="s">
        <v>361</v>
      </c>
      <c r="E1" t="s">
        <v>362</v>
      </c>
      <c r="F1" t="s">
        <v>363</v>
      </c>
      <c r="G1" t="s">
        <v>364</v>
      </c>
    </row>
    <row r="2" spans="1:7" x14ac:dyDescent="0.25">
      <c r="A2" s="2">
        <v>45446</v>
      </c>
      <c r="B2" s="1" t="s">
        <v>33</v>
      </c>
      <c r="C2">
        <v>1135</v>
      </c>
      <c r="D2">
        <v>88</v>
      </c>
      <c r="E2">
        <v>344084</v>
      </c>
      <c r="F2">
        <v>8.06</v>
      </c>
      <c r="G2">
        <v>5904</v>
      </c>
    </row>
    <row r="3" spans="1:7" x14ac:dyDescent="0.25">
      <c r="A3" s="2">
        <v>45446</v>
      </c>
      <c r="B3" s="1" t="s">
        <v>40</v>
      </c>
      <c r="C3">
        <v>1312</v>
      </c>
      <c r="D3">
        <v>310</v>
      </c>
      <c r="E3">
        <v>42654</v>
      </c>
      <c r="F3">
        <v>4.9800000000000004</v>
      </c>
      <c r="G3">
        <v>9566</v>
      </c>
    </row>
    <row r="4" spans="1:7" x14ac:dyDescent="0.25">
      <c r="A4" s="2">
        <v>45446</v>
      </c>
      <c r="B4" s="1" t="s">
        <v>16</v>
      </c>
      <c r="C4">
        <v>584</v>
      </c>
      <c r="D4">
        <v>169</v>
      </c>
      <c r="E4">
        <v>146834</v>
      </c>
      <c r="F4">
        <v>8.31</v>
      </c>
      <c r="G4">
        <v>26752</v>
      </c>
    </row>
    <row r="5" spans="1:7" x14ac:dyDescent="0.25">
      <c r="A5" s="2">
        <v>45446</v>
      </c>
      <c r="B5" s="1" t="s">
        <v>29</v>
      </c>
      <c r="C5">
        <v>1535</v>
      </c>
      <c r="D5">
        <v>445</v>
      </c>
      <c r="E5">
        <v>395536</v>
      </c>
      <c r="F5">
        <v>4.1100000000000003</v>
      </c>
      <c r="G5">
        <v>30671</v>
      </c>
    </row>
    <row r="6" spans="1:7" x14ac:dyDescent="0.25">
      <c r="A6" s="2">
        <v>45453</v>
      </c>
      <c r="B6" s="1" t="s">
        <v>33</v>
      </c>
      <c r="C6">
        <v>656</v>
      </c>
      <c r="D6">
        <v>139</v>
      </c>
      <c r="E6">
        <v>49157</v>
      </c>
      <c r="F6">
        <v>9.0500000000000007</v>
      </c>
      <c r="G6">
        <v>9920</v>
      </c>
    </row>
    <row r="7" spans="1:7" x14ac:dyDescent="0.25">
      <c r="A7" s="2">
        <v>45453</v>
      </c>
      <c r="B7" s="1" t="s">
        <v>40</v>
      </c>
      <c r="C7">
        <v>1697</v>
      </c>
      <c r="D7">
        <v>414</v>
      </c>
      <c r="E7">
        <v>316555</v>
      </c>
      <c r="F7">
        <v>2.37</v>
      </c>
      <c r="G7">
        <v>7924</v>
      </c>
    </row>
    <row r="8" spans="1:7" x14ac:dyDescent="0.25">
      <c r="A8" s="2">
        <v>45453</v>
      </c>
      <c r="B8" s="1" t="s">
        <v>16</v>
      </c>
      <c r="C8">
        <v>436</v>
      </c>
      <c r="D8">
        <v>250</v>
      </c>
      <c r="E8">
        <v>254347</v>
      </c>
      <c r="F8">
        <v>4.01</v>
      </c>
      <c r="G8">
        <v>8912</v>
      </c>
    </row>
    <row r="9" spans="1:7" x14ac:dyDescent="0.25">
      <c r="A9" s="2">
        <v>45453</v>
      </c>
      <c r="B9" s="1" t="s">
        <v>29</v>
      </c>
      <c r="C9">
        <v>1197</v>
      </c>
      <c r="D9">
        <v>203</v>
      </c>
      <c r="E9">
        <v>413878</v>
      </c>
      <c r="F9">
        <v>3.16</v>
      </c>
      <c r="G9">
        <v>21205</v>
      </c>
    </row>
    <row r="10" spans="1:7" x14ac:dyDescent="0.25">
      <c r="A10" s="2">
        <v>45460</v>
      </c>
      <c r="B10" s="1" t="s">
        <v>33</v>
      </c>
      <c r="C10">
        <v>1048</v>
      </c>
      <c r="D10">
        <v>155</v>
      </c>
      <c r="E10">
        <v>456946</v>
      </c>
      <c r="F10">
        <v>2.46</v>
      </c>
      <c r="G10">
        <v>11329</v>
      </c>
    </row>
    <row r="11" spans="1:7" x14ac:dyDescent="0.25">
      <c r="A11" s="2">
        <v>45460</v>
      </c>
      <c r="B11" s="1" t="s">
        <v>40</v>
      </c>
      <c r="C11">
        <v>1753</v>
      </c>
      <c r="D11">
        <v>371</v>
      </c>
      <c r="E11">
        <v>169496</v>
      </c>
      <c r="F11">
        <v>8.11</v>
      </c>
      <c r="G11">
        <v>46670</v>
      </c>
    </row>
    <row r="12" spans="1:7" x14ac:dyDescent="0.25">
      <c r="A12" s="2">
        <v>45460</v>
      </c>
      <c r="B12" s="1" t="s">
        <v>16</v>
      </c>
      <c r="C12">
        <v>1335</v>
      </c>
      <c r="D12">
        <v>40</v>
      </c>
      <c r="E12">
        <v>122732</v>
      </c>
      <c r="F12">
        <v>8.19</v>
      </c>
      <c r="G12">
        <v>22482</v>
      </c>
    </row>
    <row r="13" spans="1:7" x14ac:dyDescent="0.25">
      <c r="A13" s="2">
        <v>45460</v>
      </c>
      <c r="B13" s="1" t="s">
        <v>29</v>
      </c>
      <c r="C13">
        <v>403</v>
      </c>
      <c r="D13">
        <v>66</v>
      </c>
      <c r="E13">
        <v>382851</v>
      </c>
      <c r="F13">
        <v>3.49</v>
      </c>
      <c r="G13">
        <v>24313</v>
      </c>
    </row>
    <row r="14" spans="1:7" x14ac:dyDescent="0.25">
      <c r="A14" s="2">
        <v>45467</v>
      </c>
      <c r="B14" s="1" t="s">
        <v>33</v>
      </c>
      <c r="C14">
        <v>911</v>
      </c>
      <c r="D14">
        <v>282</v>
      </c>
      <c r="E14">
        <v>35664</v>
      </c>
      <c r="F14">
        <v>6.92</v>
      </c>
      <c r="G14">
        <v>18050</v>
      </c>
    </row>
    <row r="15" spans="1:7" x14ac:dyDescent="0.25">
      <c r="A15" s="2">
        <v>45467</v>
      </c>
      <c r="B15" s="1" t="s">
        <v>40</v>
      </c>
      <c r="C15">
        <v>1779</v>
      </c>
      <c r="D15">
        <v>109</v>
      </c>
      <c r="E15">
        <v>26295</v>
      </c>
      <c r="F15">
        <v>9.1199999999999992</v>
      </c>
      <c r="G15">
        <v>30635</v>
      </c>
    </row>
    <row r="16" spans="1:7" x14ac:dyDescent="0.25">
      <c r="A16" s="2">
        <v>45467</v>
      </c>
      <c r="B16" s="1" t="s">
        <v>16</v>
      </c>
      <c r="C16">
        <v>1238</v>
      </c>
      <c r="D16">
        <v>403</v>
      </c>
      <c r="E16">
        <v>298421</v>
      </c>
      <c r="F16">
        <v>3.5</v>
      </c>
      <c r="G16">
        <v>31280</v>
      </c>
    </row>
    <row r="17" spans="1:7" x14ac:dyDescent="0.25">
      <c r="A17" s="2">
        <v>45467</v>
      </c>
      <c r="B17" s="1" t="s">
        <v>29</v>
      </c>
      <c r="C17">
        <v>308</v>
      </c>
      <c r="D17">
        <v>431</v>
      </c>
      <c r="E17">
        <v>426184</v>
      </c>
      <c r="F17">
        <v>2.62</v>
      </c>
      <c r="G17">
        <v>1783</v>
      </c>
    </row>
    <row r="18" spans="1:7" x14ac:dyDescent="0.25">
      <c r="A18" s="2">
        <v>45474</v>
      </c>
      <c r="B18" s="1" t="s">
        <v>33</v>
      </c>
      <c r="C18">
        <v>226</v>
      </c>
      <c r="D18">
        <v>445</v>
      </c>
      <c r="E18">
        <v>419447</v>
      </c>
      <c r="F18">
        <v>9.36</v>
      </c>
      <c r="G18">
        <v>9566</v>
      </c>
    </row>
    <row r="19" spans="1:7" x14ac:dyDescent="0.25">
      <c r="A19" s="2">
        <v>45474</v>
      </c>
      <c r="B19" s="1" t="s">
        <v>40</v>
      </c>
      <c r="C19">
        <v>505</v>
      </c>
      <c r="D19">
        <v>441</v>
      </c>
      <c r="E19">
        <v>220020</v>
      </c>
      <c r="F19">
        <v>4.4800000000000004</v>
      </c>
      <c r="G19">
        <v>42307</v>
      </c>
    </row>
    <row r="20" spans="1:7" x14ac:dyDescent="0.25">
      <c r="A20" s="2">
        <v>45474</v>
      </c>
      <c r="B20" s="1" t="s">
        <v>16</v>
      </c>
      <c r="C20">
        <v>1420</v>
      </c>
      <c r="D20">
        <v>63</v>
      </c>
      <c r="E20">
        <v>315305</v>
      </c>
      <c r="F20">
        <v>6.19</v>
      </c>
      <c r="G20">
        <v>5914</v>
      </c>
    </row>
    <row r="21" spans="1:7" x14ac:dyDescent="0.25">
      <c r="A21" s="2">
        <v>45474</v>
      </c>
      <c r="B21" s="1" t="s">
        <v>29</v>
      </c>
      <c r="C21">
        <v>144</v>
      </c>
      <c r="D21">
        <v>53</v>
      </c>
      <c r="E21">
        <v>113678</v>
      </c>
      <c r="F21">
        <v>8.7200000000000006</v>
      </c>
      <c r="G21">
        <v>30060</v>
      </c>
    </row>
    <row r="22" spans="1:7" x14ac:dyDescent="0.25">
      <c r="A22" s="2">
        <v>45481</v>
      </c>
      <c r="B22" s="1" t="s">
        <v>33</v>
      </c>
      <c r="C22">
        <v>1757</v>
      </c>
      <c r="D22">
        <v>85</v>
      </c>
      <c r="E22">
        <v>58223</v>
      </c>
      <c r="F22">
        <v>8.74</v>
      </c>
      <c r="G22">
        <v>22728</v>
      </c>
    </row>
    <row r="23" spans="1:7" x14ac:dyDescent="0.25">
      <c r="A23" s="2">
        <v>45481</v>
      </c>
      <c r="B23" s="1" t="s">
        <v>40</v>
      </c>
      <c r="C23">
        <v>350</v>
      </c>
      <c r="D23">
        <v>41</v>
      </c>
      <c r="E23">
        <v>251694</v>
      </c>
      <c r="F23">
        <v>1.91</v>
      </c>
      <c r="G23">
        <v>38610</v>
      </c>
    </row>
    <row r="24" spans="1:7" x14ac:dyDescent="0.25">
      <c r="A24" s="2">
        <v>45481</v>
      </c>
      <c r="B24" s="1" t="s">
        <v>16</v>
      </c>
      <c r="C24">
        <v>987</v>
      </c>
      <c r="D24">
        <v>440</v>
      </c>
      <c r="E24">
        <v>389810</v>
      </c>
      <c r="F24">
        <v>4.66</v>
      </c>
      <c r="G24">
        <v>2932</v>
      </c>
    </row>
    <row r="25" spans="1:7" x14ac:dyDescent="0.25">
      <c r="A25" s="2">
        <v>45481</v>
      </c>
      <c r="B25" s="1" t="s">
        <v>29</v>
      </c>
      <c r="C25">
        <v>883</v>
      </c>
      <c r="D25">
        <v>369</v>
      </c>
      <c r="E25">
        <v>233694</v>
      </c>
      <c r="F25">
        <v>2.88</v>
      </c>
      <c r="G25">
        <v>15071</v>
      </c>
    </row>
    <row r="26" spans="1:7" x14ac:dyDescent="0.25">
      <c r="A26" s="2">
        <v>45488</v>
      </c>
      <c r="B26" s="1" t="s">
        <v>33</v>
      </c>
      <c r="C26">
        <v>1960</v>
      </c>
      <c r="D26">
        <v>115</v>
      </c>
      <c r="E26">
        <v>154169</v>
      </c>
      <c r="F26">
        <v>3.74</v>
      </c>
      <c r="G26">
        <v>10740</v>
      </c>
    </row>
    <row r="27" spans="1:7" x14ac:dyDescent="0.25">
      <c r="A27" s="2">
        <v>45488</v>
      </c>
      <c r="B27" s="1" t="s">
        <v>40</v>
      </c>
      <c r="C27">
        <v>170</v>
      </c>
      <c r="D27">
        <v>334</v>
      </c>
      <c r="E27">
        <v>334626</v>
      </c>
      <c r="F27">
        <v>6.44</v>
      </c>
      <c r="G27">
        <v>43420</v>
      </c>
    </row>
    <row r="28" spans="1:7" x14ac:dyDescent="0.25">
      <c r="A28" s="2">
        <v>45488</v>
      </c>
      <c r="B28" s="1" t="s">
        <v>16</v>
      </c>
      <c r="C28">
        <v>704</v>
      </c>
      <c r="D28">
        <v>275</v>
      </c>
      <c r="E28">
        <v>226002</v>
      </c>
      <c r="F28">
        <v>8.56</v>
      </c>
      <c r="G28">
        <v>32393</v>
      </c>
    </row>
    <row r="29" spans="1:7" x14ac:dyDescent="0.25">
      <c r="A29" s="2">
        <v>45488</v>
      </c>
      <c r="B29" s="1" t="s">
        <v>29</v>
      </c>
      <c r="C29">
        <v>224</v>
      </c>
      <c r="D29">
        <v>64</v>
      </c>
      <c r="E29">
        <v>156683</v>
      </c>
      <c r="F29">
        <v>4.5599999999999996</v>
      </c>
      <c r="G29">
        <v>28474</v>
      </c>
    </row>
    <row r="30" spans="1:7" x14ac:dyDescent="0.25">
      <c r="A30" s="2">
        <v>45495</v>
      </c>
      <c r="B30" s="1" t="s">
        <v>33</v>
      </c>
      <c r="C30">
        <v>508</v>
      </c>
      <c r="D30">
        <v>349</v>
      </c>
      <c r="E30">
        <v>473812</v>
      </c>
      <c r="F30">
        <v>7.88</v>
      </c>
      <c r="G30">
        <v>17328</v>
      </c>
    </row>
    <row r="31" spans="1:7" x14ac:dyDescent="0.25">
      <c r="A31" s="2">
        <v>45495</v>
      </c>
      <c r="B31" s="1" t="s">
        <v>40</v>
      </c>
      <c r="C31">
        <v>1391</v>
      </c>
      <c r="D31">
        <v>430</v>
      </c>
      <c r="E31">
        <v>295032</v>
      </c>
      <c r="F31">
        <v>7.86</v>
      </c>
      <c r="G31">
        <v>26067</v>
      </c>
    </row>
    <row r="32" spans="1:7" x14ac:dyDescent="0.25">
      <c r="A32" s="2">
        <v>45495</v>
      </c>
      <c r="B32" s="1" t="s">
        <v>16</v>
      </c>
      <c r="C32">
        <v>1701</v>
      </c>
      <c r="D32">
        <v>385</v>
      </c>
      <c r="E32">
        <v>198278</v>
      </c>
      <c r="F32">
        <v>5.34</v>
      </c>
      <c r="G32">
        <v>32763</v>
      </c>
    </row>
    <row r="33" spans="1:7" x14ac:dyDescent="0.25">
      <c r="A33" s="2">
        <v>45495</v>
      </c>
      <c r="B33" s="1" t="s">
        <v>29</v>
      </c>
      <c r="C33">
        <v>804</v>
      </c>
      <c r="D33">
        <v>487</v>
      </c>
      <c r="E33">
        <v>306564</v>
      </c>
      <c r="F33">
        <v>5.52</v>
      </c>
      <c r="G33">
        <v>26452</v>
      </c>
    </row>
    <row r="34" spans="1:7" x14ac:dyDescent="0.25">
      <c r="A34" s="2">
        <v>45502</v>
      </c>
      <c r="B34" s="1" t="s">
        <v>33</v>
      </c>
      <c r="C34">
        <v>653</v>
      </c>
      <c r="D34">
        <v>112</v>
      </c>
      <c r="E34">
        <v>23664</v>
      </c>
      <c r="F34">
        <v>4.05</v>
      </c>
      <c r="G34">
        <v>15353</v>
      </c>
    </row>
    <row r="35" spans="1:7" x14ac:dyDescent="0.25">
      <c r="A35" s="2">
        <v>45502</v>
      </c>
      <c r="B35" s="1" t="s">
        <v>40</v>
      </c>
      <c r="C35">
        <v>160</v>
      </c>
      <c r="D35">
        <v>478</v>
      </c>
      <c r="E35">
        <v>435034</v>
      </c>
      <c r="F35">
        <v>7.73</v>
      </c>
      <c r="G35">
        <v>4839</v>
      </c>
    </row>
    <row r="36" spans="1:7" x14ac:dyDescent="0.25">
      <c r="A36" s="2">
        <v>45502</v>
      </c>
      <c r="B36" s="1" t="s">
        <v>16</v>
      </c>
      <c r="C36">
        <v>1756</v>
      </c>
      <c r="D36">
        <v>261</v>
      </c>
      <c r="E36">
        <v>287574</v>
      </c>
      <c r="F36">
        <v>4.3600000000000003</v>
      </c>
      <c r="G36">
        <v>39272</v>
      </c>
    </row>
    <row r="37" spans="1:7" x14ac:dyDescent="0.25">
      <c r="A37" s="2">
        <v>45502</v>
      </c>
      <c r="B37" s="1" t="s">
        <v>29</v>
      </c>
      <c r="C37">
        <v>576</v>
      </c>
      <c r="D37">
        <v>101</v>
      </c>
      <c r="E37">
        <v>62499</v>
      </c>
      <c r="F37">
        <v>3.48</v>
      </c>
      <c r="G37">
        <v>16804</v>
      </c>
    </row>
    <row r="38" spans="1:7" x14ac:dyDescent="0.25">
      <c r="A38" s="2">
        <v>45509</v>
      </c>
      <c r="B38" s="1" t="s">
        <v>33</v>
      </c>
      <c r="C38">
        <v>645</v>
      </c>
      <c r="D38">
        <v>293</v>
      </c>
      <c r="E38">
        <v>437968</v>
      </c>
      <c r="F38">
        <v>7.83</v>
      </c>
      <c r="G38">
        <v>49303</v>
      </c>
    </row>
    <row r="39" spans="1:7" x14ac:dyDescent="0.25">
      <c r="A39" s="2">
        <v>45509</v>
      </c>
      <c r="B39" s="1" t="s">
        <v>40</v>
      </c>
      <c r="C39">
        <v>214</v>
      </c>
      <c r="D39">
        <v>411</v>
      </c>
      <c r="E39">
        <v>125034</v>
      </c>
      <c r="F39">
        <v>6.11</v>
      </c>
      <c r="G39">
        <v>26455</v>
      </c>
    </row>
    <row r="40" spans="1:7" x14ac:dyDescent="0.25">
      <c r="A40" s="2">
        <v>45509</v>
      </c>
      <c r="B40" s="1" t="s">
        <v>16</v>
      </c>
      <c r="C40">
        <v>826</v>
      </c>
      <c r="D40">
        <v>498</v>
      </c>
      <c r="E40">
        <v>449994</v>
      </c>
      <c r="F40">
        <v>9.43</v>
      </c>
      <c r="G40">
        <v>12384</v>
      </c>
    </row>
    <row r="41" spans="1:7" x14ac:dyDescent="0.25">
      <c r="A41" s="2">
        <v>45509</v>
      </c>
      <c r="B41" s="1" t="s">
        <v>29</v>
      </c>
      <c r="C41">
        <v>460</v>
      </c>
      <c r="D41">
        <v>141</v>
      </c>
      <c r="E41">
        <v>320650</v>
      </c>
      <c r="F41">
        <v>4.04</v>
      </c>
      <c r="G41">
        <v>49372</v>
      </c>
    </row>
    <row r="42" spans="1:7" x14ac:dyDescent="0.25">
      <c r="A42" s="2">
        <v>45516</v>
      </c>
      <c r="B42" s="1" t="s">
        <v>33</v>
      </c>
      <c r="C42">
        <v>1528</v>
      </c>
      <c r="D42">
        <v>203</v>
      </c>
      <c r="E42">
        <v>489188</v>
      </c>
      <c r="F42">
        <v>6.23</v>
      </c>
      <c r="G42">
        <v>47101</v>
      </c>
    </row>
    <row r="43" spans="1:7" x14ac:dyDescent="0.25">
      <c r="A43" s="2">
        <v>45516</v>
      </c>
      <c r="B43" s="1" t="s">
        <v>40</v>
      </c>
      <c r="C43">
        <v>1534</v>
      </c>
      <c r="D43">
        <v>200</v>
      </c>
      <c r="E43">
        <v>307612</v>
      </c>
      <c r="F43">
        <v>6.01</v>
      </c>
      <c r="G43">
        <v>37903</v>
      </c>
    </row>
    <row r="44" spans="1:7" x14ac:dyDescent="0.25">
      <c r="A44" s="2">
        <v>45516</v>
      </c>
      <c r="B44" s="1" t="s">
        <v>16</v>
      </c>
      <c r="C44">
        <v>485</v>
      </c>
      <c r="D44">
        <v>448</v>
      </c>
      <c r="E44">
        <v>434883</v>
      </c>
      <c r="F44">
        <v>8.5500000000000007</v>
      </c>
      <c r="G44">
        <v>33258</v>
      </c>
    </row>
    <row r="45" spans="1:7" x14ac:dyDescent="0.25">
      <c r="A45" s="2">
        <v>45516</v>
      </c>
      <c r="B45" s="1" t="s">
        <v>29</v>
      </c>
      <c r="C45">
        <v>1210</v>
      </c>
      <c r="D45">
        <v>178</v>
      </c>
      <c r="E45">
        <v>102042</v>
      </c>
      <c r="F45">
        <v>5.42</v>
      </c>
      <c r="G45">
        <v>6915</v>
      </c>
    </row>
    <row r="46" spans="1:7" x14ac:dyDescent="0.25">
      <c r="A46" s="2">
        <v>45523</v>
      </c>
      <c r="B46" s="1" t="s">
        <v>33</v>
      </c>
      <c r="C46">
        <v>215</v>
      </c>
      <c r="D46">
        <v>139</v>
      </c>
      <c r="E46">
        <v>325444</v>
      </c>
      <c r="F46">
        <v>3.25</v>
      </c>
      <c r="G46">
        <v>35501</v>
      </c>
    </row>
    <row r="47" spans="1:7" x14ac:dyDescent="0.25">
      <c r="A47" s="2">
        <v>45523</v>
      </c>
      <c r="B47" s="1" t="s">
        <v>40</v>
      </c>
      <c r="C47">
        <v>1078</v>
      </c>
      <c r="D47">
        <v>20</v>
      </c>
      <c r="E47">
        <v>183924</v>
      </c>
      <c r="F47">
        <v>8.84</v>
      </c>
      <c r="G47">
        <v>14203</v>
      </c>
    </row>
    <row r="48" spans="1:7" x14ac:dyDescent="0.25">
      <c r="A48" s="2">
        <v>45523</v>
      </c>
      <c r="B48" s="1" t="s">
        <v>16</v>
      </c>
      <c r="C48">
        <v>1751</v>
      </c>
      <c r="D48">
        <v>86</v>
      </c>
      <c r="E48">
        <v>188655</v>
      </c>
      <c r="F48">
        <v>7.24</v>
      </c>
      <c r="G48">
        <v>22206</v>
      </c>
    </row>
    <row r="49" spans="1:7" x14ac:dyDescent="0.25">
      <c r="A49" s="2">
        <v>45523</v>
      </c>
      <c r="B49" s="1" t="s">
        <v>29</v>
      </c>
      <c r="C49">
        <v>221</v>
      </c>
      <c r="D49">
        <v>31</v>
      </c>
      <c r="E49">
        <v>87443</v>
      </c>
      <c r="F49">
        <v>6.19</v>
      </c>
      <c r="G49">
        <v>10283</v>
      </c>
    </row>
    <row r="50" spans="1:7" x14ac:dyDescent="0.25">
      <c r="A50" s="2">
        <v>45530</v>
      </c>
      <c r="B50" s="1" t="s">
        <v>33</v>
      </c>
      <c r="C50">
        <v>1685</v>
      </c>
      <c r="D50">
        <v>76</v>
      </c>
      <c r="E50">
        <v>453799</v>
      </c>
      <c r="F50">
        <v>5.71</v>
      </c>
      <c r="G50">
        <v>24913</v>
      </c>
    </row>
    <row r="51" spans="1:7" x14ac:dyDescent="0.25">
      <c r="A51" s="2">
        <v>45530</v>
      </c>
      <c r="B51" s="1" t="s">
        <v>40</v>
      </c>
      <c r="C51">
        <v>248</v>
      </c>
      <c r="D51">
        <v>211</v>
      </c>
      <c r="E51">
        <v>379380</v>
      </c>
      <c r="F51">
        <v>9.0399999999999991</v>
      </c>
      <c r="G51">
        <v>26925</v>
      </c>
    </row>
    <row r="52" spans="1:7" x14ac:dyDescent="0.25">
      <c r="A52" s="2">
        <v>45530</v>
      </c>
      <c r="B52" s="1" t="s">
        <v>16</v>
      </c>
      <c r="C52">
        <v>1300</v>
      </c>
      <c r="D52">
        <v>71</v>
      </c>
      <c r="E52">
        <v>186454</v>
      </c>
      <c r="F52">
        <v>3.91</v>
      </c>
      <c r="G52">
        <v>9942</v>
      </c>
    </row>
    <row r="53" spans="1:7" x14ac:dyDescent="0.25">
      <c r="A53" s="2">
        <v>45530</v>
      </c>
      <c r="B53" s="1" t="s">
        <v>29</v>
      </c>
      <c r="C53">
        <v>422</v>
      </c>
      <c r="D53">
        <v>394</v>
      </c>
      <c r="E53">
        <v>239044</v>
      </c>
      <c r="F53">
        <v>7.83</v>
      </c>
      <c r="G53">
        <v>32929</v>
      </c>
    </row>
    <row r="54" spans="1:7" x14ac:dyDescent="0.25">
      <c r="A54" s="2">
        <v>45537</v>
      </c>
      <c r="B54" s="1" t="s">
        <v>33</v>
      </c>
      <c r="C54">
        <v>1429</v>
      </c>
      <c r="D54">
        <v>182</v>
      </c>
      <c r="E54">
        <v>101332</v>
      </c>
      <c r="F54">
        <v>7.16</v>
      </c>
      <c r="G54">
        <v>37829</v>
      </c>
    </row>
    <row r="55" spans="1:7" x14ac:dyDescent="0.25">
      <c r="A55" s="2">
        <v>45537</v>
      </c>
      <c r="B55" s="1" t="s">
        <v>40</v>
      </c>
      <c r="C55">
        <v>1520</v>
      </c>
      <c r="D55">
        <v>475</v>
      </c>
      <c r="E55">
        <v>496982</v>
      </c>
      <c r="F55">
        <v>6.41</v>
      </c>
      <c r="G55">
        <v>24384</v>
      </c>
    </row>
    <row r="56" spans="1:7" x14ac:dyDescent="0.25">
      <c r="A56" s="2">
        <v>45537</v>
      </c>
      <c r="B56" s="1" t="s">
        <v>16</v>
      </c>
      <c r="C56">
        <v>557</v>
      </c>
      <c r="D56">
        <v>360</v>
      </c>
      <c r="E56">
        <v>318779</v>
      </c>
      <c r="F56">
        <v>8.02</v>
      </c>
      <c r="G56">
        <v>25797</v>
      </c>
    </row>
    <row r="57" spans="1:7" x14ac:dyDescent="0.25">
      <c r="A57" s="2">
        <v>45537</v>
      </c>
      <c r="B57" s="1" t="s">
        <v>29</v>
      </c>
      <c r="C57">
        <v>728</v>
      </c>
      <c r="D57">
        <v>395</v>
      </c>
      <c r="E57">
        <v>370971</v>
      </c>
      <c r="F57">
        <v>3.86</v>
      </c>
      <c r="G57">
        <v>12646</v>
      </c>
    </row>
    <row r="58" spans="1:7" x14ac:dyDescent="0.25">
      <c r="A58" s="2">
        <v>45544</v>
      </c>
      <c r="B58" s="1" t="s">
        <v>33</v>
      </c>
      <c r="C58">
        <v>1592</v>
      </c>
      <c r="D58">
        <v>20</v>
      </c>
      <c r="E58">
        <v>378054</v>
      </c>
      <c r="F58">
        <v>9.09</v>
      </c>
      <c r="G58">
        <v>26663</v>
      </c>
    </row>
    <row r="59" spans="1:7" x14ac:dyDescent="0.25">
      <c r="A59" s="2">
        <v>45544</v>
      </c>
      <c r="B59" s="1" t="s">
        <v>40</v>
      </c>
      <c r="C59">
        <v>1842</v>
      </c>
      <c r="D59">
        <v>414</v>
      </c>
      <c r="E59">
        <v>307524</v>
      </c>
      <c r="F59">
        <v>1.76</v>
      </c>
      <c r="G59">
        <v>40478</v>
      </c>
    </row>
    <row r="60" spans="1:7" x14ac:dyDescent="0.25">
      <c r="A60" s="2">
        <v>45544</v>
      </c>
      <c r="B60" s="1" t="s">
        <v>16</v>
      </c>
      <c r="C60">
        <v>751</v>
      </c>
      <c r="D60">
        <v>491</v>
      </c>
      <c r="E60">
        <v>434047</v>
      </c>
      <c r="F60">
        <v>9.24</v>
      </c>
      <c r="G60">
        <v>15476</v>
      </c>
    </row>
    <row r="61" spans="1:7" x14ac:dyDescent="0.25">
      <c r="A61" s="2">
        <v>45544</v>
      </c>
      <c r="B61" s="1" t="s">
        <v>29</v>
      </c>
      <c r="C61">
        <v>1409</v>
      </c>
      <c r="D61">
        <v>309</v>
      </c>
      <c r="E61">
        <v>64583</v>
      </c>
      <c r="F61">
        <v>8.99</v>
      </c>
      <c r="G61">
        <v>10217</v>
      </c>
    </row>
    <row r="62" spans="1:7" x14ac:dyDescent="0.25">
      <c r="A62" s="2">
        <v>45551</v>
      </c>
      <c r="B62" s="1" t="s">
        <v>33</v>
      </c>
      <c r="C62">
        <v>778</v>
      </c>
      <c r="D62">
        <v>401</v>
      </c>
      <c r="E62">
        <v>50793</v>
      </c>
      <c r="F62">
        <v>3.4</v>
      </c>
      <c r="G62">
        <v>21939</v>
      </c>
    </row>
    <row r="63" spans="1:7" x14ac:dyDescent="0.25">
      <c r="A63" s="2">
        <v>45551</v>
      </c>
      <c r="B63" s="1" t="s">
        <v>40</v>
      </c>
      <c r="C63">
        <v>443</v>
      </c>
      <c r="D63">
        <v>345</v>
      </c>
      <c r="E63">
        <v>474162</v>
      </c>
      <c r="F63">
        <v>9.1999999999999993</v>
      </c>
      <c r="G63">
        <v>47462</v>
      </c>
    </row>
    <row r="64" spans="1:7" x14ac:dyDescent="0.25">
      <c r="A64" s="2">
        <v>45551</v>
      </c>
      <c r="B64" s="1" t="s">
        <v>16</v>
      </c>
      <c r="C64">
        <v>1472</v>
      </c>
      <c r="D64">
        <v>347</v>
      </c>
      <c r="E64">
        <v>392355</v>
      </c>
      <c r="F64">
        <v>8.59</v>
      </c>
      <c r="G64">
        <v>30270</v>
      </c>
    </row>
    <row r="65" spans="1:7" x14ac:dyDescent="0.25">
      <c r="A65" s="2">
        <v>45551</v>
      </c>
      <c r="B65" s="1" t="s">
        <v>29</v>
      </c>
      <c r="C65">
        <v>123</v>
      </c>
      <c r="D65">
        <v>155</v>
      </c>
      <c r="E65">
        <v>119934</v>
      </c>
      <c r="F65">
        <v>3.5</v>
      </c>
      <c r="G65">
        <v>5442</v>
      </c>
    </row>
    <row r="66" spans="1:7" x14ac:dyDescent="0.25">
      <c r="A66" s="2">
        <v>45558</v>
      </c>
      <c r="B66" s="1" t="s">
        <v>33</v>
      </c>
      <c r="C66">
        <v>817</v>
      </c>
      <c r="D66">
        <v>151</v>
      </c>
      <c r="E66">
        <v>422625</v>
      </c>
      <c r="F66">
        <v>2.36</v>
      </c>
      <c r="G66">
        <v>1083</v>
      </c>
    </row>
    <row r="67" spans="1:7" x14ac:dyDescent="0.25">
      <c r="A67" s="2">
        <v>45558</v>
      </c>
      <c r="B67" s="1" t="s">
        <v>40</v>
      </c>
      <c r="C67">
        <v>198</v>
      </c>
      <c r="D67">
        <v>217</v>
      </c>
      <c r="E67">
        <v>239753</v>
      </c>
      <c r="F67">
        <v>7.36</v>
      </c>
      <c r="G67">
        <v>11901</v>
      </c>
    </row>
    <row r="68" spans="1:7" x14ac:dyDescent="0.25">
      <c r="A68" s="2">
        <v>45558</v>
      </c>
      <c r="B68" s="1" t="s">
        <v>16</v>
      </c>
      <c r="C68">
        <v>1911</v>
      </c>
      <c r="D68">
        <v>231</v>
      </c>
      <c r="E68">
        <v>268516</v>
      </c>
      <c r="F68">
        <v>8.5500000000000007</v>
      </c>
      <c r="G68">
        <v>24018</v>
      </c>
    </row>
    <row r="69" spans="1:7" x14ac:dyDescent="0.25">
      <c r="A69" s="2">
        <v>45558</v>
      </c>
      <c r="B69" s="1" t="s">
        <v>29</v>
      </c>
      <c r="C69">
        <v>1218</v>
      </c>
      <c r="D69">
        <v>212</v>
      </c>
      <c r="E69">
        <v>63177</v>
      </c>
      <c r="F69">
        <v>8.1300000000000008</v>
      </c>
      <c r="G69">
        <v>38883</v>
      </c>
    </row>
    <row r="70" spans="1:7" x14ac:dyDescent="0.25">
      <c r="A70" s="2">
        <v>45565</v>
      </c>
      <c r="B70" s="1" t="s">
        <v>33</v>
      </c>
      <c r="C70">
        <v>1433</v>
      </c>
      <c r="D70">
        <v>408</v>
      </c>
      <c r="E70">
        <v>370269</v>
      </c>
      <c r="F70">
        <v>3.3</v>
      </c>
      <c r="G70">
        <v>30575</v>
      </c>
    </row>
    <row r="71" spans="1:7" x14ac:dyDescent="0.25">
      <c r="A71" s="2">
        <v>45565</v>
      </c>
      <c r="B71" s="1" t="s">
        <v>40</v>
      </c>
      <c r="C71">
        <v>250</v>
      </c>
      <c r="D71">
        <v>429</v>
      </c>
      <c r="E71">
        <v>453423</v>
      </c>
      <c r="F71">
        <v>1.77</v>
      </c>
      <c r="G71">
        <v>2315</v>
      </c>
    </row>
    <row r="72" spans="1:7" x14ac:dyDescent="0.25">
      <c r="A72" s="2">
        <v>45565</v>
      </c>
      <c r="B72" s="1" t="s">
        <v>16</v>
      </c>
      <c r="C72">
        <v>752</v>
      </c>
      <c r="D72">
        <v>153</v>
      </c>
      <c r="E72">
        <v>64906</v>
      </c>
      <c r="F72">
        <v>2.09</v>
      </c>
      <c r="G72">
        <v>12148</v>
      </c>
    </row>
    <row r="73" spans="1:7" x14ac:dyDescent="0.25">
      <c r="A73" s="2">
        <v>45565</v>
      </c>
      <c r="B73" s="1" t="s">
        <v>29</v>
      </c>
      <c r="C73">
        <v>1918</v>
      </c>
      <c r="D73">
        <v>212</v>
      </c>
      <c r="E73">
        <v>94360</v>
      </c>
      <c r="F73">
        <v>7.36</v>
      </c>
      <c r="G73">
        <v>36851</v>
      </c>
    </row>
    <row r="74" spans="1:7" x14ac:dyDescent="0.25">
      <c r="A74" s="2">
        <v>45572</v>
      </c>
      <c r="B74" s="1" t="s">
        <v>33</v>
      </c>
      <c r="C74">
        <v>1939</v>
      </c>
      <c r="D74">
        <v>67</v>
      </c>
      <c r="E74">
        <v>187183</v>
      </c>
      <c r="F74">
        <v>6.25</v>
      </c>
      <c r="G74">
        <v>41215</v>
      </c>
    </row>
    <row r="75" spans="1:7" x14ac:dyDescent="0.25">
      <c r="A75" s="2">
        <v>45572</v>
      </c>
      <c r="B75" s="1" t="s">
        <v>40</v>
      </c>
      <c r="C75">
        <v>1929</v>
      </c>
      <c r="D75">
        <v>267</v>
      </c>
      <c r="E75">
        <v>379363</v>
      </c>
      <c r="F75">
        <v>1.75</v>
      </c>
      <c r="G75">
        <v>43836</v>
      </c>
    </row>
    <row r="76" spans="1:7" x14ac:dyDescent="0.25">
      <c r="A76" s="2">
        <v>45572</v>
      </c>
      <c r="B76" s="1" t="s">
        <v>16</v>
      </c>
      <c r="C76">
        <v>437</v>
      </c>
      <c r="D76">
        <v>330</v>
      </c>
      <c r="E76">
        <v>476486</v>
      </c>
      <c r="F76">
        <v>4.97</v>
      </c>
      <c r="G76">
        <v>4509</v>
      </c>
    </row>
    <row r="77" spans="1:7" x14ac:dyDescent="0.25">
      <c r="A77" s="2">
        <v>45572</v>
      </c>
      <c r="B77" s="1" t="s">
        <v>29</v>
      </c>
      <c r="C77">
        <v>307</v>
      </c>
      <c r="D77">
        <v>189</v>
      </c>
      <c r="E77">
        <v>117767</v>
      </c>
      <c r="F77">
        <v>9.3000000000000007</v>
      </c>
      <c r="G77">
        <v>27822</v>
      </c>
    </row>
    <row r="78" spans="1:7" x14ac:dyDescent="0.25">
      <c r="A78" s="2">
        <v>45579</v>
      </c>
      <c r="B78" s="1" t="s">
        <v>33</v>
      </c>
      <c r="C78">
        <v>1527</v>
      </c>
      <c r="D78">
        <v>303</v>
      </c>
      <c r="E78">
        <v>388555</v>
      </c>
      <c r="F78">
        <v>8.9</v>
      </c>
      <c r="G78">
        <v>36397</v>
      </c>
    </row>
    <row r="79" spans="1:7" x14ac:dyDescent="0.25">
      <c r="A79" s="2">
        <v>45579</v>
      </c>
      <c r="B79" s="1" t="s">
        <v>40</v>
      </c>
      <c r="C79">
        <v>643</v>
      </c>
      <c r="D79">
        <v>358</v>
      </c>
      <c r="E79">
        <v>157599</v>
      </c>
      <c r="F79">
        <v>3.88</v>
      </c>
      <c r="G79">
        <v>7285</v>
      </c>
    </row>
    <row r="80" spans="1:7" x14ac:dyDescent="0.25">
      <c r="A80" s="2">
        <v>45579</v>
      </c>
      <c r="B80" s="1" t="s">
        <v>16</v>
      </c>
      <c r="C80">
        <v>201</v>
      </c>
      <c r="D80">
        <v>221</v>
      </c>
      <c r="E80">
        <v>309772</v>
      </c>
      <c r="F80">
        <v>5.9</v>
      </c>
      <c r="G80">
        <v>33174</v>
      </c>
    </row>
    <row r="81" spans="1:7" x14ac:dyDescent="0.25">
      <c r="A81" s="2">
        <v>45579</v>
      </c>
      <c r="B81" s="1" t="s">
        <v>29</v>
      </c>
      <c r="C81">
        <v>414</v>
      </c>
      <c r="D81">
        <v>47</v>
      </c>
      <c r="E81">
        <v>199178</v>
      </c>
      <c r="F81">
        <v>1.53</v>
      </c>
      <c r="G81">
        <v>6742</v>
      </c>
    </row>
    <row r="82" spans="1:7" x14ac:dyDescent="0.25">
      <c r="A82" s="2">
        <v>45586</v>
      </c>
      <c r="B82" s="1" t="s">
        <v>33</v>
      </c>
      <c r="C82">
        <v>703</v>
      </c>
      <c r="D82">
        <v>441</v>
      </c>
      <c r="E82">
        <v>357089</v>
      </c>
      <c r="F82">
        <v>6.5</v>
      </c>
      <c r="G82">
        <v>32478</v>
      </c>
    </row>
    <row r="83" spans="1:7" x14ac:dyDescent="0.25">
      <c r="A83" s="2">
        <v>45586</v>
      </c>
      <c r="B83" s="1" t="s">
        <v>40</v>
      </c>
      <c r="C83">
        <v>508</v>
      </c>
      <c r="D83">
        <v>69</v>
      </c>
      <c r="E83">
        <v>23492</v>
      </c>
      <c r="F83">
        <v>3.16</v>
      </c>
      <c r="G83">
        <v>42824</v>
      </c>
    </row>
    <row r="84" spans="1:7" x14ac:dyDescent="0.25">
      <c r="A84" s="2">
        <v>45586</v>
      </c>
      <c r="B84" s="1" t="s">
        <v>16</v>
      </c>
      <c r="C84">
        <v>697</v>
      </c>
      <c r="D84">
        <v>61</v>
      </c>
      <c r="E84">
        <v>258287</v>
      </c>
      <c r="F84">
        <v>8.25</v>
      </c>
      <c r="G84">
        <v>21208</v>
      </c>
    </row>
    <row r="85" spans="1:7" x14ac:dyDescent="0.25">
      <c r="A85" s="2">
        <v>45586</v>
      </c>
      <c r="B85" s="1" t="s">
        <v>29</v>
      </c>
      <c r="C85">
        <v>1707</v>
      </c>
      <c r="D85">
        <v>223</v>
      </c>
      <c r="E85">
        <v>256910</v>
      </c>
      <c r="F85">
        <v>5.41</v>
      </c>
      <c r="G85">
        <v>44321</v>
      </c>
    </row>
    <row r="86" spans="1:7" x14ac:dyDescent="0.25">
      <c r="A86" s="2">
        <v>45593</v>
      </c>
      <c r="B86" s="1" t="s">
        <v>33</v>
      </c>
      <c r="C86">
        <v>642</v>
      </c>
      <c r="D86">
        <v>66</v>
      </c>
      <c r="E86">
        <v>346522</v>
      </c>
      <c r="F86">
        <v>5.85</v>
      </c>
      <c r="G86">
        <v>13116</v>
      </c>
    </row>
    <row r="87" spans="1:7" x14ac:dyDescent="0.25">
      <c r="A87" s="2">
        <v>45593</v>
      </c>
      <c r="B87" s="1" t="s">
        <v>40</v>
      </c>
      <c r="C87">
        <v>859</v>
      </c>
      <c r="D87">
        <v>473</v>
      </c>
      <c r="E87">
        <v>209987</v>
      </c>
      <c r="F87">
        <v>4.46</v>
      </c>
      <c r="G87">
        <v>30214</v>
      </c>
    </row>
    <row r="88" spans="1:7" x14ac:dyDescent="0.25">
      <c r="A88" s="2">
        <v>45593</v>
      </c>
      <c r="B88" s="1" t="s">
        <v>16</v>
      </c>
      <c r="C88">
        <v>191</v>
      </c>
      <c r="D88">
        <v>154</v>
      </c>
      <c r="E88">
        <v>240550</v>
      </c>
      <c r="F88">
        <v>5.22</v>
      </c>
      <c r="G88">
        <v>15827</v>
      </c>
    </row>
    <row r="89" spans="1:7" x14ac:dyDescent="0.25">
      <c r="A89" s="2">
        <v>45593</v>
      </c>
      <c r="B89" s="1" t="s">
        <v>29</v>
      </c>
      <c r="C89">
        <v>1814</v>
      </c>
      <c r="D89">
        <v>157</v>
      </c>
      <c r="E89">
        <v>305827</v>
      </c>
      <c r="F89">
        <v>1.99</v>
      </c>
      <c r="G89">
        <v>46643</v>
      </c>
    </row>
    <row r="90" spans="1:7" x14ac:dyDescent="0.25">
      <c r="A90" s="2">
        <v>45600</v>
      </c>
      <c r="B90" s="1" t="s">
        <v>33</v>
      </c>
      <c r="C90">
        <v>1466</v>
      </c>
      <c r="D90">
        <v>69</v>
      </c>
      <c r="E90">
        <v>54935</v>
      </c>
      <c r="F90">
        <v>6.85</v>
      </c>
      <c r="G90">
        <v>36484</v>
      </c>
    </row>
    <row r="91" spans="1:7" x14ac:dyDescent="0.25">
      <c r="A91" s="2">
        <v>45600</v>
      </c>
      <c r="B91" s="1" t="s">
        <v>40</v>
      </c>
      <c r="C91">
        <v>947</v>
      </c>
      <c r="D91">
        <v>407</v>
      </c>
      <c r="E91">
        <v>319186</v>
      </c>
      <c r="F91">
        <v>3.32</v>
      </c>
      <c r="G91">
        <v>4996</v>
      </c>
    </row>
    <row r="92" spans="1:7" x14ac:dyDescent="0.25">
      <c r="A92" s="2">
        <v>45600</v>
      </c>
      <c r="B92" s="1" t="s">
        <v>16</v>
      </c>
      <c r="C92">
        <v>1821</v>
      </c>
      <c r="D92">
        <v>218</v>
      </c>
      <c r="E92">
        <v>439080</v>
      </c>
      <c r="F92">
        <v>5.68</v>
      </c>
      <c r="G92">
        <v>36095</v>
      </c>
    </row>
    <row r="93" spans="1:7" x14ac:dyDescent="0.25">
      <c r="A93" s="2">
        <v>45600</v>
      </c>
      <c r="B93" s="1" t="s">
        <v>29</v>
      </c>
      <c r="C93">
        <v>1507</v>
      </c>
      <c r="D93">
        <v>463</v>
      </c>
      <c r="E93">
        <v>258944</v>
      </c>
      <c r="F93">
        <v>6.08</v>
      </c>
      <c r="G93">
        <v>16443</v>
      </c>
    </row>
    <row r="94" spans="1:7" x14ac:dyDescent="0.25">
      <c r="A94" s="2">
        <v>45607</v>
      </c>
      <c r="B94" s="1" t="s">
        <v>33</v>
      </c>
      <c r="C94">
        <v>1075</v>
      </c>
      <c r="D94">
        <v>173</v>
      </c>
      <c r="E94">
        <v>51395</v>
      </c>
      <c r="F94">
        <v>4.66</v>
      </c>
      <c r="G94">
        <v>47812</v>
      </c>
    </row>
    <row r="95" spans="1:7" x14ac:dyDescent="0.25">
      <c r="A95" s="2">
        <v>45607</v>
      </c>
      <c r="B95" s="1" t="s">
        <v>40</v>
      </c>
      <c r="C95">
        <v>171</v>
      </c>
      <c r="D95">
        <v>277</v>
      </c>
      <c r="E95">
        <v>309483</v>
      </c>
      <c r="F95">
        <v>8.6999999999999993</v>
      </c>
      <c r="G95">
        <v>38452</v>
      </c>
    </row>
    <row r="96" spans="1:7" x14ac:dyDescent="0.25">
      <c r="A96" s="2">
        <v>45607</v>
      </c>
      <c r="B96" s="1" t="s">
        <v>16</v>
      </c>
      <c r="C96">
        <v>1487</v>
      </c>
      <c r="D96">
        <v>337</v>
      </c>
      <c r="E96">
        <v>87305</v>
      </c>
      <c r="F96">
        <v>2.46</v>
      </c>
      <c r="G96">
        <v>30428</v>
      </c>
    </row>
    <row r="97" spans="1:7" x14ac:dyDescent="0.25">
      <c r="A97" s="2">
        <v>45607</v>
      </c>
      <c r="B97" s="1" t="s">
        <v>29</v>
      </c>
      <c r="C97">
        <v>454</v>
      </c>
      <c r="D97">
        <v>105</v>
      </c>
      <c r="E97">
        <v>121091</v>
      </c>
      <c r="F97">
        <v>7.97</v>
      </c>
      <c r="G97">
        <v>9269</v>
      </c>
    </row>
    <row r="98" spans="1:7" x14ac:dyDescent="0.25">
      <c r="A98" s="2">
        <v>45614</v>
      </c>
      <c r="B98" s="1" t="s">
        <v>33</v>
      </c>
      <c r="C98">
        <v>187</v>
      </c>
      <c r="D98">
        <v>236</v>
      </c>
      <c r="E98">
        <v>51087</v>
      </c>
      <c r="F98">
        <v>9.41</v>
      </c>
      <c r="G98">
        <v>29533</v>
      </c>
    </row>
    <row r="99" spans="1:7" x14ac:dyDescent="0.25">
      <c r="A99" s="2">
        <v>45614</v>
      </c>
      <c r="B99" s="1" t="s">
        <v>40</v>
      </c>
      <c r="C99">
        <v>513</v>
      </c>
      <c r="D99">
        <v>441</v>
      </c>
      <c r="E99">
        <v>338847</v>
      </c>
      <c r="F99">
        <v>2.68</v>
      </c>
      <c r="G99">
        <v>39997</v>
      </c>
    </row>
    <row r="100" spans="1:7" x14ac:dyDescent="0.25">
      <c r="A100" s="2">
        <v>45614</v>
      </c>
      <c r="B100" s="1" t="s">
        <v>16</v>
      </c>
      <c r="C100">
        <v>628</v>
      </c>
      <c r="D100">
        <v>183</v>
      </c>
      <c r="E100">
        <v>487523</v>
      </c>
      <c r="F100">
        <v>7.32</v>
      </c>
      <c r="G100">
        <v>5391</v>
      </c>
    </row>
    <row r="101" spans="1:7" x14ac:dyDescent="0.25">
      <c r="A101" s="2">
        <v>45614</v>
      </c>
      <c r="B101" s="1" t="s">
        <v>29</v>
      </c>
      <c r="C101">
        <v>278</v>
      </c>
      <c r="D101">
        <v>218</v>
      </c>
      <c r="E101">
        <v>301695</v>
      </c>
      <c r="F101">
        <v>4.68</v>
      </c>
      <c r="G101">
        <v>22373</v>
      </c>
    </row>
    <row r="102" spans="1:7" x14ac:dyDescent="0.25">
      <c r="A102" s="2">
        <v>45621</v>
      </c>
      <c r="B102" s="1" t="s">
        <v>33</v>
      </c>
      <c r="C102">
        <v>1854</v>
      </c>
      <c r="D102">
        <v>161</v>
      </c>
      <c r="E102">
        <v>282466</v>
      </c>
      <c r="F102">
        <v>5.17</v>
      </c>
      <c r="G102">
        <v>1810</v>
      </c>
    </row>
    <row r="103" spans="1:7" x14ac:dyDescent="0.25">
      <c r="A103" s="2">
        <v>45621</v>
      </c>
      <c r="B103" s="1" t="s">
        <v>40</v>
      </c>
      <c r="C103">
        <v>1710</v>
      </c>
      <c r="D103">
        <v>378</v>
      </c>
      <c r="E103">
        <v>336661</v>
      </c>
      <c r="F103">
        <v>6.2</v>
      </c>
      <c r="G103">
        <v>28498</v>
      </c>
    </row>
    <row r="104" spans="1:7" x14ac:dyDescent="0.25">
      <c r="A104" s="2">
        <v>45621</v>
      </c>
      <c r="B104" s="1" t="s">
        <v>16</v>
      </c>
      <c r="C104">
        <v>330</v>
      </c>
      <c r="D104">
        <v>232</v>
      </c>
      <c r="E104">
        <v>88455</v>
      </c>
      <c r="F104">
        <v>2.69</v>
      </c>
      <c r="G104">
        <v>39530</v>
      </c>
    </row>
    <row r="105" spans="1:7" x14ac:dyDescent="0.25">
      <c r="A105" s="2">
        <v>45621</v>
      </c>
      <c r="B105" s="1" t="s">
        <v>29</v>
      </c>
      <c r="C105">
        <v>1293</v>
      </c>
      <c r="D105">
        <v>408</v>
      </c>
      <c r="E105">
        <v>62535</v>
      </c>
      <c r="F105">
        <v>8.9</v>
      </c>
      <c r="G105">
        <v>37876</v>
      </c>
    </row>
    <row r="106" spans="1:7" x14ac:dyDescent="0.25">
      <c r="A106" s="2">
        <v>45628</v>
      </c>
      <c r="B106" s="1" t="s">
        <v>33</v>
      </c>
      <c r="C106">
        <v>1696</v>
      </c>
      <c r="D106">
        <v>71</v>
      </c>
      <c r="E106">
        <v>421957</v>
      </c>
      <c r="F106">
        <v>3.79</v>
      </c>
      <c r="G106">
        <v>36103</v>
      </c>
    </row>
    <row r="107" spans="1:7" x14ac:dyDescent="0.25">
      <c r="A107" s="2">
        <v>45628</v>
      </c>
      <c r="B107" s="1" t="s">
        <v>40</v>
      </c>
      <c r="C107">
        <v>1902</v>
      </c>
      <c r="D107">
        <v>196</v>
      </c>
      <c r="E107">
        <v>470269</v>
      </c>
      <c r="F107">
        <v>4.79</v>
      </c>
      <c r="G107">
        <v>26103</v>
      </c>
    </row>
    <row r="108" spans="1:7" x14ac:dyDescent="0.25">
      <c r="A108" s="2">
        <v>45628</v>
      </c>
      <c r="B108" s="1" t="s">
        <v>16</v>
      </c>
      <c r="C108">
        <v>1441</v>
      </c>
      <c r="D108">
        <v>268</v>
      </c>
      <c r="E108">
        <v>309904</v>
      </c>
      <c r="F108">
        <v>6.37</v>
      </c>
      <c r="G108">
        <v>3455</v>
      </c>
    </row>
    <row r="109" spans="1:7" x14ac:dyDescent="0.25">
      <c r="A109" s="2">
        <v>45628</v>
      </c>
      <c r="B109" s="1" t="s">
        <v>29</v>
      </c>
      <c r="C109">
        <v>452</v>
      </c>
      <c r="D109">
        <v>161</v>
      </c>
      <c r="E109">
        <v>221274</v>
      </c>
      <c r="F109">
        <v>2.65</v>
      </c>
      <c r="G109">
        <v>40888</v>
      </c>
    </row>
    <row r="110" spans="1:7" x14ac:dyDescent="0.25">
      <c r="A110" s="2">
        <v>45635</v>
      </c>
      <c r="B110" s="1" t="s">
        <v>33</v>
      </c>
      <c r="C110">
        <v>1494</v>
      </c>
      <c r="D110">
        <v>375</v>
      </c>
      <c r="E110">
        <v>220616</v>
      </c>
      <c r="F110">
        <v>1.81</v>
      </c>
      <c r="G110">
        <v>22724</v>
      </c>
    </row>
    <row r="111" spans="1:7" x14ac:dyDescent="0.25">
      <c r="A111" s="2">
        <v>45635</v>
      </c>
      <c r="B111" s="1" t="s">
        <v>40</v>
      </c>
      <c r="C111">
        <v>1514</v>
      </c>
      <c r="D111">
        <v>141</v>
      </c>
      <c r="E111">
        <v>35842</v>
      </c>
      <c r="F111">
        <v>7.47</v>
      </c>
      <c r="G111">
        <v>18601</v>
      </c>
    </row>
    <row r="112" spans="1:7" x14ac:dyDescent="0.25">
      <c r="A112" s="2">
        <v>45635</v>
      </c>
      <c r="B112" s="1" t="s">
        <v>16</v>
      </c>
      <c r="C112">
        <v>1937</v>
      </c>
      <c r="D112">
        <v>210</v>
      </c>
      <c r="E112">
        <v>20607</v>
      </c>
      <c r="F112">
        <v>4.2</v>
      </c>
      <c r="G112">
        <v>20861</v>
      </c>
    </row>
    <row r="113" spans="1:7" x14ac:dyDescent="0.25">
      <c r="A113" s="2">
        <v>45635</v>
      </c>
      <c r="B113" s="1" t="s">
        <v>29</v>
      </c>
      <c r="C113">
        <v>736</v>
      </c>
      <c r="D113">
        <v>163</v>
      </c>
      <c r="E113">
        <v>451894</v>
      </c>
      <c r="F113">
        <v>5.43</v>
      </c>
      <c r="G113">
        <v>46625</v>
      </c>
    </row>
    <row r="114" spans="1:7" x14ac:dyDescent="0.25">
      <c r="A114" s="2">
        <v>45642</v>
      </c>
      <c r="B114" s="1" t="s">
        <v>33</v>
      </c>
      <c r="C114">
        <v>1502</v>
      </c>
      <c r="D114">
        <v>70</v>
      </c>
      <c r="E114">
        <v>465553</v>
      </c>
      <c r="F114">
        <v>3.32</v>
      </c>
      <c r="G114">
        <v>20692</v>
      </c>
    </row>
    <row r="115" spans="1:7" x14ac:dyDescent="0.25">
      <c r="A115" s="2">
        <v>45642</v>
      </c>
      <c r="B115" s="1" t="s">
        <v>40</v>
      </c>
      <c r="C115">
        <v>1623</v>
      </c>
      <c r="D115">
        <v>246</v>
      </c>
      <c r="E115">
        <v>415815</v>
      </c>
      <c r="F115">
        <v>8.11</v>
      </c>
      <c r="G115">
        <v>18656</v>
      </c>
    </row>
    <row r="116" spans="1:7" x14ac:dyDescent="0.25">
      <c r="A116" s="2">
        <v>45642</v>
      </c>
      <c r="B116" s="1" t="s">
        <v>16</v>
      </c>
      <c r="C116">
        <v>1592</v>
      </c>
      <c r="D116">
        <v>233</v>
      </c>
      <c r="E116">
        <v>327183</v>
      </c>
      <c r="F116">
        <v>6.66</v>
      </c>
      <c r="G116">
        <v>13316</v>
      </c>
    </row>
    <row r="117" spans="1:7" x14ac:dyDescent="0.25">
      <c r="A117" s="2">
        <v>45642</v>
      </c>
      <c r="B117" s="1" t="s">
        <v>29</v>
      </c>
      <c r="C117">
        <v>1004</v>
      </c>
      <c r="D117">
        <v>128</v>
      </c>
      <c r="E117">
        <v>488901</v>
      </c>
      <c r="F117">
        <v>8.09</v>
      </c>
      <c r="G117">
        <v>49558</v>
      </c>
    </row>
    <row r="118" spans="1:7" x14ac:dyDescent="0.25">
      <c r="A118" s="2">
        <v>45649</v>
      </c>
      <c r="B118" s="1" t="s">
        <v>33</v>
      </c>
      <c r="C118">
        <v>1092</v>
      </c>
      <c r="D118">
        <v>408</v>
      </c>
      <c r="E118">
        <v>280795</v>
      </c>
      <c r="F118">
        <v>8.44</v>
      </c>
      <c r="G118">
        <v>4683</v>
      </c>
    </row>
    <row r="119" spans="1:7" x14ac:dyDescent="0.25">
      <c r="A119" s="2">
        <v>45649</v>
      </c>
      <c r="B119" s="1" t="s">
        <v>40</v>
      </c>
      <c r="C119">
        <v>1155</v>
      </c>
      <c r="D119">
        <v>425</v>
      </c>
      <c r="E119">
        <v>93347</v>
      </c>
      <c r="F119">
        <v>2.02</v>
      </c>
      <c r="G119">
        <v>47502</v>
      </c>
    </row>
    <row r="120" spans="1:7" x14ac:dyDescent="0.25">
      <c r="A120" s="2">
        <v>45649</v>
      </c>
      <c r="B120" s="1" t="s">
        <v>16</v>
      </c>
      <c r="C120">
        <v>1137</v>
      </c>
      <c r="D120">
        <v>226</v>
      </c>
      <c r="E120">
        <v>81119</v>
      </c>
      <c r="F120">
        <v>7.74</v>
      </c>
      <c r="G120">
        <v>35359</v>
      </c>
    </row>
    <row r="121" spans="1:7" x14ac:dyDescent="0.25">
      <c r="A121" s="2">
        <v>45649</v>
      </c>
      <c r="B121" s="1" t="s">
        <v>29</v>
      </c>
      <c r="C121">
        <v>1900</v>
      </c>
      <c r="D121">
        <v>311</v>
      </c>
      <c r="E121">
        <v>25177</v>
      </c>
      <c r="F121">
        <v>2.89</v>
      </c>
      <c r="G121">
        <v>14154</v>
      </c>
    </row>
    <row r="122" spans="1:7" x14ac:dyDescent="0.25">
      <c r="A122" s="2">
        <v>45656</v>
      </c>
      <c r="B122" s="1" t="s">
        <v>33</v>
      </c>
      <c r="C122">
        <v>1814</v>
      </c>
      <c r="D122">
        <v>49</v>
      </c>
      <c r="E122">
        <v>140804</v>
      </c>
      <c r="F122">
        <v>1.76</v>
      </c>
      <c r="G122">
        <v>4313</v>
      </c>
    </row>
    <row r="123" spans="1:7" x14ac:dyDescent="0.25">
      <c r="A123" s="2">
        <v>45656</v>
      </c>
      <c r="B123" s="1" t="s">
        <v>40</v>
      </c>
      <c r="C123">
        <v>1980</v>
      </c>
      <c r="D123">
        <v>204</v>
      </c>
      <c r="E123">
        <v>379431</v>
      </c>
      <c r="F123">
        <v>3.09</v>
      </c>
      <c r="G123">
        <v>25140</v>
      </c>
    </row>
    <row r="124" spans="1:7" x14ac:dyDescent="0.25">
      <c r="A124" s="2">
        <v>45656</v>
      </c>
      <c r="B124" s="1" t="s">
        <v>16</v>
      </c>
      <c r="C124">
        <v>1786</v>
      </c>
      <c r="D124">
        <v>257</v>
      </c>
      <c r="E124">
        <v>274831</v>
      </c>
      <c r="F124">
        <v>4.68</v>
      </c>
      <c r="G124">
        <v>9118</v>
      </c>
    </row>
    <row r="125" spans="1:7" x14ac:dyDescent="0.25">
      <c r="A125" s="2">
        <v>45656</v>
      </c>
      <c r="B125" s="1" t="s">
        <v>29</v>
      </c>
      <c r="C125">
        <v>1495</v>
      </c>
      <c r="D125">
        <v>35</v>
      </c>
      <c r="E125">
        <v>136845</v>
      </c>
      <c r="F125">
        <v>4.4800000000000004</v>
      </c>
      <c r="G125">
        <v>39931</v>
      </c>
    </row>
    <row r="126" spans="1:7" x14ac:dyDescent="0.25">
      <c r="A126" s="2">
        <v>45663</v>
      </c>
      <c r="B126" s="1" t="s">
        <v>33</v>
      </c>
      <c r="C126">
        <v>1013</v>
      </c>
      <c r="D126">
        <v>110</v>
      </c>
      <c r="E126">
        <v>466382</v>
      </c>
      <c r="F126">
        <v>5.3</v>
      </c>
      <c r="G126">
        <v>37132</v>
      </c>
    </row>
    <row r="127" spans="1:7" x14ac:dyDescent="0.25">
      <c r="A127" s="2">
        <v>45663</v>
      </c>
      <c r="B127" s="1" t="s">
        <v>40</v>
      </c>
      <c r="C127">
        <v>816</v>
      </c>
      <c r="D127">
        <v>196</v>
      </c>
      <c r="E127">
        <v>95728</v>
      </c>
      <c r="F127">
        <v>8.1999999999999993</v>
      </c>
      <c r="G127">
        <v>17951</v>
      </c>
    </row>
    <row r="128" spans="1:7" x14ac:dyDescent="0.25">
      <c r="A128" s="2">
        <v>45663</v>
      </c>
      <c r="B128" s="1" t="s">
        <v>16</v>
      </c>
      <c r="C128">
        <v>1633</v>
      </c>
      <c r="D128">
        <v>445</v>
      </c>
      <c r="E128">
        <v>371156</v>
      </c>
      <c r="F128">
        <v>2.2200000000000002</v>
      </c>
      <c r="G128">
        <v>2798</v>
      </c>
    </row>
    <row r="129" spans="1:7" x14ac:dyDescent="0.25">
      <c r="A129" s="2">
        <v>45663</v>
      </c>
      <c r="B129" s="1" t="s">
        <v>29</v>
      </c>
      <c r="C129">
        <v>891</v>
      </c>
      <c r="D129">
        <v>45</v>
      </c>
      <c r="E129">
        <v>95410</v>
      </c>
      <c r="F129">
        <v>8.33</v>
      </c>
      <c r="G129">
        <v>15045</v>
      </c>
    </row>
    <row r="130" spans="1:7" x14ac:dyDescent="0.25">
      <c r="A130" s="2">
        <v>45670</v>
      </c>
      <c r="B130" s="1" t="s">
        <v>33</v>
      </c>
      <c r="C130">
        <v>1855</v>
      </c>
      <c r="D130">
        <v>133</v>
      </c>
      <c r="E130">
        <v>349413</v>
      </c>
      <c r="F130">
        <v>3.3</v>
      </c>
      <c r="G130">
        <v>14548</v>
      </c>
    </row>
    <row r="131" spans="1:7" x14ac:dyDescent="0.25">
      <c r="A131" s="2">
        <v>45670</v>
      </c>
      <c r="B131" s="1" t="s">
        <v>40</v>
      </c>
      <c r="C131">
        <v>651</v>
      </c>
      <c r="D131">
        <v>353</v>
      </c>
      <c r="E131">
        <v>224699</v>
      </c>
      <c r="F131">
        <v>5.61</v>
      </c>
      <c r="G131">
        <v>45708</v>
      </c>
    </row>
    <row r="132" spans="1:7" x14ac:dyDescent="0.25">
      <c r="A132" s="2">
        <v>45670</v>
      </c>
      <c r="B132" s="1" t="s">
        <v>16</v>
      </c>
      <c r="C132">
        <v>118</v>
      </c>
      <c r="D132">
        <v>262</v>
      </c>
      <c r="E132">
        <v>487896</v>
      </c>
      <c r="F132">
        <v>2.56</v>
      </c>
      <c r="G132">
        <v>12350</v>
      </c>
    </row>
    <row r="133" spans="1:7" x14ac:dyDescent="0.25">
      <c r="A133" s="2">
        <v>45670</v>
      </c>
      <c r="B133" s="1" t="s">
        <v>29</v>
      </c>
      <c r="C133">
        <v>1331</v>
      </c>
      <c r="D133">
        <v>430</v>
      </c>
      <c r="E133">
        <v>14437</v>
      </c>
      <c r="F133">
        <v>3.29</v>
      </c>
      <c r="G133">
        <v>40868</v>
      </c>
    </row>
    <row r="134" spans="1:7" x14ac:dyDescent="0.25">
      <c r="A134" s="2">
        <v>45677</v>
      </c>
      <c r="B134" s="1" t="s">
        <v>33</v>
      </c>
      <c r="C134">
        <v>1748</v>
      </c>
      <c r="D134">
        <v>176</v>
      </c>
      <c r="E134">
        <v>383681</v>
      </c>
      <c r="F134">
        <v>9.24</v>
      </c>
      <c r="G134">
        <v>43122</v>
      </c>
    </row>
    <row r="135" spans="1:7" x14ac:dyDescent="0.25">
      <c r="A135" s="2">
        <v>45677</v>
      </c>
      <c r="B135" s="1" t="s">
        <v>40</v>
      </c>
      <c r="C135">
        <v>663</v>
      </c>
      <c r="D135">
        <v>236</v>
      </c>
      <c r="E135">
        <v>479490</v>
      </c>
      <c r="F135">
        <v>4.51</v>
      </c>
      <c r="G135">
        <v>23853</v>
      </c>
    </row>
    <row r="136" spans="1:7" x14ac:dyDescent="0.25">
      <c r="A136" s="2">
        <v>45677</v>
      </c>
      <c r="B136" s="1" t="s">
        <v>16</v>
      </c>
      <c r="C136">
        <v>1040</v>
      </c>
      <c r="D136">
        <v>149</v>
      </c>
      <c r="E136">
        <v>124404</v>
      </c>
      <c r="F136">
        <v>5.23</v>
      </c>
      <c r="G136">
        <v>45380</v>
      </c>
    </row>
    <row r="137" spans="1:7" x14ac:dyDescent="0.25">
      <c r="A137" s="2">
        <v>45677</v>
      </c>
      <c r="B137" s="1" t="s">
        <v>29</v>
      </c>
      <c r="C137">
        <v>1166</v>
      </c>
      <c r="D137">
        <v>442</v>
      </c>
      <c r="E137">
        <v>336949</v>
      </c>
      <c r="F137">
        <v>4.68</v>
      </c>
      <c r="G137">
        <v>7705</v>
      </c>
    </row>
    <row r="138" spans="1:7" x14ac:dyDescent="0.25">
      <c r="A138" s="2">
        <v>45684</v>
      </c>
      <c r="B138" s="1" t="s">
        <v>33</v>
      </c>
      <c r="C138">
        <v>115</v>
      </c>
      <c r="D138">
        <v>281</v>
      </c>
      <c r="E138">
        <v>357265</v>
      </c>
      <c r="F138">
        <v>9.23</v>
      </c>
      <c r="G138">
        <v>25525</v>
      </c>
    </row>
    <row r="139" spans="1:7" x14ac:dyDescent="0.25">
      <c r="A139" s="2">
        <v>45684</v>
      </c>
      <c r="B139" s="1" t="s">
        <v>40</v>
      </c>
      <c r="C139">
        <v>1249</v>
      </c>
      <c r="D139">
        <v>351</v>
      </c>
      <c r="E139">
        <v>321307</v>
      </c>
      <c r="F139">
        <v>6.37</v>
      </c>
      <c r="G139">
        <v>20560</v>
      </c>
    </row>
    <row r="140" spans="1:7" x14ac:dyDescent="0.25">
      <c r="A140" s="2">
        <v>45684</v>
      </c>
      <c r="B140" s="1" t="s">
        <v>16</v>
      </c>
      <c r="C140">
        <v>1501</v>
      </c>
      <c r="D140">
        <v>75</v>
      </c>
      <c r="E140">
        <v>262569</v>
      </c>
      <c r="F140">
        <v>2.0099999999999998</v>
      </c>
      <c r="G140">
        <v>19119</v>
      </c>
    </row>
    <row r="141" spans="1:7" x14ac:dyDescent="0.25">
      <c r="A141" s="2">
        <v>45684</v>
      </c>
      <c r="B141" s="1" t="s">
        <v>29</v>
      </c>
      <c r="C141">
        <v>1411</v>
      </c>
      <c r="D141">
        <v>186</v>
      </c>
      <c r="E141">
        <v>461669</v>
      </c>
      <c r="F141">
        <v>3.72</v>
      </c>
      <c r="G141">
        <v>43999</v>
      </c>
    </row>
    <row r="142" spans="1:7" x14ac:dyDescent="0.25">
      <c r="A142" s="2">
        <v>45691</v>
      </c>
      <c r="B142" s="1" t="s">
        <v>33</v>
      </c>
      <c r="C142">
        <v>1556</v>
      </c>
      <c r="D142">
        <v>476</v>
      </c>
      <c r="E142">
        <v>351556</v>
      </c>
      <c r="F142">
        <v>3.89</v>
      </c>
      <c r="G142">
        <v>10825</v>
      </c>
    </row>
    <row r="143" spans="1:7" x14ac:dyDescent="0.25">
      <c r="A143" s="2">
        <v>45691</v>
      </c>
      <c r="B143" s="1" t="s">
        <v>40</v>
      </c>
      <c r="C143">
        <v>1159</v>
      </c>
      <c r="D143">
        <v>411</v>
      </c>
      <c r="E143">
        <v>135987</v>
      </c>
      <c r="F143">
        <v>8.6999999999999993</v>
      </c>
      <c r="G143">
        <v>40323</v>
      </c>
    </row>
    <row r="144" spans="1:7" x14ac:dyDescent="0.25">
      <c r="A144" s="2">
        <v>45691</v>
      </c>
      <c r="B144" s="1" t="s">
        <v>16</v>
      </c>
      <c r="C144">
        <v>927</v>
      </c>
      <c r="D144">
        <v>358</v>
      </c>
      <c r="E144">
        <v>177554</v>
      </c>
      <c r="F144">
        <v>6.95</v>
      </c>
      <c r="G144">
        <v>48270</v>
      </c>
    </row>
    <row r="145" spans="1:7" x14ac:dyDescent="0.25">
      <c r="A145" s="2">
        <v>45691</v>
      </c>
      <c r="B145" s="1" t="s">
        <v>29</v>
      </c>
      <c r="C145">
        <v>152</v>
      </c>
      <c r="D145">
        <v>355</v>
      </c>
      <c r="E145">
        <v>270766</v>
      </c>
      <c r="F145">
        <v>9.48</v>
      </c>
      <c r="G145">
        <v>18001</v>
      </c>
    </row>
    <row r="146" spans="1:7" x14ac:dyDescent="0.25">
      <c r="A146" s="2">
        <v>45698</v>
      </c>
      <c r="B146" s="1" t="s">
        <v>33</v>
      </c>
      <c r="C146">
        <v>1957</v>
      </c>
      <c r="D146">
        <v>234</v>
      </c>
      <c r="E146">
        <v>222126</v>
      </c>
      <c r="F146">
        <v>4.6100000000000003</v>
      </c>
      <c r="G146">
        <v>3314</v>
      </c>
    </row>
    <row r="147" spans="1:7" x14ac:dyDescent="0.25">
      <c r="A147" s="2">
        <v>45698</v>
      </c>
      <c r="B147" s="1" t="s">
        <v>40</v>
      </c>
      <c r="C147">
        <v>1294</v>
      </c>
      <c r="D147">
        <v>382</v>
      </c>
      <c r="E147">
        <v>309914</v>
      </c>
      <c r="F147">
        <v>8.0299999999999994</v>
      </c>
      <c r="G147">
        <v>23489</v>
      </c>
    </row>
    <row r="148" spans="1:7" x14ac:dyDescent="0.25">
      <c r="A148" s="2">
        <v>45698</v>
      </c>
      <c r="B148" s="1" t="s">
        <v>16</v>
      </c>
      <c r="C148">
        <v>1587</v>
      </c>
      <c r="D148">
        <v>385</v>
      </c>
      <c r="E148">
        <v>126582</v>
      </c>
      <c r="F148">
        <v>6.99</v>
      </c>
      <c r="G148">
        <v>42832</v>
      </c>
    </row>
    <row r="149" spans="1:7" x14ac:dyDescent="0.25">
      <c r="A149" s="2">
        <v>45698</v>
      </c>
      <c r="B149" s="1" t="s">
        <v>29</v>
      </c>
      <c r="C149">
        <v>1707</v>
      </c>
      <c r="D149">
        <v>263</v>
      </c>
      <c r="E149">
        <v>485280</v>
      </c>
      <c r="F149">
        <v>9.0299999999999994</v>
      </c>
      <c r="G149">
        <v>24494</v>
      </c>
    </row>
    <row r="150" spans="1:7" x14ac:dyDescent="0.25">
      <c r="A150" s="2">
        <v>45705</v>
      </c>
      <c r="B150" s="1" t="s">
        <v>33</v>
      </c>
      <c r="C150">
        <v>1138</v>
      </c>
      <c r="D150">
        <v>173</v>
      </c>
      <c r="E150">
        <v>453243</v>
      </c>
      <c r="F150">
        <v>2.86</v>
      </c>
      <c r="G150">
        <v>44097</v>
      </c>
    </row>
    <row r="151" spans="1:7" x14ac:dyDescent="0.25">
      <c r="A151" s="2">
        <v>45705</v>
      </c>
      <c r="B151" s="1" t="s">
        <v>40</v>
      </c>
      <c r="C151">
        <v>1895</v>
      </c>
      <c r="D151">
        <v>305</v>
      </c>
      <c r="E151">
        <v>104967</v>
      </c>
      <c r="F151">
        <v>3.85</v>
      </c>
      <c r="G151">
        <v>31853</v>
      </c>
    </row>
    <row r="152" spans="1:7" x14ac:dyDescent="0.25">
      <c r="A152" s="2">
        <v>45705</v>
      </c>
      <c r="B152" s="1" t="s">
        <v>16</v>
      </c>
      <c r="C152">
        <v>362</v>
      </c>
      <c r="D152">
        <v>399</v>
      </c>
      <c r="E152">
        <v>145608</v>
      </c>
      <c r="F152">
        <v>7.3</v>
      </c>
      <c r="G152">
        <v>37636</v>
      </c>
    </row>
    <row r="153" spans="1:7" x14ac:dyDescent="0.25">
      <c r="A153" s="2">
        <v>45705</v>
      </c>
      <c r="B153" s="1" t="s">
        <v>29</v>
      </c>
      <c r="C153">
        <v>1662</v>
      </c>
      <c r="D153">
        <v>487</v>
      </c>
      <c r="E153">
        <v>105980</v>
      </c>
      <c r="F153">
        <v>9.08</v>
      </c>
      <c r="G153">
        <v>22996</v>
      </c>
    </row>
    <row r="154" spans="1:7" x14ac:dyDescent="0.25">
      <c r="A154" s="2">
        <v>45712</v>
      </c>
      <c r="B154" s="1" t="s">
        <v>33</v>
      </c>
      <c r="C154">
        <v>1440</v>
      </c>
      <c r="D154">
        <v>65</v>
      </c>
      <c r="E154">
        <v>126524</v>
      </c>
      <c r="F154">
        <v>4.34</v>
      </c>
      <c r="G154">
        <v>49772</v>
      </c>
    </row>
    <row r="155" spans="1:7" x14ac:dyDescent="0.25">
      <c r="A155" s="2">
        <v>45712</v>
      </c>
      <c r="B155" s="1" t="s">
        <v>40</v>
      </c>
      <c r="C155">
        <v>1884</v>
      </c>
      <c r="D155">
        <v>177</v>
      </c>
      <c r="E155">
        <v>230448</v>
      </c>
      <c r="F155">
        <v>7.8</v>
      </c>
      <c r="G155">
        <v>22713</v>
      </c>
    </row>
    <row r="156" spans="1:7" x14ac:dyDescent="0.25">
      <c r="A156" s="2">
        <v>45712</v>
      </c>
      <c r="B156" s="1" t="s">
        <v>16</v>
      </c>
      <c r="C156">
        <v>861</v>
      </c>
      <c r="D156">
        <v>153</v>
      </c>
      <c r="E156">
        <v>317007</v>
      </c>
      <c r="F156">
        <v>3.85</v>
      </c>
      <c r="G156">
        <v>8718</v>
      </c>
    </row>
    <row r="157" spans="1:7" x14ac:dyDescent="0.25">
      <c r="A157" s="2">
        <v>45712</v>
      </c>
      <c r="B157" s="1" t="s">
        <v>29</v>
      </c>
      <c r="C157">
        <v>1063</v>
      </c>
      <c r="D157">
        <v>47</v>
      </c>
      <c r="E157">
        <v>464239</v>
      </c>
      <c r="F157">
        <v>6.58</v>
      </c>
      <c r="G157">
        <v>39031</v>
      </c>
    </row>
    <row r="158" spans="1:7" x14ac:dyDescent="0.25">
      <c r="A158" s="2">
        <v>45719</v>
      </c>
      <c r="B158" s="1" t="s">
        <v>33</v>
      </c>
      <c r="C158">
        <v>1371</v>
      </c>
      <c r="D158">
        <v>56</v>
      </c>
      <c r="E158">
        <v>257579</v>
      </c>
      <c r="F158">
        <v>8.6199999999999992</v>
      </c>
      <c r="G158">
        <v>33799</v>
      </c>
    </row>
    <row r="159" spans="1:7" x14ac:dyDescent="0.25">
      <c r="A159" s="2">
        <v>45719</v>
      </c>
      <c r="B159" s="1" t="s">
        <v>40</v>
      </c>
      <c r="C159">
        <v>345</v>
      </c>
      <c r="D159">
        <v>464</v>
      </c>
      <c r="E159">
        <v>366881</v>
      </c>
      <c r="F159">
        <v>4.55</v>
      </c>
      <c r="G159">
        <v>20553</v>
      </c>
    </row>
    <row r="160" spans="1:7" x14ac:dyDescent="0.25">
      <c r="A160" s="2">
        <v>45719</v>
      </c>
      <c r="B160" s="1" t="s">
        <v>16</v>
      </c>
      <c r="C160">
        <v>946</v>
      </c>
      <c r="D160">
        <v>47</v>
      </c>
      <c r="E160">
        <v>466575</v>
      </c>
      <c r="F160">
        <v>8.33</v>
      </c>
      <c r="G160">
        <v>10002</v>
      </c>
    </row>
    <row r="161" spans="1:7" x14ac:dyDescent="0.25">
      <c r="A161" s="2">
        <v>45719</v>
      </c>
      <c r="B161" s="1" t="s">
        <v>29</v>
      </c>
      <c r="C161">
        <v>510</v>
      </c>
      <c r="D161">
        <v>195</v>
      </c>
      <c r="E161">
        <v>224534</v>
      </c>
      <c r="F161">
        <v>9.4</v>
      </c>
      <c r="G161">
        <v>30987</v>
      </c>
    </row>
    <row r="162" spans="1:7" x14ac:dyDescent="0.25">
      <c r="A162" s="2">
        <v>45726</v>
      </c>
      <c r="B162" s="1" t="s">
        <v>33</v>
      </c>
      <c r="C162">
        <v>393</v>
      </c>
      <c r="D162">
        <v>181</v>
      </c>
      <c r="E162">
        <v>462142</v>
      </c>
      <c r="F162">
        <v>7.23</v>
      </c>
      <c r="G162">
        <v>6296</v>
      </c>
    </row>
    <row r="163" spans="1:7" x14ac:dyDescent="0.25">
      <c r="A163" s="2">
        <v>45726</v>
      </c>
      <c r="B163" s="1" t="s">
        <v>40</v>
      </c>
      <c r="C163">
        <v>1098</v>
      </c>
      <c r="D163">
        <v>190</v>
      </c>
      <c r="E163">
        <v>340842</v>
      </c>
      <c r="F163">
        <v>9.39</v>
      </c>
      <c r="G163">
        <v>21539</v>
      </c>
    </row>
    <row r="164" spans="1:7" x14ac:dyDescent="0.25">
      <c r="A164" s="2">
        <v>45726</v>
      </c>
      <c r="B164" s="1" t="s">
        <v>16</v>
      </c>
      <c r="C164">
        <v>1399</v>
      </c>
      <c r="D164">
        <v>49</v>
      </c>
      <c r="E164">
        <v>12471</v>
      </c>
      <c r="F164">
        <v>5.12</v>
      </c>
      <c r="G164">
        <v>14722</v>
      </c>
    </row>
    <row r="165" spans="1:7" x14ac:dyDescent="0.25">
      <c r="A165" s="2">
        <v>45726</v>
      </c>
      <c r="B165" s="1" t="s">
        <v>29</v>
      </c>
      <c r="C165">
        <v>1658</v>
      </c>
      <c r="D165">
        <v>416</v>
      </c>
      <c r="E165">
        <v>98397</v>
      </c>
      <c r="F165">
        <v>6.11</v>
      </c>
      <c r="G165">
        <v>11383</v>
      </c>
    </row>
    <row r="166" spans="1:7" x14ac:dyDescent="0.25">
      <c r="A166" s="2">
        <v>45733</v>
      </c>
      <c r="B166" s="1" t="s">
        <v>33</v>
      </c>
      <c r="C166">
        <v>1102</v>
      </c>
      <c r="D166">
        <v>422</v>
      </c>
      <c r="E166">
        <v>410330</v>
      </c>
      <c r="F166">
        <v>7.74</v>
      </c>
      <c r="G166">
        <v>9480</v>
      </c>
    </row>
    <row r="167" spans="1:7" x14ac:dyDescent="0.25">
      <c r="A167" s="2">
        <v>45733</v>
      </c>
      <c r="B167" s="1" t="s">
        <v>40</v>
      </c>
      <c r="C167">
        <v>1358</v>
      </c>
      <c r="D167">
        <v>242</v>
      </c>
      <c r="E167">
        <v>342129</v>
      </c>
      <c r="F167">
        <v>4.9400000000000004</v>
      </c>
      <c r="G167">
        <v>29116</v>
      </c>
    </row>
    <row r="168" spans="1:7" x14ac:dyDescent="0.25">
      <c r="A168" s="2">
        <v>45733</v>
      </c>
      <c r="B168" s="1" t="s">
        <v>16</v>
      </c>
      <c r="C168">
        <v>1077</v>
      </c>
      <c r="D168">
        <v>216</v>
      </c>
      <c r="E168">
        <v>12447</v>
      </c>
      <c r="F168">
        <v>1.8</v>
      </c>
      <c r="G168">
        <v>14068</v>
      </c>
    </row>
    <row r="169" spans="1:7" x14ac:dyDescent="0.25">
      <c r="A169" s="2">
        <v>45733</v>
      </c>
      <c r="B169" s="1" t="s">
        <v>29</v>
      </c>
      <c r="C169">
        <v>1596</v>
      </c>
      <c r="D169">
        <v>211</v>
      </c>
      <c r="E169">
        <v>17380</v>
      </c>
      <c r="F169">
        <v>8.64</v>
      </c>
      <c r="G169">
        <v>35801</v>
      </c>
    </row>
    <row r="170" spans="1:7" x14ac:dyDescent="0.25">
      <c r="A170" s="2">
        <v>45740</v>
      </c>
      <c r="B170" s="1" t="s">
        <v>33</v>
      </c>
      <c r="C170">
        <v>490</v>
      </c>
      <c r="D170">
        <v>29</v>
      </c>
      <c r="E170">
        <v>364810</v>
      </c>
      <c r="F170">
        <v>1.53</v>
      </c>
      <c r="G170">
        <v>49077</v>
      </c>
    </row>
    <row r="171" spans="1:7" x14ac:dyDescent="0.25">
      <c r="A171" s="2">
        <v>45740</v>
      </c>
      <c r="B171" s="1" t="s">
        <v>40</v>
      </c>
      <c r="C171">
        <v>609</v>
      </c>
      <c r="D171">
        <v>135</v>
      </c>
      <c r="E171">
        <v>373606</v>
      </c>
      <c r="F171">
        <v>8.52</v>
      </c>
      <c r="G171">
        <v>21453</v>
      </c>
    </row>
    <row r="172" spans="1:7" x14ac:dyDescent="0.25">
      <c r="A172" s="2">
        <v>45740</v>
      </c>
      <c r="B172" s="1" t="s">
        <v>16</v>
      </c>
      <c r="C172">
        <v>364</v>
      </c>
      <c r="D172">
        <v>72</v>
      </c>
      <c r="E172">
        <v>211090</v>
      </c>
      <c r="F172">
        <v>5.53</v>
      </c>
      <c r="G172">
        <v>21061</v>
      </c>
    </row>
    <row r="173" spans="1:7" x14ac:dyDescent="0.25">
      <c r="A173" s="2">
        <v>45740</v>
      </c>
      <c r="B173" s="1" t="s">
        <v>29</v>
      </c>
      <c r="C173">
        <v>442</v>
      </c>
      <c r="D173">
        <v>53</v>
      </c>
      <c r="E173">
        <v>441931</v>
      </c>
      <c r="F173">
        <v>1.87</v>
      </c>
      <c r="G173">
        <v>20059</v>
      </c>
    </row>
    <row r="174" spans="1:7" x14ac:dyDescent="0.25">
      <c r="A174" s="2">
        <v>45747</v>
      </c>
      <c r="B174" s="1" t="s">
        <v>33</v>
      </c>
      <c r="C174">
        <v>1033</v>
      </c>
      <c r="D174">
        <v>392</v>
      </c>
      <c r="E174">
        <v>282780</v>
      </c>
      <c r="F174">
        <v>6.27</v>
      </c>
      <c r="G174">
        <v>23140</v>
      </c>
    </row>
    <row r="175" spans="1:7" x14ac:dyDescent="0.25">
      <c r="A175" s="2">
        <v>45747</v>
      </c>
      <c r="B175" s="1" t="s">
        <v>40</v>
      </c>
      <c r="C175">
        <v>988</v>
      </c>
      <c r="D175">
        <v>474</v>
      </c>
      <c r="E175">
        <v>370070</v>
      </c>
      <c r="F175">
        <v>9.4600000000000009</v>
      </c>
      <c r="G175">
        <v>23461</v>
      </c>
    </row>
    <row r="176" spans="1:7" x14ac:dyDescent="0.25">
      <c r="A176" s="2">
        <v>45747</v>
      </c>
      <c r="B176" s="1" t="s">
        <v>16</v>
      </c>
      <c r="C176">
        <v>1946</v>
      </c>
      <c r="D176">
        <v>270</v>
      </c>
      <c r="E176">
        <v>198350</v>
      </c>
      <c r="F176">
        <v>7.5</v>
      </c>
      <c r="G176">
        <v>11805</v>
      </c>
    </row>
    <row r="177" spans="1:7" x14ac:dyDescent="0.25">
      <c r="A177" s="2">
        <v>45747</v>
      </c>
      <c r="B177" s="1" t="s">
        <v>29</v>
      </c>
      <c r="C177">
        <v>1957</v>
      </c>
      <c r="D177">
        <v>490</v>
      </c>
      <c r="E177">
        <v>435726</v>
      </c>
      <c r="F177">
        <v>4.7300000000000004</v>
      </c>
      <c r="G177">
        <v>15969</v>
      </c>
    </row>
    <row r="178" spans="1:7" x14ac:dyDescent="0.25">
      <c r="A178" s="2">
        <v>45754</v>
      </c>
      <c r="B178" s="1" t="s">
        <v>33</v>
      </c>
      <c r="C178">
        <v>559</v>
      </c>
      <c r="D178">
        <v>392</v>
      </c>
      <c r="E178">
        <v>78789</v>
      </c>
      <c r="F178">
        <v>3.19</v>
      </c>
      <c r="G178">
        <v>2436</v>
      </c>
    </row>
    <row r="179" spans="1:7" x14ac:dyDescent="0.25">
      <c r="A179" s="2">
        <v>45754</v>
      </c>
      <c r="B179" s="1" t="s">
        <v>40</v>
      </c>
      <c r="C179">
        <v>1307</v>
      </c>
      <c r="D179">
        <v>278</v>
      </c>
      <c r="E179">
        <v>98596</v>
      </c>
      <c r="F179">
        <v>2.4900000000000002</v>
      </c>
      <c r="G179">
        <v>47603</v>
      </c>
    </row>
    <row r="180" spans="1:7" x14ac:dyDescent="0.25">
      <c r="A180" s="2">
        <v>45754</v>
      </c>
      <c r="B180" s="1" t="s">
        <v>16</v>
      </c>
      <c r="C180">
        <v>1432</v>
      </c>
      <c r="D180">
        <v>425</v>
      </c>
      <c r="E180">
        <v>29589</v>
      </c>
      <c r="F180">
        <v>4.5</v>
      </c>
      <c r="G180">
        <v>42964</v>
      </c>
    </row>
    <row r="181" spans="1:7" x14ac:dyDescent="0.25">
      <c r="A181" s="2">
        <v>45754</v>
      </c>
      <c r="B181" s="1" t="s">
        <v>29</v>
      </c>
      <c r="C181">
        <v>623</v>
      </c>
      <c r="D181">
        <v>414</v>
      </c>
      <c r="E181">
        <v>290354</v>
      </c>
      <c r="F181">
        <v>6.49</v>
      </c>
      <c r="G181">
        <v>39923</v>
      </c>
    </row>
    <row r="182" spans="1:7" x14ac:dyDescent="0.25">
      <c r="A182" s="2">
        <v>45761</v>
      </c>
      <c r="B182" s="1" t="s">
        <v>33</v>
      </c>
      <c r="C182">
        <v>198</v>
      </c>
      <c r="D182">
        <v>358</v>
      </c>
      <c r="E182">
        <v>66682</v>
      </c>
      <c r="F182">
        <v>6.73</v>
      </c>
      <c r="G182">
        <v>2293</v>
      </c>
    </row>
    <row r="183" spans="1:7" x14ac:dyDescent="0.25">
      <c r="A183" s="2">
        <v>45761</v>
      </c>
      <c r="B183" s="1" t="s">
        <v>40</v>
      </c>
      <c r="C183">
        <v>198</v>
      </c>
      <c r="D183">
        <v>373</v>
      </c>
      <c r="E183">
        <v>70707</v>
      </c>
      <c r="F183">
        <v>4.83</v>
      </c>
      <c r="G183">
        <v>25920</v>
      </c>
    </row>
    <row r="184" spans="1:7" x14ac:dyDescent="0.25">
      <c r="A184" s="2">
        <v>45761</v>
      </c>
      <c r="B184" s="1" t="s">
        <v>16</v>
      </c>
      <c r="C184">
        <v>353</v>
      </c>
      <c r="D184">
        <v>300</v>
      </c>
      <c r="E184">
        <v>142507</v>
      </c>
      <c r="F184">
        <v>5.3</v>
      </c>
      <c r="G184">
        <v>11035</v>
      </c>
    </row>
    <row r="185" spans="1:7" x14ac:dyDescent="0.25">
      <c r="A185" s="2">
        <v>45761</v>
      </c>
      <c r="B185" s="1" t="s">
        <v>29</v>
      </c>
      <c r="C185">
        <v>520</v>
      </c>
      <c r="D185">
        <v>375</v>
      </c>
      <c r="E185">
        <v>369525</v>
      </c>
      <c r="F185">
        <v>6.54</v>
      </c>
      <c r="G185">
        <v>20733</v>
      </c>
    </row>
    <row r="186" spans="1:7" x14ac:dyDescent="0.25">
      <c r="A186" s="2">
        <v>45768</v>
      </c>
      <c r="B186" s="1" t="s">
        <v>33</v>
      </c>
      <c r="C186">
        <v>961</v>
      </c>
      <c r="D186">
        <v>358</v>
      </c>
      <c r="E186">
        <v>62942</v>
      </c>
      <c r="F186">
        <v>6.8</v>
      </c>
      <c r="G186">
        <v>18693</v>
      </c>
    </row>
    <row r="187" spans="1:7" x14ac:dyDescent="0.25">
      <c r="A187" s="2">
        <v>45768</v>
      </c>
      <c r="B187" s="1" t="s">
        <v>40</v>
      </c>
      <c r="C187">
        <v>1375</v>
      </c>
      <c r="D187">
        <v>330</v>
      </c>
      <c r="E187">
        <v>377382</v>
      </c>
      <c r="F187">
        <v>2.6</v>
      </c>
      <c r="G187">
        <v>7875</v>
      </c>
    </row>
    <row r="188" spans="1:7" x14ac:dyDescent="0.25">
      <c r="A188" s="2">
        <v>45768</v>
      </c>
      <c r="B188" s="1" t="s">
        <v>16</v>
      </c>
      <c r="C188">
        <v>1147</v>
      </c>
      <c r="D188">
        <v>388</v>
      </c>
      <c r="E188">
        <v>333851</v>
      </c>
      <c r="F188">
        <v>2.44</v>
      </c>
      <c r="G188">
        <v>8471</v>
      </c>
    </row>
    <row r="189" spans="1:7" x14ac:dyDescent="0.25">
      <c r="A189" s="2">
        <v>45768</v>
      </c>
      <c r="B189" s="1" t="s">
        <v>29</v>
      </c>
      <c r="C189">
        <v>1707</v>
      </c>
      <c r="D189">
        <v>74</v>
      </c>
      <c r="E189">
        <v>270958</v>
      </c>
      <c r="F189">
        <v>3.09</v>
      </c>
      <c r="G189">
        <v>14090</v>
      </c>
    </row>
    <row r="190" spans="1:7" x14ac:dyDescent="0.25">
      <c r="A190" s="2">
        <v>45775</v>
      </c>
      <c r="B190" s="1" t="s">
        <v>33</v>
      </c>
      <c r="C190">
        <v>1693</v>
      </c>
      <c r="D190">
        <v>154</v>
      </c>
      <c r="E190">
        <v>445944</v>
      </c>
      <c r="F190">
        <v>5.69</v>
      </c>
      <c r="G190">
        <v>14216</v>
      </c>
    </row>
    <row r="191" spans="1:7" x14ac:dyDescent="0.25">
      <c r="A191" s="2">
        <v>45775</v>
      </c>
      <c r="B191" s="1" t="s">
        <v>40</v>
      </c>
      <c r="C191">
        <v>833</v>
      </c>
      <c r="D191">
        <v>380</v>
      </c>
      <c r="E191">
        <v>224830</v>
      </c>
      <c r="F191">
        <v>3.86</v>
      </c>
      <c r="G191">
        <v>3582</v>
      </c>
    </row>
    <row r="192" spans="1:7" x14ac:dyDescent="0.25">
      <c r="A192" s="2">
        <v>45775</v>
      </c>
      <c r="B192" s="1" t="s">
        <v>16</v>
      </c>
      <c r="C192">
        <v>1222</v>
      </c>
      <c r="D192">
        <v>274</v>
      </c>
      <c r="E192">
        <v>487289</v>
      </c>
      <c r="F192">
        <v>3.16</v>
      </c>
      <c r="G192">
        <v>32500</v>
      </c>
    </row>
    <row r="193" spans="1:7" x14ac:dyDescent="0.25">
      <c r="A193" s="2">
        <v>45775</v>
      </c>
      <c r="B193" s="1" t="s">
        <v>29</v>
      </c>
      <c r="C193">
        <v>777</v>
      </c>
      <c r="D193">
        <v>140</v>
      </c>
      <c r="E193">
        <v>11435</v>
      </c>
      <c r="F193">
        <v>1.6</v>
      </c>
      <c r="G193">
        <v>6832</v>
      </c>
    </row>
    <row r="194" spans="1:7" x14ac:dyDescent="0.25">
      <c r="A194" s="2">
        <v>45782</v>
      </c>
      <c r="B194" s="1" t="s">
        <v>33</v>
      </c>
      <c r="C194">
        <v>1957</v>
      </c>
      <c r="D194">
        <v>76</v>
      </c>
      <c r="E194">
        <v>447902</v>
      </c>
      <c r="F194">
        <v>6.09</v>
      </c>
      <c r="G194">
        <v>33381</v>
      </c>
    </row>
    <row r="195" spans="1:7" x14ac:dyDescent="0.25">
      <c r="A195" s="2">
        <v>45782</v>
      </c>
      <c r="B195" s="1" t="s">
        <v>40</v>
      </c>
      <c r="C195">
        <v>405</v>
      </c>
      <c r="D195">
        <v>66</v>
      </c>
      <c r="E195">
        <v>418696</v>
      </c>
      <c r="F195">
        <v>5.59</v>
      </c>
      <c r="G195">
        <v>48419</v>
      </c>
    </row>
    <row r="196" spans="1:7" x14ac:dyDescent="0.25">
      <c r="A196" s="2">
        <v>45782</v>
      </c>
      <c r="B196" s="1" t="s">
        <v>16</v>
      </c>
      <c r="C196">
        <v>1581</v>
      </c>
      <c r="D196">
        <v>71</v>
      </c>
      <c r="E196">
        <v>484364</v>
      </c>
      <c r="F196">
        <v>3.55</v>
      </c>
      <c r="G196">
        <v>16149</v>
      </c>
    </row>
    <row r="197" spans="1:7" x14ac:dyDescent="0.25">
      <c r="A197" s="2">
        <v>45782</v>
      </c>
      <c r="B197" s="1" t="s">
        <v>29</v>
      </c>
      <c r="C197">
        <v>1035</v>
      </c>
      <c r="D197">
        <v>171</v>
      </c>
      <c r="E197">
        <v>148477</v>
      </c>
      <c r="F197">
        <v>5.21</v>
      </c>
      <c r="G197">
        <v>7541</v>
      </c>
    </row>
    <row r="198" spans="1:7" x14ac:dyDescent="0.25">
      <c r="A198" s="2">
        <v>45789</v>
      </c>
      <c r="B198" s="1" t="s">
        <v>33</v>
      </c>
      <c r="C198">
        <v>1765</v>
      </c>
      <c r="D198">
        <v>109</v>
      </c>
      <c r="E198">
        <v>468301</v>
      </c>
      <c r="F198">
        <v>1.82</v>
      </c>
      <c r="G198">
        <v>20042</v>
      </c>
    </row>
    <row r="199" spans="1:7" x14ac:dyDescent="0.25">
      <c r="A199" s="2">
        <v>45789</v>
      </c>
      <c r="B199" s="1" t="s">
        <v>40</v>
      </c>
      <c r="C199">
        <v>837</v>
      </c>
      <c r="D199">
        <v>430</v>
      </c>
      <c r="E199">
        <v>364820</v>
      </c>
      <c r="F199">
        <v>4</v>
      </c>
      <c r="G199">
        <v>49400</v>
      </c>
    </row>
    <row r="200" spans="1:7" x14ac:dyDescent="0.25">
      <c r="A200" s="2">
        <v>45789</v>
      </c>
      <c r="B200" s="1" t="s">
        <v>16</v>
      </c>
      <c r="C200">
        <v>337</v>
      </c>
      <c r="D200">
        <v>68</v>
      </c>
      <c r="E200">
        <v>456298</v>
      </c>
      <c r="F200">
        <v>7.57</v>
      </c>
      <c r="G200">
        <v>4007</v>
      </c>
    </row>
    <row r="201" spans="1:7" x14ac:dyDescent="0.25">
      <c r="A201" s="2">
        <v>45789</v>
      </c>
      <c r="B201" s="1" t="s">
        <v>29</v>
      </c>
      <c r="C201">
        <v>119</v>
      </c>
      <c r="D201">
        <v>456</v>
      </c>
      <c r="E201">
        <v>82558</v>
      </c>
      <c r="F201">
        <v>6.81</v>
      </c>
      <c r="G201">
        <v>12174</v>
      </c>
    </row>
    <row r="202" spans="1:7" x14ac:dyDescent="0.25">
      <c r="A202" s="2"/>
      <c r="B202" s="1"/>
    </row>
    <row r="203" spans="1:7" x14ac:dyDescent="0.25">
      <c r="A203" s="2"/>
      <c r="B203" s="1"/>
    </row>
    <row r="204" spans="1:7" x14ac:dyDescent="0.25">
      <c r="A204" s="2"/>
      <c r="B204" s="1"/>
    </row>
    <row r="205" spans="1:7" x14ac:dyDescent="0.25">
      <c r="A205" s="2"/>
      <c r="B205" s="1"/>
    </row>
    <row r="206" spans="1:7" x14ac:dyDescent="0.25">
      <c r="A206" s="2"/>
      <c r="B206" s="1"/>
    </row>
    <row r="207" spans="1:7" x14ac:dyDescent="0.25">
      <c r="A207" s="2"/>
      <c r="B207" s="1"/>
    </row>
    <row r="208" spans="1:7" x14ac:dyDescent="0.25">
      <c r="A208" s="2"/>
      <c r="B208" s="1"/>
    </row>
    <row r="209" spans="1:2" x14ac:dyDescent="0.25">
      <c r="A209" s="2"/>
      <c r="B209" s="1"/>
    </row>
    <row r="210" spans="1:2" x14ac:dyDescent="0.25">
      <c r="A210" s="2"/>
      <c r="B210" s="1"/>
    </row>
    <row r="211" spans="1:2" x14ac:dyDescent="0.25">
      <c r="A211" s="2"/>
      <c r="B211" s="1"/>
    </row>
    <row r="212" spans="1:2" x14ac:dyDescent="0.25">
      <c r="A212" s="2"/>
      <c r="B212" s="1"/>
    </row>
    <row r="213" spans="1:2" x14ac:dyDescent="0.25">
      <c r="A213" s="2"/>
      <c r="B213" s="1"/>
    </row>
    <row r="214" spans="1:2" x14ac:dyDescent="0.25">
      <c r="A214" s="2"/>
      <c r="B214" s="1"/>
    </row>
    <row r="215" spans="1:2" x14ac:dyDescent="0.25">
      <c r="A215" s="2"/>
      <c r="B215" s="1"/>
    </row>
    <row r="216" spans="1:2" x14ac:dyDescent="0.25">
      <c r="A216" s="2"/>
      <c r="B216" s="1"/>
    </row>
    <row r="217" spans="1:2" x14ac:dyDescent="0.25">
      <c r="A217" s="2"/>
      <c r="B217" s="1"/>
    </row>
    <row r="218" spans="1:2" x14ac:dyDescent="0.25">
      <c r="A218" s="2"/>
      <c r="B218" s="1"/>
    </row>
    <row r="219" spans="1:2" x14ac:dyDescent="0.25">
      <c r="A219" s="2"/>
      <c r="B219" s="1"/>
    </row>
    <row r="220" spans="1:2" x14ac:dyDescent="0.25">
      <c r="A220" s="2"/>
      <c r="B220" s="1"/>
    </row>
    <row r="221" spans="1:2" x14ac:dyDescent="0.25">
      <c r="A221" s="2"/>
      <c r="B221" s="1"/>
    </row>
    <row r="222" spans="1:2" x14ac:dyDescent="0.25">
      <c r="A222" s="2"/>
      <c r="B222" s="1"/>
    </row>
    <row r="223" spans="1:2" x14ac:dyDescent="0.25">
      <c r="A223" s="2"/>
      <c r="B223" s="1"/>
    </row>
    <row r="224" spans="1:2" x14ac:dyDescent="0.25">
      <c r="A224" s="2"/>
      <c r="B224" s="1"/>
    </row>
    <row r="225" spans="1:2" x14ac:dyDescent="0.25">
      <c r="A225" s="2"/>
      <c r="B225" s="1"/>
    </row>
    <row r="226" spans="1:2" x14ac:dyDescent="0.25">
      <c r="A226" s="2"/>
      <c r="B226" s="1"/>
    </row>
    <row r="227" spans="1:2" x14ac:dyDescent="0.25">
      <c r="A227" s="2"/>
      <c r="B227" s="1"/>
    </row>
    <row r="228" spans="1:2" x14ac:dyDescent="0.25">
      <c r="A228" s="2"/>
      <c r="B228" s="1"/>
    </row>
    <row r="229" spans="1:2" x14ac:dyDescent="0.25">
      <c r="A229" s="2"/>
      <c r="B229" s="1"/>
    </row>
    <row r="230" spans="1:2" x14ac:dyDescent="0.25">
      <c r="A230" s="2"/>
      <c r="B230" s="1"/>
    </row>
    <row r="231" spans="1:2" x14ac:dyDescent="0.25">
      <c r="A231" s="2"/>
      <c r="B231" s="1"/>
    </row>
    <row r="232" spans="1:2" x14ac:dyDescent="0.25">
      <c r="A232" s="2"/>
      <c r="B232" s="1"/>
    </row>
    <row r="233" spans="1:2" x14ac:dyDescent="0.25">
      <c r="A233" s="2"/>
      <c r="B233" s="1"/>
    </row>
    <row r="234" spans="1:2" x14ac:dyDescent="0.25">
      <c r="A234" s="2"/>
      <c r="B234" s="1"/>
    </row>
    <row r="235" spans="1:2" x14ac:dyDescent="0.25">
      <c r="A235" s="2"/>
      <c r="B235" s="1"/>
    </row>
    <row r="236" spans="1:2" x14ac:dyDescent="0.25">
      <c r="A236" s="2"/>
      <c r="B236" s="1"/>
    </row>
    <row r="237" spans="1:2" x14ac:dyDescent="0.25">
      <c r="A237" s="2"/>
      <c r="B237" s="1"/>
    </row>
    <row r="238" spans="1:2" x14ac:dyDescent="0.25">
      <c r="A238" s="2"/>
      <c r="B238" s="1"/>
    </row>
    <row r="239" spans="1:2" x14ac:dyDescent="0.25">
      <c r="A239" s="2"/>
      <c r="B239" s="1"/>
    </row>
    <row r="240" spans="1:2" x14ac:dyDescent="0.25">
      <c r="A240" s="2"/>
      <c r="B240" s="1"/>
    </row>
    <row r="241" spans="1:2" x14ac:dyDescent="0.25">
      <c r="A241" s="2"/>
      <c r="B241" s="1"/>
    </row>
    <row r="242" spans="1:2" x14ac:dyDescent="0.25">
      <c r="A242" s="2"/>
      <c r="B242" s="1"/>
    </row>
    <row r="243" spans="1:2" x14ac:dyDescent="0.25">
      <c r="A243" s="2"/>
      <c r="B243" s="1"/>
    </row>
    <row r="244" spans="1:2" x14ac:dyDescent="0.25">
      <c r="A244" s="2"/>
      <c r="B244" s="1"/>
    </row>
    <row r="245" spans="1:2" x14ac:dyDescent="0.25">
      <c r="A245" s="2"/>
      <c r="B245" s="1"/>
    </row>
    <row r="246" spans="1:2" x14ac:dyDescent="0.25">
      <c r="A246" s="2"/>
      <c r="B246" s="1"/>
    </row>
    <row r="247" spans="1:2" x14ac:dyDescent="0.25">
      <c r="A247" s="2"/>
      <c r="B247" s="1"/>
    </row>
    <row r="248" spans="1:2" x14ac:dyDescent="0.25">
      <c r="A248" s="2"/>
      <c r="B248" s="1"/>
    </row>
    <row r="249" spans="1:2" x14ac:dyDescent="0.25">
      <c r="A249" s="2"/>
      <c r="B249" s="1"/>
    </row>
    <row r="250" spans="1:2" x14ac:dyDescent="0.25">
      <c r="A250" s="2"/>
      <c r="B250" s="1"/>
    </row>
    <row r="251" spans="1:2" x14ac:dyDescent="0.25">
      <c r="A251" s="2"/>
      <c r="B251" s="1"/>
    </row>
    <row r="252" spans="1:2" x14ac:dyDescent="0.25">
      <c r="A252" s="2"/>
      <c r="B252" s="1"/>
    </row>
    <row r="253" spans="1:2" x14ac:dyDescent="0.25">
      <c r="A253" s="2"/>
      <c r="B253" s="1"/>
    </row>
    <row r="254" spans="1:2" x14ac:dyDescent="0.25">
      <c r="A254" s="2"/>
      <c r="B254" s="1"/>
    </row>
    <row r="255" spans="1:2" x14ac:dyDescent="0.25">
      <c r="A255" s="2"/>
      <c r="B255" s="1"/>
    </row>
    <row r="256" spans="1:2" x14ac:dyDescent="0.25">
      <c r="A256" s="2"/>
      <c r="B256" s="1"/>
    </row>
    <row r="257" spans="1:2" x14ac:dyDescent="0.25">
      <c r="A257" s="2"/>
      <c r="B257" s="1"/>
    </row>
    <row r="258" spans="1:2" x14ac:dyDescent="0.25">
      <c r="A258" s="2"/>
      <c r="B258" s="1"/>
    </row>
    <row r="259" spans="1:2" x14ac:dyDescent="0.25">
      <c r="A259" s="2"/>
      <c r="B259" s="1"/>
    </row>
    <row r="260" spans="1:2" x14ac:dyDescent="0.25">
      <c r="A260" s="2"/>
      <c r="B260" s="1"/>
    </row>
    <row r="261" spans="1:2" x14ac:dyDescent="0.25">
      <c r="A261" s="2"/>
      <c r="B261" s="1"/>
    </row>
    <row r="262" spans="1:2" x14ac:dyDescent="0.25">
      <c r="A262" s="2"/>
      <c r="B262" s="1"/>
    </row>
    <row r="263" spans="1:2" x14ac:dyDescent="0.25">
      <c r="A263" s="2"/>
      <c r="B263" s="1"/>
    </row>
    <row r="264" spans="1:2" x14ac:dyDescent="0.25">
      <c r="A264" s="2"/>
      <c r="B264" s="1"/>
    </row>
    <row r="265" spans="1:2" x14ac:dyDescent="0.25">
      <c r="A265" s="2"/>
      <c r="B265" s="1"/>
    </row>
    <row r="266" spans="1:2" x14ac:dyDescent="0.25">
      <c r="A266" s="2"/>
      <c r="B266" s="1"/>
    </row>
    <row r="267" spans="1:2" x14ac:dyDescent="0.25">
      <c r="A267" s="2"/>
      <c r="B267" s="1"/>
    </row>
    <row r="268" spans="1:2" x14ac:dyDescent="0.25">
      <c r="A268" s="2"/>
      <c r="B268" s="1"/>
    </row>
    <row r="269" spans="1:2" x14ac:dyDescent="0.25">
      <c r="A269" s="2"/>
      <c r="B269" s="1"/>
    </row>
    <row r="270" spans="1:2" x14ac:dyDescent="0.25">
      <c r="A270" s="2"/>
      <c r="B270" s="1"/>
    </row>
    <row r="271" spans="1:2" x14ac:dyDescent="0.25">
      <c r="A271" s="2"/>
      <c r="B271" s="1"/>
    </row>
    <row r="272" spans="1:2" x14ac:dyDescent="0.25">
      <c r="A272" s="2"/>
      <c r="B272" s="1"/>
    </row>
    <row r="273" spans="1:2" x14ac:dyDescent="0.25">
      <c r="A273" s="2"/>
      <c r="B273" s="1"/>
    </row>
    <row r="274" spans="1:2" x14ac:dyDescent="0.25">
      <c r="A274" s="2"/>
      <c r="B274" s="1"/>
    </row>
    <row r="275" spans="1:2" x14ac:dyDescent="0.25">
      <c r="A275" s="2"/>
      <c r="B275" s="1"/>
    </row>
    <row r="276" spans="1:2" x14ac:dyDescent="0.25">
      <c r="A276" s="2"/>
      <c r="B276" s="1"/>
    </row>
    <row r="277" spans="1:2" x14ac:dyDescent="0.25">
      <c r="A277" s="2"/>
      <c r="B277" s="1"/>
    </row>
    <row r="278" spans="1:2" x14ac:dyDescent="0.25">
      <c r="A278" s="2"/>
      <c r="B278" s="1"/>
    </row>
    <row r="279" spans="1:2" x14ac:dyDescent="0.25">
      <c r="A279" s="2"/>
      <c r="B279" s="1"/>
    </row>
    <row r="280" spans="1:2" x14ac:dyDescent="0.25">
      <c r="A280" s="2"/>
      <c r="B280" s="1"/>
    </row>
    <row r="281" spans="1:2" x14ac:dyDescent="0.25">
      <c r="A281" s="2"/>
      <c r="B281" s="1"/>
    </row>
    <row r="282" spans="1:2" x14ac:dyDescent="0.25">
      <c r="A282" s="2"/>
      <c r="B282" s="1"/>
    </row>
    <row r="283" spans="1:2" x14ac:dyDescent="0.25">
      <c r="A283" s="2"/>
      <c r="B283" s="1"/>
    </row>
    <row r="284" spans="1:2" x14ac:dyDescent="0.25">
      <c r="A284" s="2"/>
      <c r="B284" s="1"/>
    </row>
    <row r="285" spans="1:2" x14ac:dyDescent="0.25">
      <c r="A285" s="2"/>
      <c r="B285" s="1"/>
    </row>
    <row r="286" spans="1:2" x14ac:dyDescent="0.25">
      <c r="A286" s="2"/>
      <c r="B286" s="1"/>
    </row>
    <row r="287" spans="1:2" x14ac:dyDescent="0.25">
      <c r="A287" s="2"/>
      <c r="B287" s="1"/>
    </row>
    <row r="288" spans="1:2" x14ac:dyDescent="0.25">
      <c r="A288" s="2"/>
      <c r="B288" s="1"/>
    </row>
    <row r="289" spans="1:2" x14ac:dyDescent="0.25">
      <c r="A289" s="2"/>
      <c r="B289" s="1"/>
    </row>
    <row r="290" spans="1:2" x14ac:dyDescent="0.25">
      <c r="A290" s="2"/>
      <c r="B290" s="1"/>
    </row>
    <row r="291" spans="1:2" x14ac:dyDescent="0.25">
      <c r="A291" s="2"/>
      <c r="B291" s="1"/>
    </row>
    <row r="292" spans="1:2" x14ac:dyDescent="0.25">
      <c r="A292" s="2"/>
      <c r="B292" s="1"/>
    </row>
    <row r="293" spans="1:2" x14ac:dyDescent="0.25">
      <c r="A293" s="2"/>
      <c r="B293" s="1"/>
    </row>
    <row r="294" spans="1:2" x14ac:dyDescent="0.25">
      <c r="A294" s="2"/>
      <c r="B294" s="1"/>
    </row>
    <row r="295" spans="1:2" x14ac:dyDescent="0.25">
      <c r="A295" s="2"/>
      <c r="B295" s="1"/>
    </row>
    <row r="296" spans="1:2" x14ac:dyDescent="0.25">
      <c r="A296" s="2"/>
      <c r="B296" s="1"/>
    </row>
    <row r="297" spans="1:2" x14ac:dyDescent="0.25">
      <c r="A297" s="2"/>
      <c r="B297" s="1"/>
    </row>
    <row r="298" spans="1:2" x14ac:dyDescent="0.25">
      <c r="A298" s="2"/>
      <c r="B298" s="1"/>
    </row>
    <row r="299" spans="1:2" x14ac:dyDescent="0.25">
      <c r="A299" s="2"/>
      <c r="B299" s="1"/>
    </row>
    <row r="300" spans="1:2" x14ac:dyDescent="0.25">
      <c r="A300" s="2"/>
      <c r="B300" s="1"/>
    </row>
    <row r="301" spans="1:2" x14ac:dyDescent="0.25">
      <c r="A301" s="2"/>
      <c r="B301" s="1"/>
    </row>
    <row r="302" spans="1:2" x14ac:dyDescent="0.25">
      <c r="A302" s="2"/>
      <c r="B302" s="1"/>
    </row>
    <row r="303" spans="1:2" x14ac:dyDescent="0.25">
      <c r="A303" s="2"/>
      <c r="B303" s="1"/>
    </row>
    <row r="304" spans="1:2" x14ac:dyDescent="0.25">
      <c r="A304" s="2"/>
      <c r="B304" s="1"/>
    </row>
    <row r="305" spans="1:2" x14ac:dyDescent="0.25">
      <c r="A305" s="2"/>
      <c r="B305" s="1"/>
    </row>
    <row r="306" spans="1:2" x14ac:dyDescent="0.25">
      <c r="A306" s="2"/>
      <c r="B306" s="1"/>
    </row>
    <row r="307" spans="1:2" x14ac:dyDescent="0.25">
      <c r="A307" s="2"/>
      <c r="B307" s="1"/>
    </row>
    <row r="308" spans="1:2" x14ac:dyDescent="0.25">
      <c r="A308" s="2"/>
      <c r="B308" s="1"/>
    </row>
    <row r="309" spans="1:2" x14ac:dyDescent="0.25">
      <c r="A309" s="2"/>
      <c r="B309" s="1"/>
    </row>
    <row r="310" spans="1:2" x14ac:dyDescent="0.25">
      <c r="A310" s="2"/>
      <c r="B310" s="1"/>
    </row>
    <row r="311" spans="1:2" x14ac:dyDescent="0.25">
      <c r="A311" s="2"/>
      <c r="B311" s="1"/>
    </row>
    <row r="312" spans="1:2" x14ac:dyDescent="0.25">
      <c r="A312" s="2"/>
      <c r="B312" s="1"/>
    </row>
    <row r="313" spans="1:2" x14ac:dyDescent="0.25">
      <c r="A313" s="2"/>
      <c r="B313" s="1"/>
    </row>
    <row r="314" spans="1:2" x14ac:dyDescent="0.25">
      <c r="A314" s="2"/>
      <c r="B314" s="1"/>
    </row>
    <row r="315" spans="1:2" x14ac:dyDescent="0.25">
      <c r="A315" s="2"/>
      <c r="B315" s="1"/>
    </row>
    <row r="316" spans="1:2" x14ac:dyDescent="0.25">
      <c r="A316" s="2"/>
      <c r="B316" s="1"/>
    </row>
    <row r="317" spans="1:2" x14ac:dyDescent="0.25">
      <c r="A317" s="2"/>
      <c r="B317" s="1"/>
    </row>
    <row r="318" spans="1:2" x14ac:dyDescent="0.25">
      <c r="A318" s="2"/>
      <c r="B318" s="1"/>
    </row>
    <row r="319" spans="1:2" x14ac:dyDescent="0.25">
      <c r="A319" s="2"/>
      <c r="B319" s="1"/>
    </row>
    <row r="320" spans="1:2" x14ac:dyDescent="0.25">
      <c r="A320" s="2"/>
      <c r="B320" s="1"/>
    </row>
    <row r="321" spans="1:2" x14ac:dyDescent="0.25">
      <c r="A321" s="2"/>
      <c r="B321" s="1"/>
    </row>
    <row r="322" spans="1:2" x14ac:dyDescent="0.25">
      <c r="A322" s="2"/>
      <c r="B322" s="1"/>
    </row>
    <row r="323" spans="1:2" x14ac:dyDescent="0.25">
      <c r="A323" s="2"/>
      <c r="B323" s="1"/>
    </row>
    <row r="324" spans="1:2" x14ac:dyDescent="0.25">
      <c r="A324" s="2"/>
      <c r="B324" s="1"/>
    </row>
    <row r="325" spans="1:2" x14ac:dyDescent="0.25">
      <c r="A325" s="2"/>
      <c r="B325" s="1"/>
    </row>
    <row r="326" spans="1:2" x14ac:dyDescent="0.25">
      <c r="A326" s="2"/>
      <c r="B326" s="1"/>
    </row>
    <row r="327" spans="1:2" x14ac:dyDescent="0.25">
      <c r="A327" s="2"/>
      <c r="B327" s="1"/>
    </row>
    <row r="328" spans="1:2" x14ac:dyDescent="0.25">
      <c r="A328" s="2"/>
      <c r="B328" s="1"/>
    </row>
    <row r="329" spans="1:2" x14ac:dyDescent="0.25">
      <c r="A329" s="2"/>
      <c r="B329" s="1"/>
    </row>
    <row r="330" spans="1:2" x14ac:dyDescent="0.25">
      <c r="A330" s="2"/>
      <c r="B330" s="1"/>
    </row>
    <row r="331" spans="1:2" x14ac:dyDescent="0.25">
      <c r="A331" s="2"/>
      <c r="B331" s="1"/>
    </row>
    <row r="332" spans="1:2" x14ac:dyDescent="0.25">
      <c r="A332" s="2"/>
      <c r="B332" s="1"/>
    </row>
    <row r="333" spans="1:2" x14ac:dyDescent="0.25">
      <c r="A333" s="2"/>
      <c r="B333" s="1"/>
    </row>
    <row r="334" spans="1:2" x14ac:dyDescent="0.25">
      <c r="A334" s="2"/>
      <c r="B334" s="1"/>
    </row>
    <row r="335" spans="1:2" x14ac:dyDescent="0.25">
      <c r="A335" s="2"/>
      <c r="B335" s="1"/>
    </row>
    <row r="336" spans="1:2" x14ac:dyDescent="0.25">
      <c r="A336" s="2"/>
      <c r="B336" s="1"/>
    </row>
    <row r="337" spans="1:2" x14ac:dyDescent="0.25">
      <c r="A337" s="2"/>
      <c r="B337" s="1"/>
    </row>
    <row r="338" spans="1:2" x14ac:dyDescent="0.25">
      <c r="A338" s="2"/>
      <c r="B338" s="1"/>
    </row>
    <row r="339" spans="1:2" x14ac:dyDescent="0.25">
      <c r="A339" s="2"/>
      <c r="B339" s="1"/>
    </row>
    <row r="340" spans="1:2" x14ac:dyDescent="0.25">
      <c r="A340" s="2"/>
      <c r="B340" s="1"/>
    </row>
    <row r="341" spans="1:2" x14ac:dyDescent="0.25">
      <c r="A341" s="2"/>
      <c r="B341" s="1"/>
    </row>
    <row r="342" spans="1:2" x14ac:dyDescent="0.25">
      <c r="A342" s="2"/>
      <c r="B342" s="1"/>
    </row>
    <row r="343" spans="1:2" x14ac:dyDescent="0.25">
      <c r="A343" s="2"/>
      <c r="B343" s="1"/>
    </row>
    <row r="344" spans="1:2" x14ac:dyDescent="0.25">
      <c r="A344" s="2"/>
      <c r="B344" s="1"/>
    </row>
    <row r="345" spans="1:2" x14ac:dyDescent="0.25">
      <c r="A345" s="2"/>
      <c r="B345" s="1"/>
    </row>
    <row r="346" spans="1:2" x14ac:dyDescent="0.25">
      <c r="A346" s="2"/>
      <c r="B346" s="1"/>
    </row>
    <row r="347" spans="1:2" x14ac:dyDescent="0.25">
      <c r="A347" s="2"/>
      <c r="B347" s="1"/>
    </row>
    <row r="348" spans="1:2" x14ac:dyDescent="0.25">
      <c r="A348" s="2"/>
      <c r="B348" s="1"/>
    </row>
    <row r="349" spans="1:2" x14ac:dyDescent="0.25">
      <c r="A349" s="2"/>
      <c r="B349" s="1"/>
    </row>
    <row r="350" spans="1:2" x14ac:dyDescent="0.25">
      <c r="A350" s="2"/>
      <c r="B350" s="1"/>
    </row>
    <row r="351" spans="1:2" x14ac:dyDescent="0.25">
      <c r="A351" s="2"/>
      <c r="B351" s="1"/>
    </row>
    <row r="352" spans="1:2" x14ac:dyDescent="0.25">
      <c r="A352" s="2"/>
      <c r="B352" s="1"/>
    </row>
    <row r="353" spans="1:2" x14ac:dyDescent="0.25">
      <c r="A353" s="2"/>
      <c r="B353" s="1"/>
    </row>
    <row r="354" spans="1:2" x14ac:dyDescent="0.25">
      <c r="A354" s="2"/>
      <c r="B354" s="1"/>
    </row>
    <row r="355" spans="1:2" x14ac:dyDescent="0.25">
      <c r="A355" s="2"/>
      <c r="B355" s="1"/>
    </row>
    <row r="356" spans="1:2" x14ac:dyDescent="0.25">
      <c r="A356" s="2"/>
      <c r="B356" s="1"/>
    </row>
    <row r="357" spans="1:2" x14ac:dyDescent="0.25">
      <c r="A357" s="2"/>
      <c r="B357" s="1"/>
    </row>
    <row r="358" spans="1:2" x14ac:dyDescent="0.25">
      <c r="A358" s="2"/>
      <c r="B358" s="1"/>
    </row>
    <row r="359" spans="1:2" x14ac:dyDescent="0.25">
      <c r="A359" s="2"/>
      <c r="B359" s="1"/>
    </row>
    <row r="360" spans="1:2" x14ac:dyDescent="0.25">
      <c r="A360" s="2"/>
      <c r="B360" s="1"/>
    </row>
    <row r="361" spans="1:2" x14ac:dyDescent="0.25">
      <c r="A361" s="2"/>
      <c r="B361" s="1"/>
    </row>
    <row r="362" spans="1:2" x14ac:dyDescent="0.25">
      <c r="A362" s="2"/>
      <c r="B362" s="1"/>
    </row>
    <row r="363" spans="1:2" x14ac:dyDescent="0.25">
      <c r="A363" s="2"/>
      <c r="B363" s="1"/>
    </row>
    <row r="364" spans="1:2" x14ac:dyDescent="0.25">
      <c r="A364" s="2"/>
      <c r="B364" s="1"/>
    </row>
    <row r="365" spans="1:2" x14ac:dyDescent="0.25">
      <c r="A365" s="2"/>
      <c r="B365" s="1"/>
    </row>
    <row r="366" spans="1:2" x14ac:dyDescent="0.25">
      <c r="A366" s="2"/>
      <c r="B366" s="1"/>
    </row>
    <row r="367" spans="1:2" x14ac:dyDescent="0.25">
      <c r="A367" s="2"/>
      <c r="B367" s="1"/>
    </row>
    <row r="368" spans="1:2" x14ac:dyDescent="0.25">
      <c r="A368" s="2"/>
      <c r="B368" s="1"/>
    </row>
    <row r="369" spans="1:2" x14ac:dyDescent="0.25">
      <c r="A369" s="2"/>
      <c r="B369" s="1"/>
    </row>
    <row r="370" spans="1:2" x14ac:dyDescent="0.25">
      <c r="A370" s="2"/>
      <c r="B370" s="1"/>
    </row>
    <row r="371" spans="1:2" x14ac:dyDescent="0.25">
      <c r="A371" s="2"/>
      <c r="B371" s="1"/>
    </row>
    <row r="372" spans="1:2" x14ac:dyDescent="0.25">
      <c r="A372" s="2"/>
      <c r="B372" s="1"/>
    </row>
    <row r="373" spans="1:2" x14ac:dyDescent="0.25">
      <c r="A373" s="2"/>
      <c r="B373" s="1"/>
    </row>
    <row r="374" spans="1:2" x14ac:dyDescent="0.25">
      <c r="A374" s="2"/>
      <c r="B374" s="1"/>
    </row>
    <row r="375" spans="1:2" x14ac:dyDescent="0.25">
      <c r="A375" s="2"/>
      <c r="B375" s="1"/>
    </row>
    <row r="376" spans="1:2" x14ac:dyDescent="0.25">
      <c r="A376" s="2"/>
      <c r="B376" s="1"/>
    </row>
    <row r="377" spans="1:2" x14ac:dyDescent="0.25">
      <c r="A377" s="2"/>
      <c r="B377" s="1"/>
    </row>
    <row r="378" spans="1:2" x14ac:dyDescent="0.25">
      <c r="A378" s="2"/>
      <c r="B378" s="1"/>
    </row>
    <row r="379" spans="1:2" x14ac:dyDescent="0.25">
      <c r="A379" s="2"/>
      <c r="B379" s="1"/>
    </row>
    <row r="380" spans="1:2" x14ac:dyDescent="0.25">
      <c r="A380" s="2"/>
      <c r="B380" s="1"/>
    </row>
    <row r="381" spans="1:2" x14ac:dyDescent="0.25">
      <c r="A381" s="2"/>
      <c r="B381" s="1"/>
    </row>
    <row r="382" spans="1:2" x14ac:dyDescent="0.25">
      <c r="A382" s="2"/>
      <c r="B382" s="1"/>
    </row>
    <row r="383" spans="1:2" x14ac:dyDescent="0.25">
      <c r="A383" s="2"/>
      <c r="B383" s="1"/>
    </row>
    <row r="384" spans="1:2" x14ac:dyDescent="0.25">
      <c r="A384" s="2"/>
      <c r="B384" s="1"/>
    </row>
    <row r="385" spans="1:2" x14ac:dyDescent="0.25">
      <c r="A385" s="2"/>
      <c r="B385" s="1"/>
    </row>
    <row r="386" spans="1:2" x14ac:dyDescent="0.25">
      <c r="A386" s="2"/>
      <c r="B386" s="1"/>
    </row>
    <row r="387" spans="1:2" x14ac:dyDescent="0.25">
      <c r="A387" s="2"/>
      <c r="B387" s="1"/>
    </row>
    <row r="388" spans="1:2" x14ac:dyDescent="0.25">
      <c r="A388" s="2"/>
      <c r="B388" s="1"/>
    </row>
    <row r="389" spans="1:2" x14ac:dyDescent="0.25">
      <c r="A389" s="2"/>
      <c r="B389" s="1"/>
    </row>
    <row r="390" spans="1:2" x14ac:dyDescent="0.25">
      <c r="A390" s="2"/>
      <c r="B390" s="1"/>
    </row>
    <row r="391" spans="1:2" x14ac:dyDescent="0.25">
      <c r="A391" s="2"/>
      <c r="B391" s="1"/>
    </row>
    <row r="392" spans="1:2" x14ac:dyDescent="0.25">
      <c r="A392" s="2"/>
      <c r="B392" s="1"/>
    </row>
    <row r="393" spans="1:2" x14ac:dyDescent="0.25">
      <c r="A393" s="2"/>
      <c r="B393" s="1"/>
    </row>
    <row r="394" spans="1:2" x14ac:dyDescent="0.25">
      <c r="A394" s="2"/>
      <c r="B394" s="1"/>
    </row>
    <row r="395" spans="1:2" x14ac:dyDescent="0.25">
      <c r="A395" s="2"/>
      <c r="B395" s="1"/>
    </row>
    <row r="396" spans="1:2" x14ac:dyDescent="0.25">
      <c r="A396" s="2"/>
      <c r="B396" s="1"/>
    </row>
    <row r="397" spans="1:2" x14ac:dyDescent="0.25">
      <c r="A397" s="2"/>
      <c r="B397" s="1"/>
    </row>
    <row r="398" spans="1:2" x14ac:dyDescent="0.25">
      <c r="A398" s="2"/>
      <c r="B398" s="1"/>
    </row>
    <row r="399" spans="1:2" x14ac:dyDescent="0.25">
      <c r="A399" s="2"/>
      <c r="B399" s="1"/>
    </row>
    <row r="400" spans="1:2" x14ac:dyDescent="0.25">
      <c r="A400" s="2"/>
      <c r="B400" s="1"/>
    </row>
    <row r="401" spans="1:2" x14ac:dyDescent="0.25">
      <c r="A401" s="2"/>
      <c r="B401" s="1"/>
    </row>
    <row r="402" spans="1:2" x14ac:dyDescent="0.25">
      <c r="A402" s="2"/>
      <c r="B402" s="1"/>
    </row>
    <row r="403" spans="1:2" x14ac:dyDescent="0.25">
      <c r="A403" s="2"/>
      <c r="B403" s="1"/>
    </row>
    <row r="404" spans="1:2" x14ac:dyDescent="0.25">
      <c r="A404" s="2"/>
      <c r="B404" s="1"/>
    </row>
    <row r="405" spans="1:2" x14ac:dyDescent="0.25">
      <c r="A405" s="2"/>
      <c r="B405" s="1"/>
    </row>
    <row r="406" spans="1:2" x14ac:dyDescent="0.25">
      <c r="A406" s="2"/>
      <c r="B406" s="1"/>
    </row>
    <row r="407" spans="1:2" x14ac:dyDescent="0.25">
      <c r="A407" s="2"/>
      <c r="B407" s="1"/>
    </row>
    <row r="408" spans="1:2" x14ac:dyDescent="0.25">
      <c r="A408" s="2"/>
      <c r="B408" s="1"/>
    </row>
    <row r="409" spans="1:2" x14ac:dyDescent="0.25">
      <c r="A409" s="2"/>
      <c r="B409" s="1"/>
    </row>
    <row r="410" spans="1:2" x14ac:dyDescent="0.25">
      <c r="A410" s="2"/>
      <c r="B410" s="1"/>
    </row>
    <row r="411" spans="1:2" x14ac:dyDescent="0.25">
      <c r="A411" s="2"/>
      <c r="B411" s="1"/>
    </row>
    <row r="412" spans="1:2" x14ac:dyDescent="0.25">
      <c r="A412" s="2"/>
      <c r="B412" s="1"/>
    </row>
    <row r="413" spans="1:2" x14ac:dyDescent="0.25">
      <c r="A413" s="2"/>
      <c r="B413" s="1"/>
    </row>
    <row r="414" spans="1:2" x14ac:dyDescent="0.25">
      <c r="A414" s="2"/>
      <c r="B414" s="1"/>
    </row>
    <row r="415" spans="1:2" x14ac:dyDescent="0.25">
      <c r="A415" s="2"/>
      <c r="B415" s="1"/>
    </row>
    <row r="416" spans="1:2" x14ac:dyDescent="0.25">
      <c r="A416" s="2"/>
      <c r="B416" s="1"/>
    </row>
    <row r="417" spans="1:2" x14ac:dyDescent="0.25">
      <c r="A417" s="2"/>
      <c r="B417" s="1"/>
    </row>
    <row r="418" spans="1:2" x14ac:dyDescent="0.25">
      <c r="A418" s="2"/>
      <c r="B418" s="1"/>
    </row>
    <row r="419" spans="1:2" x14ac:dyDescent="0.25">
      <c r="A419" s="2"/>
      <c r="B419" s="1"/>
    </row>
    <row r="420" spans="1:2" x14ac:dyDescent="0.25">
      <c r="A420" s="2"/>
      <c r="B420" s="1"/>
    </row>
    <row r="421" spans="1:2" x14ac:dyDescent="0.25">
      <c r="A421" s="2"/>
      <c r="B421" s="1"/>
    </row>
    <row r="422" spans="1:2" x14ac:dyDescent="0.25">
      <c r="A422" s="2"/>
      <c r="B422" s="1"/>
    </row>
    <row r="423" spans="1:2" x14ac:dyDescent="0.25">
      <c r="A423" s="2"/>
      <c r="B423" s="1"/>
    </row>
    <row r="424" spans="1:2" x14ac:dyDescent="0.25">
      <c r="A424" s="2"/>
      <c r="B424" s="1"/>
    </row>
    <row r="425" spans="1:2" x14ac:dyDescent="0.25">
      <c r="A425" s="2"/>
      <c r="B425" s="1"/>
    </row>
    <row r="426" spans="1:2" x14ac:dyDescent="0.25">
      <c r="A426" s="2"/>
      <c r="B426" s="1"/>
    </row>
    <row r="427" spans="1:2" x14ac:dyDescent="0.25">
      <c r="A427" s="2"/>
      <c r="B427" s="1"/>
    </row>
    <row r="428" spans="1:2" x14ac:dyDescent="0.25">
      <c r="A428" s="2"/>
      <c r="B428" s="1"/>
    </row>
    <row r="429" spans="1:2" x14ac:dyDescent="0.25">
      <c r="A429" s="2"/>
      <c r="B429" s="1"/>
    </row>
    <row r="430" spans="1:2" x14ac:dyDescent="0.25">
      <c r="A430" s="2"/>
      <c r="B430" s="1"/>
    </row>
    <row r="431" spans="1:2" x14ac:dyDescent="0.25">
      <c r="A431" s="2"/>
      <c r="B431" s="1"/>
    </row>
    <row r="432" spans="1:2" x14ac:dyDescent="0.25">
      <c r="A432" s="2"/>
      <c r="B432" s="1"/>
    </row>
    <row r="433" spans="1:2" x14ac:dyDescent="0.25">
      <c r="A433" s="2"/>
      <c r="B433" s="1"/>
    </row>
    <row r="434" spans="1:2" x14ac:dyDescent="0.25">
      <c r="A434" s="2"/>
      <c r="B434" s="1"/>
    </row>
    <row r="435" spans="1:2" x14ac:dyDescent="0.25">
      <c r="A435" s="2"/>
      <c r="B435" s="1"/>
    </row>
    <row r="436" spans="1:2" x14ac:dyDescent="0.25">
      <c r="A436" s="2"/>
      <c r="B436" s="1"/>
    </row>
    <row r="437" spans="1:2" x14ac:dyDescent="0.25">
      <c r="A437" s="2"/>
      <c r="B437" s="1"/>
    </row>
    <row r="438" spans="1:2" x14ac:dyDescent="0.25">
      <c r="A438" s="2"/>
      <c r="B438" s="1"/>
    </row>
    <row r="439" spans="1:2" x14ac:dyDescent="0.25">
      <c r="A439" s="2"/>
      <c r="B439" s="1"/>
    </row>
    <row r="440" spans="1:2" x14ac:dyDescent="0.25">
      <c r="A440" s="2"/>
      <c r="B440" s="1"/>
    </row>
    <row r="441" spans="1:2" x14ac:dyDescent="0.25">
      <c r="A441" s="2"/>
      <c r="B441" s="1"/>
    </row>
    <row r="442" spans="1:2" x14ac:dyDescent="0.25">
      <c r="A442" s="2"/>
      <c r="B442" s="1"/>
    </row>
    <row r="443" spans="1:2" x14ac:dyDescent="0.25">
      <c r="A443" s="2"/>
      <c r="B443" s="1"/>
    </row>
    <row r="444" spans="1:2" x14ac:dyDescent="0.25">
      <c r="A444" s="2"/>
      <c r="B444" s="1"/>
    </row>
    <row r="445" spans="1:2" x14ac:dyDescent="0.25">
      <c r="A445" s="2"/>
      <c r="B445" s="1"/>
    </row>
    <row r="446" spans="1:2" x14ac:dyDescent="0.25">
      <c r="A446" s="2"/>
      <c r="B446" s="1"/>
    </row>
    <row r="447" spans="1:2" x14ac:dyDescent="0.25">
      <c r="A447" s="2"/>
      <c r="B447" s="1"/>
    </row>
    <row r="448" spans="1:2" x14ac:dyDescent="0.25">
      <c r="A448" s="2"/>
      <c r="B448" s="1"/>
    </row>
    <row r="449" spans="1:2" x14ac:dyDescent="0.25">
      <c r="A449" s="2"/>
      <c r="B449" s="1"/>
    </row>
    <row r="450" spans="1:2" x14ac:dyDescent="0.25">
      <c r="A450" s="2"/>
      <c r="B450" s="1"/>
    </row>
    <row r="451" spans="1:2" x14ac:dyDescent="0.25">
      <c r="A451" s="2"/>
      <c r="B451" s="1"/>
    </row>
    <row r="452" spans="1:2" x14ac:dyDescent="0.25">
      <c r="A452" s="2"/>
      <c r="B452" s="1"/>
    </row>
    <row r="453" spans="1:2" x14ac:dyDescent="0.25">
      <c r="A453" s="2"/>
      <c r="B453" s="1"/>
    </row>
    <row r="454" spans="1:2" x14ac:dyDescent="0.25">
      <c r="A454" s="2"/>
      <c r="B454" s="1"/>
    </row>
    <row r="455" spans="1:2" x14ac:dyDescent="0.25">
      <c r="A455" s="2"/>
      <c r="B455" s="1"/>
    </row>
    <row r="456" spans="1:2" x14ac:dyDescent="0.25">
      <c r="A456" s="2"/>
      <c r="B456" s="1"/>
    </row>
    <row r="457" spans="1:2" x14ac:dyDescent="0.25">
      <c r="A457" s="2"/>
      <c r="B457" s="1"/>
    </row>
    <row r="458" spans="1:2" x14ac:dyDescent="0.25">
      <c r="A458" s="2"/>
      <c r="B458" s="1"/>
    </row>
    <row r="459" spans="1:2" x14ac:dyDescent="0.25">
      <c r="A459" s="2"/>
      <c r="B459" s="1"/>
    </row>
    <row r="460" spans="1:2" x14ac:dyDescent="0.25">
      <c r="A460" s="2"/>
      <c r="B460" s="1"/>
    </row>
    <row r="461" spans="1:2" x14ac:dyDescent="0.25">
      <c r="A461" s="2"/>
      <c r="B461" s="1"/>
    </row>
    <row r="462" spans="1:2" x14ac:dyDescent="0.25">
      <c r="A462" s="2"/>
      <c r="B462" s="1"/>
    </row>
    <row r="463" spans="1:2" x14ac:dyDescent="0.25">
      <c r="A463" s="2"/>
      <c r="B463" s="1"/>
    </row>
    <row r="464" spans="1:2" x14ac:dyDescent="0.25">
      <c r="A464" s="2"/>
      <c r="B464" s="1"/>
    </row>
    <row r="465" spans="1:2" x14ac:dyDescent="0.25">
      <c r="A465" s="2"/>
      <c r="B465" s="1"/>
    </row>
    <row r="466" spans="1:2" x14ac:dyDescent="0.25">
      <c r="A466" s="2"/>
      <c r="B466" s="1"/>
    </row>
    <row r="467" spans="1:2" x14ac:dyDescent="0.25">
      <c r="A467" s="2"/>
      <c r="B467" s="1"/>
    </row>
    <row r="468" spans="1:2" x14ac:dyDescent="0.25">
      <c r="A468" s="2"/>
      <c r="B468" s="1"/>
    </row>
    <row r="469" spans="1:2" x14ac:dyDescent="0.25">
      <c r="A469" s="2"/>
      <c r="B469" s="1"/>
    </row>
    <row r="470" spans="1:2" x14ac:dyDescent="0.25">
      <c r="A470" s="2"/>
      <c r="B470" s="1"/>
    </row>
    <row r="471" spans="1:2" x14ac:dyDescent="0.25">
      <c r="A471" s="2"/>
      <c r="B471" s="1"/>
    </row>
    <row r="472" spans="1:2" x14ac:dyDescent="0.25">
      <c r="A472" s="2"/>
      <c r="B472" s="1"/>
    </row>
    <row r="473" spans="1:2" x14ac:dyDescent="0.25">
      <c r="A473" s="2"/>
      <c r="B473" s="1"/>
    </row>
    <row r="474" spans="1:2" x14ac:dyDescent="0.25">
      <c r="A474" s="2"/>
      <c r="B474" s="1"/>
    </row>
    <row r="475" spans="1:2" x14ac:dyDescent="0.25">
      <c r="A475" s="2"/>
      <c r="B475" s="1"/>
    </row>
    <row r="476" spans="1:2" x14ac:dyDescent="0.25">
      <c r="A476" s="2"/>
      <c r="B476" s="1"/>
    </row>
    <row r="477" spans="1:2" x14ac:dyDescent="0.25">
      <c r="A477" s="2"/>
      <c r="B477" s="1"/>
    </row>
    <row r="478" spans="1:2" x14ac:dyDescent="0.25">
      <c r="A478" s="2"/>
      <c r="B478" s="1"/>
    </row>
    <row r="479" spans="1:2" x14ac:dyDescent="0.25">
      <c r="A479" s="2"/>
      <c r="B479" s="1"/>
    </row>
    <row r="480" spans="1:2" x14ac:dyDescent="0.25">
      <c r="A480" s="2"/>
      <c r="B480" s="1"/>
    </row>
    <row r="481" spans="1:2" x14ac:dyDescent="0.25">
      <c r="A481" s="2"/>
      <c r="B481" s="1"/>
    </row>
    <row r="482" spans="1:2" x14ac:dyDescent="0.25">
      <c r="A482" s="2"/>
      <c r="B482" s="1"/>
    </row>
    <row r="483" spans="1:2" x14ac:dyDescent="0.25">
      <c r="A483" s="2"/>
      <c r="B483" s="1"/>
    </row>
    <row r="484" spans="1:2" x14ac:dyDescent="0.25">
      <c r="A484" s="2"/>
      <c r="B484" s="1"/>
    </row>
    <row r="485" spans="1:2" x14ac:dyDescent="0.25">
      <c r="A485" s="2"/>
      <c r="B485" s="1"/>
    </row>
    <row r="486" spans="1:2" x14ac:dyDescent="0.25">
      <c r="A486" s="2"/>
      <c r="B486" s="1"/>
    </row>
    <row r="487" spans="1:2" x14ac:dyDescent="0.25">
      <c r="A487" s="2"/>
      <c r="B487" s="1"/>
    </row>
    <row r="488" spans="1:2" x14ac:dyDescent="0.25">
      <c r="A488" s="2"/>
      <c r="B488" s="1"/>
    </row>
    <row r="489" spans="1:2" x14ac:dyDescent="0.25">
      <c r="A489" s="2"/>
      <c r="B489" s="1"/>
    </row>
    <row r="490" spans="1:2" x14ac:dyDescent="0.25">
      <c r="A490" s="2"/>
      <c r="B490" s="1"/>
    </row>
    <row r="491" spans="1:2" x14ac:dyDescent="0.25">
      <c r="A491" s="2"/>
      <c r="B491" s="1"/>
    </row>
    <row r="492" spans="1:2" x14ac:dyDescent="0.25">
      <c r="A492" s="2"/>
      <c r="B492" s="1"/>
    </row>
    <row r="493" spans="1:2" x14ac:dyDescent="0.25">
      <c r="A493" s="2"/>
      <c r="B493" s="1"/>
    </row>
    <row r="494" spans="1:2" x14ac:dyDescent="0.25">
      <c r="A494" s="2"/>
      <c r="B494" s="1"/>
    </row>
    <row r="495" spans="1:2" x14ac:dyDescent="0.25">
      <c r="A495" s="2"/>
      <c r="B495" s="1"/>
    </row>
    <row r="496" spans="1:2" x14ac:dyDescent="0.25">
      <c r="A496" s="2"/>
      <c r="B496" s="1"/>
    </row>
    <row r="497" spans="1:2" x14ac:dyDescent="0.25">
      <c r="A497" s="2"/>
      <c r="B497" s="1"/>
    </row>
    <row r="498" spans="1:2" x14ac:dyDescent="0.25">
      <c r="A498" s="2"/>
      <c r="B498" s="1"/>
    </row>
    <row r="499" spans="1:2" x14ac:dyDescent="0.25">
      <c r="A499" s="2"/>
      <c r="B499" s="1"/>
    </row>
    <row r="500" spans="1:2" x14ac:dyDescent="0.25">
      <c r="A500" s="2"/>
      <c r="B500" s="1"/>
    </row>
    <row r="501" spans="1:2" x14ac:dyDescent="0.25">
      <c r="A501" s="2"/>
      <c r="B501" s="1"/>
    </row>
    <row r="502" spans="1:2" x14ac:dyDescent="0.25">
      <c r="A502" s="2"/>
      <c r="B502" s="1"/>
    </row>
    <row r="503" spans="1:2" x14ac:dyDescent="0.25">
      <c r="A503" s="2"/>
      <c r="B503" s="1"/>
    </row>
    <row r="504" spans="1:2" x14ac:dyDescent="0.25">
      <c r="A504" s="2"/>
      <c r="B504" s="1"/>
    </row>
    <row r="505" spans="1:2" x14ac:dyDescent="0.25">
      <c r="A505" s="2"/>
      <c r="B505" s="1"/>
    </row>
    <row r="506" spans="1:2" x14ac:dyDescent="0.25">
      <c r="A506" s="2"/>
      <c r="B506" s="1"/>
    </row>
    <row r="507" spans="1:2" x14ac:dyDescent="0.25">
      <c r="A507" s="2"/>
      <c r="B507" s="1"/>
    </row>
    <row r="508" spans="1:2" x14ac:dyDescent="0.25">
      <c r="A508" s="2"/>
      <c r="B508" s="1"/>
    </row>
    <row r="509" spans="1:2" x14ac:dyDescent="0.25">
      <c r="A509" s="2"/>
      <c r="B509" s="1"/>
    </row>
    <row r="510" spans="1:2" x14ac:dyDescent="0.25">
      <c r="A510" s="2"/>
      <c r="B510" s="1"/>
    </row>
    <row r="511" spans="1:2" x14ac:dyDescent="0.25">
      <c r="A511" s="2"/>
      <c r="B511" s="1"/>
    </row>
    <row r="512" spans="1:2" x14ac:dyDescent="0.25">
      <c r="A512" s="2"/>
      <c r="B512" s="1"/>
    </row>
    <row r="513" spans="1:2" x14ac:dyDescent="0.25">
      <c r="A513" s="2"/>
      <c r="B513" s="1"/>
    </row>
    <row r="514" spans="1:2" x14ac:dyDescent="0.25">
      <c r="A514" s="2"/>
      <c r="B514" s="1"/>
    </row>
    <row r="515" spans="1:2" x14ac:dyDescent="0.25">
      <c r="A515" s="2"/>
      <c r="B515" s="1"/>
    </row>
    <row r="516" spans="1:2" x14ac:dyDescent="0.25">
      <c r="A516" s="2"/>
      <c r="B516" s="1"/>
    </row>
    <row r="517" spans="1:2" x14ac:dyDescent="0.25">
      <c r="A517" s="2"/>
      <c r="B517" s="1"/>
    </row>
    <row r="518" spans="1:2" x14ac:dyDescent="0.25">
      <c r="A518" s="2"/>
      <c r="B518" s="1"/>
    </row>
    <row r="519" spans="1:2" x14ac:dyDescent="0.25">
      <c r="A519" s="2"/>
      <c r="B519" s="1"/>
    </row>
    <row r="520" spans="1:2" x14ac:dyDescent="0.25">
      <c r="A520" s="2"/>
      <c r="B520" s="1"/>
    </row>
    <row r="521" spans="1:2" x14ac:dyDescent="0.25">
      <c r="A521" s="2"/>
      <c r="B521" s="1"/>
    </row>
    <row r="522" spans="1:2" x14ac:dyDescent="0.25">
      <c r="A522" s="2"/>
      <c r="B522" s="1"/>
    </row>
    <row r="523" spans="1:2" x14ac:dyDescent="0.25">
      <c r="A523" s="2"/>
      <c r="B523" s="1"/>
    </row>
    <row r="524" spans="1:2" x14ac:dyDescent="0.25">
      <c r="A524" s="2"/>
      <c r="B524" s="1"/>
    </row>
    <row r="525" spans="1:2" x14ac:dyDescent="0.25">
      <c r="A525" s="2"/>
      <c r="B525" s="1"/>
    </row>
    <row r="526" spans="1:2" x14ac:dyDescent="0.25">
      <c r="A526" s="2"/>
      <c r="B526" s="1"/>
    </row>
    <row r="527" spans="1:2" x14ac:dyDescent="0.25">
      <c r="A527" s="2"/>
      <c r="B527" s="1"/>
    </row>
    <row r="528" spans="1:2" x14ac:dyDescent="0.25">
      <c r="A528" s="2"/>
      <c r="B528" s="1"/>
    </row>
    <row r="529" spans="1:2" x14ac:dyDescent="0.25">
      <c r="A529" s="2"/>
      <c r="B529" s="1"/>
    </row>
    <row r="530" spans="1:2" x14ac:dyDescent="0.25">
      <c r="A530" s="2"/>
      <c r="B530" s="1"/>
    </row>
    <row r="531" spans="1:2" x14ac:dyDescent="0.25">
      <c r="A531" s="2"/>
      <c r="B531" s="1"/>
    </row>
    <row r="532" spans="1:2" x14ac:dyDescent="0.25">
      <c r="A532" s="2"/>
      <c r="B532" s="1"/>
    </row>
    <row r="533" spans="1:2" x14ac:dyDescent="0.25">
      <c r="A533" s="2"/>
      <c r="B533" s="1"/>
    </row>
    <row r="534" spans="1:2" x14ac:dyDescent="0.25">
      <c r="A534" s="2"/>
      <c r="B534" s="1"/>
    </row>
    <row r="535" spans="1:2" x14ac:dyDescent="0.25">
      <c r="A535" s="2"/>
      <c r="B535" s="1"/>
    </row>
    <row r="536" spans="1:2" x14ac:dyDescent="0.25">
      <c r="A536" s="2"/>
      <c r="B536" s="1"/>
    </row>
    <row r="537" spans="1:2" x14ac:dyDescent="0.25">
      <c r="A537" s="2"/>
      <c r="B537" s="1"/>
    </row>
    <row r="538" spans="1:2" x14ac:dyDescent="0.25">
      <c r="A538" s="2"/>
      <c r="B538" s="1"/>
    </row>
    <row r="539" spans="1:2" x14ac:dyDescent="0.25">
      <c r="A539" s="2"/>
      <c r="B539" s="1"/>
    </row>
    <row r="540" spans="1:2" x14ac:dyDescent="0.25">
      <c r="A540" s="2"/>
      <c r="B540" s="1"/>
    </row>
    <row r="541" spans="1:2" x14ac:dyDescent="0.25">
      <c r="A541" s="2"/>
      <c r="B541" s="1"/>
    </row>
    <row r="542" spans="1:2" x14ac:dyDescent="0.25">
      <c r="A542" s="2"/>
      <c r="B542" s="1"/>
    </row>
    <row r="543" spans="1:2" x14ac:dyDescent="0.25">
      <c r="A543" s="2"/>
      <c r="B543" s="1"/>
    </row>
    <row r="544" spans="1:2" x14ac:dyDescent="0.25">
      <c r="A544" s="2"/>
      <c r="B544" s="1"/>
    </row>
    <row r="545" spans="1:2" x14ac:dyDescent="0.25">
      <c r="A545" s="2"/>
      <c r="B545" s="1"/>
    </row>
    <row r="546" spans="1:2" x14ac:dyDescent="0.25">
      <c r="A546" s="2"/>
      <c r="B546" s="1"/>
    </row>
    <row r="547" spans="1:2" x14ac:dyDescent="0.25">
      <c r="A547" s="2"/>
      <c r="B547" s="1"/>
    </row>
    <row r="548" spans="1:2" x14ac:dyDescent="0.25">
      <c r="A548" s="2"/>
      <c r="B548" s="1"/>
    </row>
    <row r="549" spans="1:2" x14ac:dyDescent="0.25">
      <c r="A549" s="2"/>
      <c r="B549" s="1"/>
    </row>
    <row r="550" spans="1:2" x14ac:dyDescent="0.25">
      <c r="A550" s="2"/>
      <c r="B550" s="1"/>
    </row>
    <row r="551" spans="1:2" x14ac:dyDescent="0.25">
      <c r="A551" s="2"/>
      <c r="B551" s="1"/>
    </row>
    <row r="552" spans="1:2" x14ac:dyDescent="0.25">
      <c r="A552" s="2"/>
      <c r="B552" s="1"/>
    </row>
    <row r="553" spans="1:2" x14ac:dyDescent="0.25">
      <c r="A553" s="2"/>
      <c r="B553" s="1"/>
    </row>
    <row r="554" spans="1:2" x14ac:dyDescent="0.25">
      <c r="A554" s="2"/>
      <c r="B554" s="1"/>
    </row>
    <row r="555" spans="1:2" x14ac:dyDescent="0.25">
      <c r="A555" s="2"/>
      <c r="B555" s="1"/>
    </row>
    <row r="556" spans="1:2" x14ac:dyDescent="0.25">
      <c r="A556" s="2"/>
      <c r="B556" s="1"/>
    </row>
    <row r="557" spans="1:2" x14ac:dyDescent="0.25">
      <c r="A557" s="2"/>
      <c r="B557" s="1"/>
    </row>
    <row r="558" spans="1:2" x14ac:dyDescent="0.25">
      <c r="A558" s="2"/>
      <c r="B558" s="1"/>
    </row>
    <row r="559" spans="1:2" x14ac:dyDescent="0.25">
      <c r="A559" s="2"/>
      <c r="B559" s="1"/>
    </row>
    <row r="560" spans="1:2" x14ac:dyDescent="0.25">
      <c r="A560" s="2"/>
      <c r="B560" s="1"/>
    </row>
    <row r="561" spans="1:2" x14ac:dyDescent="0.25">
      <c r="A561" s="2"/>
      <c r="B561" s="1"/>
    </row>
    <row r="562" spans="1:2" x14ac:dyDescent="0.25">
      <c r="A562" s="2"/>
      <c r="B562" s="1"/>
    </row>
    <row r="563" spans="1:2" x14ac:dyDescent="0.25">
      <c r="A563" s="2"/>
      <c r="B563" s="1"/>
    </row>
    <row r="564" spans="1:2" x14ac:dyDescent="0.25">
      <c r="A564" s="2"/>
      <c r="B564" s="1"/>
    </row>
    <row r="565" spans="1:2" x14ac:dyDescent="0.25">
      <c r="A565" s="2"/>
      <c r="B565" s="1"/>
    </row>
    <row r="566" spans="1:2" x14ac:dyDescent="0.25">
      <c r="A566" s="2"/>
      <c r="B566" s="1"/>
    </row>
    <row r="567" spans="1:2" x14ac:dyDescent="0.25">
      <c r="A567" s="2"/>
      <c r="B567" s="1"/>
    </row>
    <row r="568" spans="1:2" x14ac:dyDescent="0.25">
      <c r="A568" s="2"/>
      <c r="B568" s="1"/>
    </row>
    <row r="569" spans="1:2" x14ac:dyDescent="0.25">
      <c r="A569" s="2"/>
      <c r="B569" s="1"/>
    </row>
    <row r="570" spans="1:2" x14ac:dyDescent="0.25">
      <c r="A570" s="2"/>
      <c r="B570" s="1"/>
    </row>
    <row r="571" spans="1:2" x14ac:dyDescent="0.25">
      <c r="A571" s="2"/>
      <c r="B571" s="1"/>
    </row>
    <row r="572" spans="1:2" x14ac:dyDescent="0.25">
      <c r="A572" s="2"/>
      <c r="B572" s="1"/>
    </row>
    <row r="573" spans="1:2" x14ac:dyDescent="0.25">
      <c r="A573" s="2"/>
      <c r="B573" s="1"/>
    </row>
    <row r="574" spans="1:2" x14ac:dyDescent="0.25">
      <c r="A574" s="2"/>
      <c r="B574" s="1"/>
    </row>
    <row r="575" spans="1:2" x14ac:dyDescent="0.25">
      <c r="A575" s="2"/>
      <c r="B575" s="1"/>
    </row>
    <row r="576" spans="1:2" x14ac:dyDescent="0.25">
      <c r="A576" s="2"/>
      <c r="B576" s="1"/>
    </row>
    <row r="577" spans="1:2" x14ac:dyDescent="0.25">
      <c r="A577" s="2"/>
      <c r="B577" s="1"/>
    </row>
    <row r="578" spans="1:2" x14ac:dyDescent="0.25">
      <c r="A578" s="2"/>
      <c r="B578" s="1"/>
    </row>
    <row r="579" spans="1:2" x14ac:dyDescent="0.25">
      <c r="A579" s="2"/>
      <c r="B579" s="1"/>
    </row>
    <row r="580" spans="1:2" x14ac:dyDescent="0.25">
      <c r="A580" s="2"/>
      <c r="B580" s="1"/>
    </row>
    <row r="581" spans="1:2" x14ac:dyDescent="0.25">
      <c r="A581" s="2"/>
      <c r="B581" s="1"/>
    </row>
    <row r="582" spans="1:2" x14ac:dyDescent="0.25">
      <c r="A582" s="2"/>
      <c r="B582" s="1"/>
    </row>
    <row r="583" spans="1:2" x14ac:dyDescent="0.25">
      <c r="A583" s="2"/>
      <c r="B583" s="1"/>
    </row>
    <row r="584" spans="1:2" x14ac:dyDescent="0.25">
      <c r="A584" s="2"/>
      <c r="B584" s="1"/>
    </row>
    <row r="585" spans="1:2" x14ac:dyDescent="0.25">
      <c r="A585" s="2"/>
      <c r="B585" s="1"/>
    </row>
    <row r="586" spans="1:2" x14ac:dyDescent="0.25">
      <c r="A586" s="2"/>
      <c r="B586" s="1"/>
    </row>
    <row r="587" spans="1:2" x14ac:dyDescent="0.25">
      <c r="A587" s="2"/>
      <c r="B587" s="1"/>
    </row>
    <row r="588" spans="1:2" x14ac:dyDescent="0.25">
      <c r="A588" s="2"/>
      <c r="B588" s="1"/>
    </row>
    <row r="589" spans="1:2" x14ac:dyDescent="0.25">
      <c r="A589" s="2"/>
      <c r="B589" s="1"/>
    </row>
    <row r="590" spans="1:2" x14ac:dyDescent="0.25">
      <c r="A590" s="2"/>
      <c r="B590" s="1"/>
    </row>
    <row r="591" spans="1:2" x14ac:dyDescent="0.25">
      <c r="A591" s="2"/>
      <c r="B591" s="1"/>
    </row>
    <row r="592" spans="1:2" x14ac:dyDescent="0.25">
      <c r="A592" s="2"/>
      <c r="B592" s="1"/>
    </row>
    <row r="593" spans="1:2" x14ac:dyDescent="0.25">
      <c r="A593" s="2"/>
      <c r="B593" s="1"/>
    </row>
    <row r="594" spans="1:2" x14ac:dyDescent="0.25">
      <c r="A594" s="2"/>
      <c r="B594" s="1"/>
    </row>
    <row r="595" spans="1:2" x14ac:dyDescent="0.25">
      <c r="A595" s="2"/>
      <c r="B595" s="1"/>
    </row>
    <row r="596" spans="1:2" x14ac:dyDescent="0.25">
      <c r="A596" s="2"/>
      <c r="B596" s="1"/>
    </row>
    <row r="597" spans="1:2" x14ac:dyDescent="0.25">
      <c r="A597" s="2"/>
      <c r="B597" s="1"/>
    </row>
    <row r="598" spans="1:2" x14ac:dyDescent="0.25">
      <c r="A598" s="2"/>
      <c r="B598" s="1"/>
    </row>
    <row r="599" spans="1:2" x14ac:dyDescent="0.25">
      <c r="A599" s="2"/>
      <c r="B599" s="1"/>
    </row>
    <row r="600" spans="1:2" x14ac:dyDescent="0.25">
      <c r="A600" s="2"/>
      <c r="B600" s="1"/>
    </row>
    <row r="601" spans="1:2" x14ac:dyDescent="0.25">
      <c r="A601" s="2"/>
      <c r="B601" s="1"/>
    </row>
    <row r="602" spans="1:2" x14ac:dyDescent="0.25">
      <c r="A602" s="2"/>
      <c r="B602" s="1"/>
    </row>
    <row r="603" spans="1:2" x14ac:dyDescent="0.25">
      <c r="A603" s="2"/>
      <c r="B603" s="1"/>
    </row>
    <row r="604" spans="1:2" x14ac:dyDescent="0.25">
      <c r="A604" s="2"/>
      <c r="B604" s="1"/>
    </row>
    <row r="605" spans="1:2" x14ac:dyDescent="0.25">
      <c r="A605" s="2"/>
      <c r="B605" s="1"/>
    </row>
    <row r="606" spans="1:2" x14ac:dyDescent="0.25">
      <c r="A606" s="2"/>
      <c r="B606" s="1"/>
    </row>
    <row r="607" spans="1:2" x14ac:dyDescent="0.25">
      <c r="A607" s="2"/>
      <c r="B607" s="1"/>
    </row>
    <row r="608" spans="1:2" x14ac:dyDescent="0.25">
      <c r="A608" s="2"/>
      <c r="B608" s="1"/>
    </row>
    <row r="609" spans="1:2" x14ac:dyDescent="0.25">
      <c r="A609" s="2"/>
      <c r="B609" s="1"/>
    </row>
    <row r="610" spans="1:2" x14ac:dyDescent="0.25">
      <c r="A610" s="2"/>
      <c r="B610" s="1"/>
    </row>
    <row r="611" spans="1:2" x14ac:dyDescent="0.25">
      <c r="A611" s="2"/>
      <c r="B611" s="1"/>
    </row>
    <row r="612" spans="1:2" x14ac:dyDescent="0.25">
      <c r="A612" s="2"/>
      <c r="B612" s="1"/>
    </row>
    <row r="613" spans="1:2" x14ac:dyDescent="0.25">
      <c r="A613" s="2"/>
      <c r="B613" s="1"/>
    </row>
    <row r="614" spans="1:2" x14ac:dyDescent="0.25">
      <c r="A614" s="2"/>
      <c r="B614" s="1"/>
    </row>
    <row r="615" spans="1:2" x14ac:dyDescent="0.25">
      <c r="A615" s="2"/>
      <c r="B615" s="1"/>
    </row>
    <row r="616" spans="1:2" x14ac:dyDescent="0.25">
      <c r="A616" s="2"/>
      <c r="B616" s="1"/>
    </row>
    <row r="617" spans="1:2" x14ac:dyDescent="0.25">
      <c r="A617" s="2"/>
      <c r="B617" s="1"/>
    </row>
    <row r="618" spans="1:2" x14ac:dyDescent="0.25">
      <c r="A618" s="2"/>
      <c r="B618" s="1"/>
    </row>
    <row r="619" spans="1:2" x14ac:dyDescent="0.25">
      <c r="A619" s="2"/>
      <c r="B619" s="1"/>
    </row>
    <row r="620" spans="1:2" x14ac:dyDescent="0.25">
      <c r="A620" s="2"/>
      <c r="B620" s="1"/>
    </row>
    <row r="621" spans="1:2" x14ac:dyDescent="0.25">
      <c r="A621" s="2"/>
      <c r="B621" s="1"/>
    </row>
    <row r="622" spans="1:2" x14ac:dyDescent="0.25">
      <c r="A622" s="2"/>
      <c r="B622" s="1"/>
    </row>
    <row r="623" spans="1:2" x14ac:dyDescent="0.25">
      <c r="A623" s="2"/>
      <c r="B623" s="1"/>
    </row>
    <row r="624" spans="1:2" x14ac:dyDescent="0.25">
      <c r="A624" s="2"/>
      <c r="B624" s="1"/>
    </row>
    <row r="625" spans="1:2" x14ac:dyDescent="0.25">
      <c r="A625" s="2"/>
      <c r="B625" s="1"/>
    </row>
    <row r="626" spans="1:2" x14ac:dyDescent="0.25">
      <c r="A626" s="2"/>
      <c r="B626" s="1"/>
    </row>
    <row r="627" spans="1:2" x14ac:dyDescent="0.25">
      <c r="A627" s="2"/>
      <c r="B627" s="1"/>
    </row>
    <row r="628" spans="1:2" x14ac:dyDescent="0.25">
      <c r="A628" s="2"/>
      <c r="B628" s="1"/>
    </row>
    <row r="629" spans="1:2" x14ac:dyDescent="0.25">
      <c r="A629" s="2"/>
      <c r="B629" s="1"/>
    </row>
    <row r="630" spans="1:2" x14ac:dyDescent="0.25">
      <c r="A630" s="2"/>
      <c r="B630" s="1"/>
    </row>
    <row r="631" spans="1:2" x14ac:dyDescent="0.25">
      <c r="A631" s="2"/>
      <c r="B631" s="1"/>
    </row>
    <row r="632" spans="1:2" x14ac:dyDescent="0.25">
      <c r="A632" s="2"/>
      <c r="B632" s="1"/>
    </row>
    <row r="633" spans="1:2" x14ac:dyDescent="0.25">
      <c r="A633" s="2"/>
      <c r="B633" s="1"/>
    </row>
    <row r="634" spans="1:2" x14ac:dyDescent="0.25">
      <c r="A634" s="2"/>
      <c r="B634" s="1"/>
    </row>
    <row r="635" spans="1:2" x14ac:dyDescent="0.25">
      <c r="A635" s="2"/>
      <c r="B635" s="1"/>
    </row>
    <row r="636" spans="1:2" x14ac:dyDescent="0.25">
      <c r="A636" s="2"/>
      <c r="B636" s="1"/>
    </row>
    <row r="637" spans="1:2" x14ac:dyDescent="0.25">
      <c r="A637" s="2"/>
      <c r="B637" s="1"/>
    </row>
    <row r="638" spans="1:2" x14ac:dyDescent="0.25">
      <c r="A638" s="2"/>
      <c r="B638" s="1"/>
    </row>
    <row r="639" spans="1:2" x14ac:dyDescent="0.25">
      <c r="A639" s="2"/>
      <c r="B639" s="1"/>
    </row>
    <row r="640" spans="1:2" x14ac:dyDescent="0.25">
      <c r="A640" s="2"/>
      <c r="B640" s="1"/>
    </row>
    <row r="641" spans="1:2" x14ac:dyDescent="0.25">
      <c r="A641" s="2"/>
      <c r="B641" s="1"/>
    </row>
    <row r="642" spans="1:2" x14ac:dyDescent="0.25">
      <c r="A642" s="2"/>
      <c r="B642" s="1"/>
    </row>
    <row r="643" spans="1:2" x14ac:dyDescent="0.25">
      <c r="A643" s="2"/>
      <c r="B643" s="1"/>
    </row>
    <row r="644" spans="1:2" x14ac:dyDescent="0.25">
      <c r="A644" s="2"/>
      <c r="B644" s="1"/>
    </row>
    <row r="645" spans="1:2" x14ac:dyDescent="0.25">
      <c r="A645" s="2"/>
      <c r="B645" s="1"/>
    </row>
    <row r="646" spans="1:2" x14ac:dyDescent="0.25">
      <c r="A646" s="2"/>
      <c r="B646" s="1"/>
    </row>
    <row r="647" spans="1:2" x14ac:dyDescent="0.25">
      <c r="A647" s="2"/>
      <c r="B647" s="1"/>
    </row>
    <row r="648" spans="1:2" x14ac:dyDescent="0.25">
      <c r="A648" s="2"/>
      <c r="B648" s="1"/>
    </row>
    <row r="649" spans="1:2" x14ac:dyDescent="0.25">
      <c r="A649" s="2"/>
      <c r="B649" s="1"/>
    </row>
    <row r="650" spans="1:2" x14ac:dyDescent="0.25">
      <c r="A650" s="2"/>
      <c r="B650" s="1"/>
    </row>
    <row r="651" spans="1:2" x14ac:dyDescent="0.25">
      <c r="A651" s="2"/>
      <c r="B651" s="1"/>
    </row>
    <row r="652" spans="1:2" x14ac:dyDescent="0.25">
      <c r="A652" s="2"/>
      <c r="B652" s="1"/>
    </row>
    <row r="653" spans="1:2" x14ac:dyDescent="0.25">
      <c r="A653" s="2"/>
      <c r="B653" s="1"/>
    </row>
    <row r="654" spans="1:2" x14ac:dyDescent="0.25">
      <c r="A654" s="2"/>
      <c r="B654" s="1"/>
    </row>
    <row r="655" spans="1:2" x14ac:dyDescent="0.25">
      <c r="A655" s="2"/>
      <c r="B655" s="1"/>
    </row>
    <row r="656" spans="1:2" x14ac:dyDescent="0.25">
      <c r="A656" s="2"/>
      <c r="B656" s="1"/>
    </row>
    <row r="657" spans="1:2" x14ac:dyDescent="0.25">
      <c r="A657" s="2"/>
      <c r="B657" s="1"/>
    </row>
    <row r="658" spans="1:2" x14ac:dyDescent="0.25">
      <c r="A658" s="2"/>
      <c r="B658" s="1"/>
    </row>
    <row r="659" spans="1:2" x14ac:dyDescent="0.25">
      <c r="A659" s="2"/>
      <c r="B659" s="1"/>
    </row>
    <row r="660" spans="1:2" x14ac:dyDescent="0.25">
      <c r="A660" s="2"/>
      <c r="B660" s="1"/>
    </row>
    <row r="661" spans="1:2" x14ac:dyDescent="0.25">
      <c r="A661" s="2"/>
      <c r="B661" s="1"/>
    </row>
    <row r="662" spans="1:2" x14ac:dyDescent="0.25">
      <c r="A662" s="2"/>
      <c r="B662" s="1"/>
    </row>
    <row r="663" spans="1:2" x14ac:dyDescent="0.25">
      <c r="A663" s="2"/>
      <c r="B663" s="1"/>
    </row>
    <row r="664" spans="1:2" x14ac:dyDescent="0.25">
      <c r="A664" s="2"/>
      <c r="B664" s="1"/>
    </row>
    <row r="665" spans="1:2" x14ac:dyDescent="0.25">
      <c r="A665" s="2"/>
      <c r="B665" s="1"/>
    </row>
    <row r="666" spans="1:2" x14ac:dyDescent="0.25">
      <c r="A666" s="2"/>
      <c r="B666" s="1"/>
    </row>
    <row r="667" spans="1:2" x14ac:dyDescent="0.25">
      <c r="A667" s="2"/>
      <c r="B667" s="1"/>
    </row>
    <row r="668" spans="1:2" x14ac:dyDescent="0.25">
      <c r="A668" s="2"/>
      <c r="B668" s="1"/>
    </row>
    <row r="669" spans="1:2" x14ac:dyDescent="0.25">
      <c r="A669" s="2"/>
      <c r="B669" s="1"/>
    </row>
    <row r="670" spans="1:2" x14ac:dyDescent="0.25">
      <c r="A670" s="2"/>
      <c r="B670" s="1"/>
    </row>
    <row r="671" spans="1:2" x14ac:dyDescent="0.25">
      <c r="A671" s="2"/>
      <c r="B671" s="1"/>
    </row>
    <row r="672" spans="1:2" x14ac:dyDescent="0.25">
      <c r="A672" s="2"/>
      <c r="B672" s="1"/>
    </row>
    <row r="673" spans="1:2" x14ac:dyDescent="0.25">
      <c r="A673" s="2"/>
      <c r="B673" s="1"/>
    </row>
    <row r="674" spans="1:2" x14ac:dyDescent="0.25">
      <c r="A674" s="2"/>
      <c r="B674" s="1"/>
    </row>
    <row r="675" spans="1:2" x14ac:dyDescent="0.25">
      <c r="A675" s="2"/>
      <c r="B675" s="1"/>
    </row>
    <row r="676" spans="1:2" x14ac:dyDescent="0.25">
      <c r="A676" s="2"/>
      <c r="B676" s="1"/>
    </row>
    <row r="677" spans="1:2" x14ac:dyDescent="0.25">
      <c r="A677" s="2"/>
      <c r="B677" s="1"/>
    </row>
    <row r="678" spans="1:2" x14ac:dyDescent="0.25">
      <c r="A678" s="2"/>
      <c r="B678" s="1"/>
    </row>
    <row r="679" spans="1:2" x14ac:dyDescent="0.25">
      <c r="A679" s="2"/>
      <c r="B679" s="1"/>
    </row>
    <row r="680" spans="1:2" x14ac:dyDescent="0.25">
      <c r="A680" s="2"/>
      <c r="B680" s="1"/>
    </row>
    <row r="681" spans="1:2" x14ac:dyDescent="0.25">
      <c r="A681" s="2"/>
      <c r="B681" s="1"/>
    </row>
    <row r="682" spans="1:2" x14ac:dyDescent="0.25">
      <c r="A682" s="2"/>
      <c r="B682" s="1"/>
    </row>
    <row r="683" spans="1:2" x14ac:dyDescent="0.25">
      <c r="A683" s="2"/>
      <c r="B683" s="1"/>
    </row>
    <row r="684" spans="1:2" x14ac:dyDescent="0.25">
      <c r="A684" s="2"/>
      <c r="B684" s="1"/>
    </row>
    <row r="685" spans="1:2" x14ac:dyDescent="0.25">
      <c r="A685" s="2"/>
      <c r="B685" s="1"/>
    </row>
    <row r="686" spans="1:2" x14ac:dyDescent="0.25">
      <c r="A686" s="2"/>
      <c r="B686" s="1"/>
    </row>
    <row r="687" spans="1:2" x14ac:dyDescent="0.25">
      <c r="A687" s="2"/>
      <c r="B687" s="1"/>
    </row>
    <row r="688" spans="1:2" x14ac:dyDescent="0.25">
      <c r="A688" s="2"/>
      <c r="B688" s="1"/>
    </row>
    <row r="689" spans="1:2" x14ac:dyDescent="0.25">
      <c r="A689" s="2"/>
      <c r="B689" s="1"/>
    </row>
    <row r="690" spans="1:2" x14ac:dyDescent="0.25">
      <c r="A690" s="2"/>
      <c r="B690" s="1"/>
    </row>
    <row r="691" spans="1:2" x14ac:dyDescent="0.25">
      <c r="A691" s="2"/>
      <c r="B691" s="1"/>
    </row>
    <row r="692" spans="1:2" x14ac:dyDescent="0.25">
      <c r="A692" s="2"/>
      <c r="B692" s="1"/>
    </row>
    <row r="693" spans="1:2" x14ac:dyDescent="0.25">
      <c r="A693" s="2"/>
      <c r="B693" s="1"/>
    </row>
    <row r="694" spans="1:2" x14ac:dyDescent="0.25">
      <c r="A694" s="2"/>
      <c r="B694" s="1"/>
    </row>
    <row r="695" spans="1:2" x14ac:dyDescent="0.25">
      <c r="A695" s="2"/>
      <c r="B695" s="1"/>
    </row>
    <row r="696" spans="1:2" x14ac:dyDescent="0.25">
      <c r="A696" s="2"/>
      <c r="B696" s="1"/>
    </row>
    <row r="697" spans="1:2" x14ac:dyDescent="0.25">
      <c r="A697" s="2"/>
      <c r="B697" s="1"/>
    </row>
    <row r="698" spans="1:2" x14ac:dyDescent="0.25">
      <c r="A698" s="2"/>
      <c r="B698" s="1"/>
    </row>
    <row r="699" spans="1:2" x14ac:dyDescent="0.25">
      <c r="A699" s="2"/>
      <c r="B699" s="1"/>
    </row>
    <row r="700" spans="1:2" x14ac:dyDescent="0.25">
      <c r="A700" s="2"/>
      <c r="B700" s="1"/>
    </row>
    <row r="701" spans="1:2" x14ac:dyDescent="0.25">
      <c r="A701" s="2"/>
      <c r="B701" s="1"/>
    </row>
    <row r="702" spans="1:2" x14ac:dyDescent="0.25">
      <c r="A702" s="2"/>
      <c r="B702" s="1"/>
    </row>
    <row r="703" spans="1:2" x14ac:dyDescent="0.25">
      <c r="A703" s="2"/>
      <c r="B703" s="1"/>
    </row>
    <row r="704" spans="1:2" x14ac:dyDescent="0.25">
      <c r="A704" s="2"/>
      <c r="B704" s="1"/>
    </row>
    <row r="705" spans="1:2" x14ac:dyDescent="0.25">
      <c r="A705" s="2"/>
      <c r="B705" s="1"/>
    </row>
    <row r="706" spans="1:2" x14ac:dyDescent="0.25">
      <c r="A706" s="2"/>
      <c r="B706" s="1"/>
    </row>
    <row r="707" spans="1:2" x14ac:dyDescent="0.25">
      <c r="A707" s="2"/>
      <c r="B707" s="1"/>
    </row>
    <row r="708" spans="1:2" x14ac:dyDescent="0.25">
      <c r="A708" s="2"/>
      <c r="B708" s="1"/>
    </row>
    <row r="709" spans="1:2" x14ac:dyDescent="0.25">
      <c r="A709" s="2"/>
      <c r="B709" s="1"/>
    </row>
    <row r="710" spans="1:2" x14ac:dyDescent="0.25">
      <c r="A710" s="2"/>
      <c r="B710" s="1"/>
    </row>
    <row r="711" spans="1:2" x14ac:dyDescent="0.25">
      <c r="A711" s="2"/>
      <c r="B711" s="1"/>
    </row>
    <row r="712" spans="1:2" x14ac:dyDescent="0.25">
      <c r="A712" s="2"/>
      <c r="B712" s="1"/>
    </row>
    <row r="713" spans="1:2" x14ac:dyDescent="0.25">
      <c r="A713" s="2"/>
      <c r="B713" s="1"/>
    </row>
    <row r="714" spans="1:2" x14ac:dyDescent="0.25">
      <c r="A714" s="2"/>
      <c r="B714" s="1"/>
    </row>
    <row r="715" spans="1:2" x14ac:dyDescent="0.25">
      <c r="A715" s="2"/>
      <c r="B715" s="1"/>
    </row>
    <row r="716" spans="1:2" x14ac:dyDescent="0.25">
      <c r="A716" s="2"/>
      <c r="B716" s="1"/>
    </row>
    <row r="717" spans="1:2" x14ac:dyDescent="0.25">
      <c r="A717" s="2"/>
      <c r="B717" s="1"/>
    </row>
    <row r="718" spans="1:2" x14ac:dyDescent="0.25">
      <c r="A718" s="2"/>
      <c r="B718" s="1"/>
    </row>
    <row r="719" spans="1:2" x14ac:dyDescent="0.25">
      <c r="A719" s="2"/>
      <c r="B719" s="1"/>
    </row>
    <row r="720" spans="1:2" x14ac:dyDescent="0.25">
      <c r="A720" s="2"/>
      <c r="B720" s="1"/>
    </row>
    <row r="721" spans="1:2" x14ac:dyDescent="0.25">
      <c r="A721" s="2"/>
      <c r="B721" s="1"/>
    </row>
    <row r="722" spans="1:2" x14ac:dyDescent="0.25">
      <c r="A722" s="2"/>
      <c r="B722" s="1"/>
    </row>
    <row r="723" spans="1:2" x14ac:dyDescent="0.25">
      <c r="A723" s="2"/>
      <c r="B723" s="1"/>
    </row>
    <row r="724" spans="1:2" x14ac:dyDescent="0.25">
      <c r="A724" s="2"/>
      <c r="B724" s="1"/>
    </row>
    <row r="725" spans="1:2" x14ac:dyDescent="0.25">
      <c r="A725" s="2"/>
      <c r="B725" s="1"/>
    </row>
    <row r="726" spans="1:2" x14ac:dyDescent="0.25">
      <c r="A726" s="2"/>
      <c r="B726" s="1"/>
    </row>
    <row r="727" spans="1:2" x14ac:dyDescent="0.25">
      <c r="A727" s="2"/>
      <c r="B727" s="1"/>
    </row>
    <row r="728" spans="1:2" x14ac:dyDescent="0.25">
      <c r="A728" s="2"/>
      <c r="B728" s="1"/>
    </row>
    <row r="729" spans="1:2" x14ac:dyDescent="0.25">
      <c r="A729" s="2"/>
      <c r="B729" s="1"/>
    </row>
    <row r="730" spans="1:2" x14ac:dyDescent="0.25">
      <c r="A730" s="2"/>
      <c r="B730" s="1"/>
    </row>
    <row r="731" spans="1:2" x14ac:dyDescent="0.25">
      <c r="A731" s="2"/>
      <c r="B731" s="1"/>
    </row>
    <row r="732" spans="1:2" x14ac:dyDescent="0.25">
      <c r="A732" s="2"/>
      <c r="B732" s="1"/>
    </row>
    <row r="733" spans="1:2" x14ac:dyDescent="0.25">
      <c r="A733" s="2"/>
      <c r="B733" s="1"/>
    </row>
    <row r="734" spans="1:2" x14ac:dyDescent="0.25">
      <c r="A734" s="2"/>
      <c r="B734" s="1"/>
    </row>
    <row r="735" spans="1:2" x14ac:dyDescent="0.25">
      <c r="A735" s="2"/>
      <c r="B735" s="1"/>
    </row>
    <row r="736" spans="1:2" x14ac:dyDescent="0.25">
      <c r="A736" s="2"/>
      <c r="B736" s="1"/>
    </row>
    <row r="737" spans="1:2" x14ac:dyDescent="0.25">
      <c r="A737" s="2"/>
      <c r="B737" s="1"/>
    </row>
    <row r="738" spans="1:2" x14ac:dyDescent="0.25">
      <c r="A738" s="2"/>
      <c r="B738" s="1"/>
    </row>
    <row r="739" spans="1:2" x14ac:dyDescent="0.25">
      <c r="A739" s="2"/>
      <c r="B739" s="1"/>
    </row>
    <row r="740" spans="1:2" x14ac:dyDescent="0.25">
      <c r="A740" s="2"/>
      <c r="B740" s="1"/>
    </row>
    <row r="741" spans="1:2" x14ac:dyDescent="0.25">
      <c r="A741" s="2"/>
      <c r="B741" s="1"/>
    </row>
    <row r="742" spans="1:2" x14ac:dyDescent="0.25">
      <c r="A742" s="2"/>
      <c r="B742" s="1"/>
    </row>
    <row r="743" spans="1:2" x14ac:dyDescent="0.25">
      <c r="A743" s="2"/>
      <c r="B743" s="1"/>
    </row>
    <row r="744" spans="1:2" x14ac:dyDescent="0.25">
      <c r="A744" s="2"/>
      <c r="B744" s="1"/>
    </row>
    <row r="745" spans="1:2" x14ac:dyDescent="0.25">
      <c r="A745" s="2"/>
      <c r="B745" s="1"/>
    </row>
    <row r="746" spans="1:2" x14ac:dyDescent="0.25">
      <c r="A746" s="2"/>
      <c r="B746" s="1"/>
    </row>
    <row r="747" spans="1:2" x14ac:dyDescent="0.25">
      <c r="A747" s="2"/>
      <c r="B747" s="1"/>
    </row>
    <row r="748" spans="1:2" x14ac:dyDescent="0.25">
      <c r="A748" s="2"/>
      <c r="B748" s="1"/>
    </row>
    <row r="749" spans="1:2" x14ac:dyDescent="0.25">
      <c r="A749" s="2"/>
      <c r="B749" s="1"/>
    </row>
    <row r="750" spans="1:2" x14ac:dyDescent="0.25">
      <c r="A750" s="2"/>
      <c r="B750" s="1"/>
    </row>
    <row r="751" spans="1:2" x14ac:dyDescent="0.25">
      <c r="A751" s="2"/>
      <c r="B751" s="1"/>
    </row>
    <row r="752" spans="1:2" x14ac:dyDescent="0.25">
      <c r="A752" s="2"/>
      <c r="B752" s="1"/>
    </row>
    <row r="753" spans="1:2" x14ac:dyDescent="0.25">
      <c r="A753" s="2"/>
      <c r="B753" s="1"/>
    </row>
    <row r="754" spans="1:2" x14ac:dyDescent="0.25">
      <c r="A754" s="2"/>
      <c r="B754" s="1"/>
    </row>
    <row r="755" spans="1:2" x14ac:dyDescent="0.25">
      <c r="A755" s="2"/>
      <c r="B755" s="1"/>
    </row>
    <row r="756" spans="1:2" x14ac:dyDescent="0.25">
      <c r="A756" s="2"/>
      <c r="B756" s="1"/>
    </row>
    <row r="757" spans="1:2" x14ac:dyDescent="0.25">
      <c r="A757" s="2"/>
      <c r="B757" s="1"/>
    </row>
    <row r="758" spans="1:2" x14ac:dyDescent="0.25">
      <c r="A758" s="2"/>
      <c r="B758" s="1"/>
    </row>
    <row r="759" spans="1:2" x14ac:dyDescent="0.25">
      <c r="A759" s="2"/>
      <c r="B759" s="1"/>
    </row>
    <row r="760" spans="1:2" x14ac:dyDescent="0.25">
      <c r="A760" s="2"/>
      <c r="B760" s="1"/>
    </row>
    <row r="761" spans="1:2" x14ac:dyDescent="0.25">
      <c r="A761" s="2"/>
      <c r="B761" s="1"/>
    </row>
    <row r="762" spans="1:2" x14ac:dyDescent="0.25">
      <c r="A762" s="2"/>
      <c r="B762" s="1"/>
    </row>
    <row r="763" spans="1:2" x14ac:dyDescent="0.25">
      <c r="A763" s="2"/>
      <c r="B763" s="1"/>
    </row>
    <row r="764" spans="1:2" x14ac:dyDescent="0.25">
      <c r="A764" s="2"/>
      <c r="B764" s="1"/>
    </row>
    <row r="765" spans="1:2" x14ac:dyDescent="0.25">
      <c r="A765" s="2"/>
      <c r="B765" s="1"/>
    </row>
    <row r="766" spans="1:2" x14ac:dyDescent="0.25">
      <c r="A766" s="2"/>
      <c r="B766" s="1"/>
    </row>
    <row r="767" spans="1:2" x14ac:dyDescent="0.25">
      <c r="A767" s="2"/>
      <c r="B767" s="1"/>
    </row>
    <row r="768" spans="1:2" x14ac:dyDescent="0.25">
      <c r="A768" s="2"/>
      <c r="B768" s="1"/>
    </row>
    <row r="769" spans="1:2" x14ac:dyDescent="0.25">
      <c r="A769" s="2"/>
      <c r="B769" s="1"/>
    </row>
    <row r="770" spans="1:2" x14ac:dyDescent="0.25">
      <c r="A770" s="2"/>
      <c r="B770" s="1"/>
    </row>
    <row r="771" spans="1:2" x14ac:dyDescent="0.25">
      <c r="A771" s="2"/>
      <c r="B771" s="1"/>
    </row>
    <row r="772" spans="1:2" x14ac:dyDescent="0.25">
      <c r="A772" s="2"/>
      <c r="B772" s="1"/>
    </row>
    <row r="773" spans="1:2" x14ac:dyDescent="0.25">
      <c r="A773" s="2"/>
      <c r="B773" s="1"/>
    </row>
    <row r="774" spans="1:2" x14ac:dyDescent="0.25">
      <c r="A774" s="2"/>
      <c r="B774" s="1"/>
    </row>
    <row r="775" spans="1:2" x14ac:dyDescent="0.25">
      <c r="A775" s="2"/>
      <c r="B775" s="1"/>
    </row>
    <row r="776" spans="1:2" x14ac:dyDescent="0.25">
      <c r="A776" s="2"/>
      <c r="B776" s="1"/>
    </row>
    <row r="777" spans="1:2" x14ac:dyDescent="0.25">
      <c r="A777" s="2"/>
      <c r="B777" s="1"/>
    </row>
    <row r="778" spans="1:2" x14ac:dyDescent="0.25">
      <c r="A778" s="2"/>
      <c r="B778" s="1"/>
    </row>
    <row r="779" spans="1:2" x14ac:dyDescent="0.25">
      <c r="A779" s="2"/>
      <c r="B779" s="1"/>
    </row>
    <row r="780" spans="1:2" x14ac:dyDescent="0.25">
      <c r="A780" s="2"/>
      <c r="B780" s="1"/>
    </row>
    <row r="781" spans="1:2" x14ac:dyDescent="0.25">
      <c r="A781" s="2"/>
      <c r="B781" s="1"/>
    </row>
    <row r="782" spans="1:2" x14ac:dyDescent="0.25">
      <c r="A782" s="2"/>
      <c r="B782" s="1"/>
    </row>
    <row r="783" spans="1:2" x14ac:dyDescent="0.25">
      <c r="A783" s="2"/>
      <c r="B783" s="1"/>
    </row>
    <row r="784" spans="1:2" x14ac:dyDescent="0.25">
      <c r="A784" s="2"/>
      <c r="B784" s="1"/>
    </row>
    <row r="785" spans="1:2" x14ac:dyDescent="0.25">
      <c r="A785" s="2"/>
      <c r="B785" s="1"/>
    </row>
    <row r="786" spans="1:2" x14ac:dyDescent="0.25">
      <c r="A786" s="2"/>
      <c r="B786" s="1"/>
    </row>
    <row r="787" spans="1:2" x14ac:dyDescent="0.25">
      <c r="A787" s="2"/>
      <c r="B787" s="1"/>
    </row>
    <row r="788" spans="1:2" x14ac:dyDescent="0.25">
      <c r="A788" s="2"/>
      <c r="B788" s="1"/>
    </row>
    <row r="789" spans="1:2" x14ac:dyDescent="0.25">
      <c r="A789" s="2"/>
      <c r="B789" s="1"/>
    </row>
    <row r="790" spans="1:2" x14ac:dyDescent="0.25">
      <c r="A790" s="2"/>
      <c r="B790" s="1"/>
    </row>
    <row r="791" spans="1:2" x14ac:dyDescent="0.25">
      <c r="A791" s="2"/>
      <c r="B791" s="1"/>
    </row>
    <row r="792" spans="1:2" x14ac:dyDescent="0.25">
      <c r="A792" s="2"/>
      <c r="B792" s="1"/>
    </row>
    <row r="793" spans="1:2" x14ac:dyDescent="0.25">
      <c r="A793" s="2"/>
      <c r="B793" s="1"/>
    </row>
    <row r="794" spans="1:2" x14ac:dyDescent="0.25">
      <c r="A794" s="2"/>
      <c r="B794" s="1"/>
    </row>
    <row r="795" spans="1:2" x14ac:dyDescent="0.25">
      <c r="A795" s="2"/>
      <c r="B795" s="1"/>
    </row>
    <row r="796" spans="1:2" x14ac:dyDescent="0.25">
      <c r="A796" s="2"/>
      <c r="B796" s="1"/>
    </row>
    <row r="797" spans="1:2" x14ac:dyDescent="0.25">
      <c r="A797" s="2"/>
      <c r="B797" s="1"/>
    </row>
    <row r="798" spans="1:2" x14ac:dyDescent="0.25">
      <c r="A798" s="2"/>
      <c r="B798" s="1"/>
    </row>
    <row r="799" spans="1:2" x14ac:dyDescent="0.25">
      <c r="A799" s="2"/>
      <c r="B799" s="1"/>
    </row>
    <row r="800" spans="1:2" x14ac:dyDescent="0.25">
      <c r="A800" s="2"/>
      <c r="B800" s="1"/>
    </row>
    <row r="801" spans="1:2" x14ac:dyDescent="0.25">
      <c r="A801" s="2"/>
      <c r="B801" s="1"/>
    </row>
    <row r="802" spans="1:2" x14ac:dyDescent="0.25">
      <c r="A802" s="2"/>
      <c r="B802" s="1"/>
    </row>
    <row r="803" spans="1:2" x14ac:dyDescent="0.25">
      <c r="A803" s="2"/>
      <c r="B803" s="1"/>
    </row>
    <row r="804" spans="1:2" x14ac:dyDescent="0.25">
      <c r="A804" s="2"/>
      <c r="B804" s="1"/>
    </row>
    <row r="805" spans="1:2" x14ac:dyDescent="0.25">
      <c r="A805" s="2"/>
      <c r="B805" s="1"/>
    </row>
    <row r="806" spans="1:2" x14ac:dyDescent="0.25">
      <c r="A806" s="2"/>
      <c r="B806" s="1"/>
    </row>
    <row r="807" spans="1:2" x14ac:dyDescent="0.25">
      <c r="A807" s="2"/>
      <c r="B807" s="1"/>
    </row>
    <row r="808" spans="1:2" x14ac:dyDescent="0.25">
      <c r="A808" s="2"/>
      <c r="B808" s="1"/>
    </row>
    <row r="809" spans="1:2" x14ac:dyDescent="0.25">
      <c r="A809" s="2"/>
      <c r="B809" s="1"/>
    </row>
    <row r="810" spans="1:2" x14ac:dyDescent="0.25">
      <c r="A810" s="2"/>
      <c r="B810" s="1"/>
    </row>
    <row r="811" spans="1:2" x14ac:dyDescent="0.25">
      <c r="A811" s="2"/>
      <c r="B811" s="1"/>
    </row>
    <row r="812" spans="1:2" x14ac:dyDescent="0.25">
      <c r="A812" s="2"/>
      <c r="B812" s="1"/>
    </row>
    <row r="813" spans="1:2" x14ac:dyDescent="0.25">
      <c r="A813" s="2"/>
      <c r="B813" s="1"/>
    </row>
    <row r="814" spans="1:2" x14ac:dyDescent="0.25">
      <c r="A814" s="2"/>
      <c r="B814" s="1"/>
    </row>
    <row r="815" spans="1:2" x14ac:dyDescent="0.25">
      <c r="A815" s="2"/>
      <c r="B815" s="1"/>
    </row>
    <row r="816" spans="1:2" x14ac:dyDescent="0.25">
      <c r="A816" s="2"/>
      <c r="B816" s="1"/>
    </row>
    <row r="817" spans="1:2" x14ac:dyDescent="0.25">
      <c r="A817" s="2"/>
      <c r="B817" s="1"/>
    </row>
    <row r="818" spans="1:2" x14ac:dyDescent="0.25">
      <c r="A818" s="2"/>
      <c r="B818" s="1"/>
    </row>
    <row r="819" spans="1:2" x14ac:dyDescent="0.25">
      <c r="A819" s="2"/>
      <c r="B819" s="1"/>
    </row>
    <row r="820" spans="1:2" x14ac:dyDescent="0.25">
      <c r="A820" s="2"/>
      <c r="B820" s="1"/>
    </row>
    <row r="821" spans="1:2" x14ac:dyDescent="0.25">
      <c r="A821" s="2"/>
      <c r="B821" s="1"/>
    </row>
    <row r="822" spans="1:2" x14ac:dyDescent="0.25">
      <c r="A822" s="2"/>
      <c r="B822" s="1"/>
    </row>
    <row r="823" spans="1:2" x14ac:dyDescent="0.25">
      <c r="A823" s="2"/>
      <c r="B823" s="1"/>
    </row>
    <row r="824" spans="1:2" x14ac:dyDescent="0.25">
      <c r="A824" s="2"/>
      <c r="B824" s="1"/>
    </row>
    <row r="825" spans="1:2" x14ac:dyDescent="0.25">
      <c r="A825" s="2"/>
      <c r="B825" s="1"/>
    </row>
    <row r="826" spans="1:2" x14ac:dyDescent="0.25">
      <c r="A826" s="2"/>
      <c r="B826" s="1"/>
    </row>
    <row r="827" spans="1:2" x14ac:dyDescent="0.25">
      <c r="A827" s="2"/>
      <c r="B827" s="1"/>
    </row>
    <row r="828" spans="1:2" x14ac:dyDescent="0.25">
      <c r="A828" s="2"/>
      <c r="B828" s="1"/>
    </row>
    <row r="829" spans="1:2" x14ac:dyDescent="0.25">
      <c r="A829" s="2"/>
      <c r="B829" s="1"/>
    </row>
    <row r="830" spans="1:2" x14ac:dyDescent="0.25">
      <c r="A830" s="2"/>
      <c r="B830" s="1"/>
    </row>
    <row r="831" spans="1:2" x14ac:dyDescent="0.25">
      <c r="A831" s="2"/>
      <c r="B831" s="1"/>
    </row>
    <row r="832" spans="1:2" x14ac:dyDescent="0.25">
      <c r="A832" s="2"/>
      <c r="B832" s="1"/>
    </row>
    <row r="833" spans="1:2" x14ac:dyDescent="0.25">
      <c r="A833" s="2"/>
      <c r="B833" s="1"/>
    </row>
    <row r="834" spans="1:2" x14ac:dyDescent="0.25">
      <c r="A834" s="2"/>
      <c r="B834" s="1"/>
    </row>
    <row r="835" spans="1:2" x14ac:dyDescent="0.25">
      <c r="A835" s="2"/>
      <c r="B835" s="1"/>
    </row>
    <row r="836" spans="1:2" x14ac:dyDescent="0.25">
      <c r="A836" s="2"/>
      <c r="B836" s="1"/>
    </row>
    <row r="837" spans="1:2" x14ac:dyDescent="0.25">
      <c r="A837" s="2"/>
      <c r="B837" s="1"/>
    </row>
    <row r="838" spans="1:2" x14ac:dyDescent="0.25">
      <c r="A838" s="2"/>
      <c r="B838" s="1"/>
    </row>
    <row r="839" spans="1:2" x14ac:dyDescent="0.25">
      <c r="A839" s="2"/>
      <c r="B839" s="1"/>
    </row>
    <row r="840" spans="1:2" x14ac:dyDescent="0.25">
      <c r="A840" s="2"/>
      <c r="B840" s="1"/>
    </row>
    <row r="841" spans="1:2" x14ac:dyDescent="0.25">
      <c r="A841" s="2"/>
      <c r="B841" s="1"/>
    </row>
    <row r="842" spans="1:2" x14ac:dyDescent="0.25">
      <c r="A842" s="2"/>
      <c r="B842" s="1"/>
    </row>
    <row r="843" spans="1:2" x14ac:dyDescent="0.25">
      <c r="A843" s="2"/>
      <c r="B843" s="1"/>
    </row>
    <row r="844" spans="1:2" x14ac:dyDescent="0.25">
      <c r="A844" s="2"/>
      <c r="B844" s="1"/>
    </row>
    <row r="845" spans="1:2" x14ac:dyDescent="0.25">
      <c r="A845" s="2"/>
      <c r="B845" s="1"/>
    </row>
    <row r="846" spans="1:2" x14ac:dyDescent="0.25">
      <c r="A846" s="2"/>
      <c r="B846" s="1"/>
    </row>
    <row r="847" spans="1:2" x14ac:dyDescent="0.25">
      <c r="A847" s="2"/>
      <c r="B847" s="1"/>
    </row>
    <row r="848" spans="1:2" x14ac:dyDescent="0.25">
      <c r="A848" s="2"/>
      <c r="B848" s="1"/>
    </row>
    <row r="849" spans="1:2" x14ac:dyDescent="0.25">
      <c r="A849" s="2"/>
      <c r="B849" s="1"/>
    </row>
    <row r="850" spans="1:2" x14ac:dyDescent="0.25">
      <c r="A850" s="2"/>
      <c r="B850" s="1"/>
    </row>
    <row r="851" spans="1:2" x14ac:dyDescent="0.25">
      <c r="A851" s="2"/>
      <c r="B851" s="1"/>
    </row>
    <row r="852" spans="1:2" x14ac:dyDescent="0.25">
      <c r="A852" s="2"/>
      <c r="B852" s="1"/>
    </row>
    <row r="853" spans="1:2" x14ac:dyDescent="0.25">
      <c r="A853" s="2"/>
      <c r="B853" s="1"/>
    </row>
    <row r="854" spans="1:2" x14ac:dyDescent="0.25">
      <c r="A854" s="2"/>
      <c r="B854" s="1"/>
    </row>
    <row r="855" spans="1:2" x14ac:dyDescent="0.25">
      <c r="A855" s="2"/>
      <c r="B855" s="1"/>
    </row>
    <row r="856" spans="1:2" x14ac:dyDescent="0.25">
      <c r="A856" s="2"/>
      <c r="B856" s="1"/>
    </row>
    <row r="857" spans="1:2" x14ac:dyDescent="0.25">
      <c r="A857" s="2"/>
      <c r="B857" s="1"/>
    </row>
    <row r="858" spans="1:2" x14ac:dyDescent="0.25">
      <c r="A858" s="2"/>
      <c r="B858" s="1"/>
    </row>
    <row r="859" spans="1:2" x14ac:dyDescent="0.25">
      <c r="A859" s="2"/>
      <c r="B859" s="1"/>
    </row>
    <row r="860" spans="1:2" x14ac:dyDescent="0.25">
      <c r="A860" s="2"/>
      <c r="B860" s="1"/>
    </row>
    <row r="861" spans="1:2" x14ac:dyDescent="0.25">
      <c r="A861" s="2"/>
      <c r="B861" s="1"/>
    </row>
    <row r="862" spans="1:2" x14ac:dyDescent="0.25">
      <c r="A862" s="2"/>
      <c r="B862" s="1"/>
    </row>
    <row r="863" spans="1:2" x14ac:dyDescent="0.25">
      <c r="A863" s="2"/>
      <c r="B863" s="1"/>
    </row>
    <row r="864" spans="1:2" x14ac:dyDescent="0.25">
      <c r="A864" s="2"/>
      <c r="B864" s="1"/>
    </row>
    <row r="865" spans="1:2" x14ac:dyDescent="0.25">
      <c r="A865" s="2"/>
      <c r="B865" s="1"/>
    </row>
    <row r="866" spans="1:2" x14ac:dyDescent="0.25">
      <c r="A866" s="2"/>
      <c r="B866" s="1"/>
    </row>
    <row r="867" spans="1:2" x14ac:dyDescent="0.25">
      <c r="A867" s="2"/>
      <c r="B867" s="1"/>
    </row>
    <row r="868" spans="1:2" x14ac:dyDescent="0.25">
      <c r="A868" s="2"/>
      <c r="B868" s="1"/>
    </row>
    <row r="869" spans="1:2" x14ac:dyDescent="0.25">
      <c r="A869" s="2"/>
      <c r="B869" s="1"/>
    </row>
    <row r="870" spans="1:2" x14ac:dyDescent="0.25">
      <c r="A870" s="2"/>
      <c r="B870" s="1"/>
    </row>
    <row r="871" spans="1:2" x14ac:dyDescent="0.25">
      <c r="A871" s="2"/>
      <c r="B871" s="1"/>
    </row>
    <row r="872" spans="1:2" x14ac:dyDescent="0.25">
      <c r="A872" s="2"/>
      <c r="B872" s="1"/>
    </row>
    <row r="873" spans="1:2" x14ac:dyDescent="0.25">
      <c r="A873" s="2"/>
      <c r="B873" s="1"/>
    </row>
    <row r="874" spans="1:2" x14ac:dyDescent="0.25">
      <c r="A874" s="2"/>
      <c r="B874" s="1"/>
    </row>
    <row r="875" spans="1:2" x14ac:dyDescent="0.25">
      <c r="A875" s="2"/>
      <c r="B875" s="1"/>
    </row>
    <row r="876" spans="1:2" x14ac:dyDescent="0.25">
      <c r="A876" s="2"/>
      <c r="B876" s="1"/>
    </row>
    <row r="877" spans="1:2" x14ac:dyDescent="0.25">
      <c r="A877" s="2"/>
      <c r="B877" s="1"/>
    </row>
    <row r="878" spans="1:2" x14ac:dyDescent="0.25">
      <c r="A878" s="2"/>
      <c r="B878" s="1"/>
    </row>
    <row r="879" spans="1:2" x14ac:dyDescent="0.25">
      <c r="A879" s="2"/>
      <c r="B879" s="1"/>
    </row>
    <row r="880" spans="1:2" x14ac:dyDescent="0.25">
      <c r="A880" s="2"/>
      <c r="B880" s="1"/>
    </row>
    <row r="881" spans="1:2" x14ac:dyDescent="0.25">
      <c r="A881" s="2"/>
      <c r="B881" s="1"/>
    </row>
    <row r="882" spans="1:2" x14ac:dyDescent="0.25">
      <c r="A882" s="2"/>
      <c r="B882" s="1"/>
    </row>
    <row r="883" spans="1:2" x14ac:dyDescent="0.25">
      <c r="A883" s="2"/>
      <c r="B883" s="1"/>
    </row>
    <row r="884" spans="1:2" x14ac:dyDescent="0.25">
      <c r="A884" s="2"/>
      <c r="B884" s="1"/>
    </row>
    <row r="885" spans="1:2" x14ac:dyDescent="0.25">
      <c r="A885" s="2"/>
      <c r="B885" s="1"/>
    </row>
    <row r="886" spans="1:2" x14ac:dyDescent="0.25">
      <c r="A886" s="2"/>
      <c r="B886" s="1"/>
    </row>
    <row r="887" spans="1:2" x14ac:dyDescent="0.25">
      <c r="A887" s="2"/>
      <c r="B887" s="1"/>
    </row>
    <row r="888" spans="1:2" x14ac:dyDescent="0.25">
      <c r="A888" s="2"/>
      <c r="B888" s="1"/>
    </row>
    <row r="889" spans="1:2" x14ac:dyDescent="0.25">
      <c r="A889" s="2"/>
      <c r="B889" s="1"/>
    </row>
    <row r="890" spans="1:2" x14ac:dyDescent="0.25">
      <c r="A890" s="2"/>
      <c r="B890" s="1"/>
    </row>
    <row r="891" spans="1:2" x14ac:dyDescent="0.25">
      <c r="A891" s="2"/>
      <c r="B891" s="1"/>
    </row>
    <row r="892" spans="1:2" x14ac:dyDescent="0.25">
      <c r="A892" s="2"/>
      <c r="B892" s="1"/>
    </row>
    <row r="893" spans="1:2" x14ac:dyDescent="0.25">
      <c r="A893" s="2"/>
      <c r="B893" s="1"/>
    </row>
    <row r="894" spans="1:2" x14ac:dyDescent="0.25">
      <c r="A894" s="2"/>
      <c r="B894" s="1"/>
    </row>
    <row r="895" spans="1:2" x14ac:dyDescent="0.25">
      <c r="A895" s="2"/>
      <c r="B895" s="1"/>
    </row>
    <row r="896" spans="1:2" x14ac:dyDescent="0.25">
      <c r="A896" s="2"/>
      <c r="B896" s="1"/>
    </row>
    <row r="897" spans="1:2" x14ac:dyDescent="0.25">
      <c r="A897" s="2"/>
      <c r="B897" s="1"/>
    </row>
    <row r="898" spans="1:2" x14ac:dyDescent="0.25">
      <c r="A898" s="2"/>
      <c r="B898" s="1"/>
    </row>
    <row r="899" spans="1:2" x14ac:dyDescent="0.25">
      <c r="A899" s="2"/>
      <c r="B899" s="1"/>
    </row>
    <row r="900" spans="1:2" x14ac:dyDescent="0.25">
      <c r="A900" s="2"/>
      <c r="B900" s="1"/>
    </row>
    <row r="901" spans="1:2" x14ac:dyDescent="0.25">
      <c r="A901" s="2"/>
      <c r="B901" s="1"/>
    </row>
    <row r="902" spans="1:2" x14ac:dyDescent="0.25">
      <c r="A902" s="2"/>
      <c r="B902" s="1"/>
    </row>
    <row r="903" spans="1:2" x14ac:dyDescent="0.25">
      <c r="A903" s="2"/>
      <c r="B903" s="1"/>
    </row>
    <row r="904" spans="1:2" x14ac:dyDescent="0.25">
      <c r="A904" s="2"/>
      <c r="B904" s="1"/>
    </row>
    <row r="905" spans="1:2" x14ac:dyDescent="0.25">
      <c r="A905" s="2"/>
      <c r="B905" s="1"/>
    </row>
    <row r="906" spans="1:2" x14ac:dyDescent="0.25">
      <c r="A906" s="2"/>
      <c r="B906" s="1"/>
    </row>
    <row r="907" spans="1:2" x14ac:dyDescent="0.25">
      <c r="A907" s="2"/>
      <c r="B907" s="1"/>
    </row>
    <row r="908" spans="1:2" x14ac:dyDescent="0.25">
      <c r="A908" s="2"/>
      <c r="B908" s="1"/>
    </row>
    <row r="909" spans="1:2" x14ac:dyDescent="0.25">
      <c r="A909" s="2"/>
      <c r="B909" s="1"/>
    </row>
    <row r="910" spans="1:2" x14ac:dyDescent="0.25">
      <c r="A910" s="2"/>
      <c r="B910" s="1"/>
    </row>
    <row r="911" spans="1:2" x14ac:dyDescent="0.25">
      <c r="A911" s="2"/>
      <c r="B911" s="1"/>
    </row>
    <row r="912" spans="1:2" x14ac:dyDescent="0.25">
      <c r="A912" s="2"/>
      <c r="B912" s="1"/>
    </row>
    <row r="913" spans="1:2" x14ac:dyDescent="0.25">
      <c r="A913" s="2"/>
      <c r="B913" s="1"/>
    </row>
    <row r="914" spans="1:2" x14ac:dyDescent="0.25">
      <c r="A914" s="2"/>
      <c r="B914" s="1"/>
    </row>
    <row r="915" spans="1:2" x14ac:dyDescent="0.25">
      <c r="A915" s="2"/>
      <c r="B915" s="1"/>
    </row>
    <row r="916" spans="1:2" x14ac:dyDescent="0.25">
      <c r="A916" s="2"/>
      <c r="B916" s="1"/>
    </row>
    <row r="917" spans="1:2" x14ac:dyDescent="0.25">
      <c r="A917" s="2"/>
      <c r="B917" s="1"/>
    </row>
    <row r="918" spans="1:2" x14ac:dyDescent="0.25">
      <c r="A918" s="2"/>
      <c r="B918" s="1"/>
    </row>
    <row r="919" spans="1:2" x14ac:dyDescent="0.25">
      <c r="A919" s="2"/>
      <c r="B919" s="1"/>
    </row>
    <row r="920" spans="1:2" x14ac:dyDescent="0.25">
      <c r="A920" s="2"/>
      <c r="B920" s="1"/>
    </row>
    <row r="921" spans="1:2" x14ac:dyDescent="0.25">
      <c r="A921" s="2"/>
      <c r="B921" s="1"/>
    </row>
    <row r="922" spans="1:2" x14ac:dyDescent="0.25">
      <c r="A922" s="2"/>
      <c r="B922" s="1"/>
    </row>
    <row r="923" spans="1:2" x14ac:dyDescent="0.25">
      <c r="A923" s="2"/>
      <c r="B923" s="1"/>
    </row>
    <row r="924" spans="1:2" x14ac:dyDescent="0.25">
      <c r="A924" s="2"/>
      <c r="B924" s="1"/>
    </row>
    <row r="925" spans="1:2" x14ac:dyDescent="0.25">
      <c r="A925" s="2"/>
      <c r="B925" s="1"/>
    </row>
    <row r="926" spans="1:2" x14ac:dyDescent="0.25">
      <c r="A926" s="2"/>
      <c r="B926" s="1"/>
    </row>
    <row r="927" spans="1:2" x14ac:dyDescent="0.25">
      <c r="A927" s="2"/>
      <c r="B927" s="1"/>
    </row>
    <row r="928" spans="1:2" x14ac:dyDescent="0.25">
      <c r="A928" s="2"/>
      <c r="B928" s="1"/>
    </row>
    <row r="929" spans="1:2" x14ac:dyDescent="0.25">
      <c r="A929" s="2"/>
      <c r="B929" s="1"/>
    </row>
    <row r="930" spans="1:2" x14ac:dyDescent="0.25">
      <c r="A930" s="2"/>
      <c r="B930" s="1"/>
    </row>
    <row r="931" spans="1:2" x14ac:dyDescent="0.25">
      <c r="A931" s="2"/>
      <c r="B931" s="1"/>
    </row>
    <row r="932" spans="1:2" x14ac:dyDescent="0.25">
      <c r="A932" s="2"/>
      <c r="B932" s="1"/>
    </row>
    <row r="933" spans="1:2" x14ac:dyDescent="0.25">
      <c r="A933" s="2"/>
      <c r="B933" s="1"/>
    </row>
    <row r="934" spans="1:2" x14ac:dyDescent="0.25">
      <c r="A934" s="2"/>
      <c r="B934" s="1"/>
    </row>
    <row r="935" spans="1:2" x14ac:dyDescent="0.25">
      <c r="A935" s="2"/>
      <c r="B935" s="1"/>
    </row>
    <row r="936" spans="1:2" x14ac:dyDescent="0.25">
      <c r="A936" s="2"/>
      <c r="B936" s="1"/>
    </row>
    <row r="937" spans="1:2" x14ac:dyDescent="0.25">
      <c r="A937" s="2"/>
      <c r="B937" s="1"/>
    </row>
    <row r="938" spans="1:2" x14ac:dyDescent="0.25">
      <c r="A938" s="2"/>
      <c r="B938" s="1"/>
    </row>
    <row r="939" spans="1:2" x14ac:dyDescent="0.25">
      <c r="A939" s="2"/>
      <c r="B939" s="1"/>
    </row>
    <row r="940" spans="1:2" x14ac:dyDescent="0.25">
      <c r="A940" s="2"/>
      <c r="B940" s="1"/>
    </row>
    <row r="941" spans="1:2" x14ac:dyDescent="0.25">
      <c r="A941" s="2"/>
      <c r="B941" s="1"/>
    </row>
    <row r="942" spans="1:2" x14ac:dyDescent="0.25">
      <c r="A942" s="2"/>
      <c r="B942" s="1"/>
    </row>
    <row r="943" spans="1:2" x14ac:dyDescent="0.25">
      <c r="A943" s="2"/>
      <c r="B943" s="1"/>
    </row>
    <row r="944" spans="1:2" x14ac:dyDescent="0.25">
      <c r="A944" s="2"/>
      <c r="B944" s="1"/>
    </row>
    <row r="945" spans="1:2" x14ac:dyDescent="0.25">
      <c r="A945" s="2"/>
      <c r="B945" s="1"/>
    </row>
    <row r="946" spans="1:2" x14ac:dyDescent="0.25">
      <c r="A946" s="2"/>
      <c r="B946" s="1"/>
    </row>
    <row r="947" spans="1:2" x14ac:dyDescent="0.25">
      <c r="A947" s="2"/>
      <c r="B947" s="1"/>
    </row>
    <row r="948" spans="1:2" x14ac:dyDescent="0.25">
      <c r="A948" s="2"/>
      <c r="B948" s="1"/>
    </row>
    <row r="949" spans="1:2" x14ac:dyDescent="0.25">
      <c r="A949" s="2"/>
      <c r="B949" s="1"/>
    </row>
    <row r="950" spans="1:2" x14ac:dyDescent="0.25">
      <c r="A950" s="2"/>
      <c r="B950" s="1"/>
    </row>
    <row r="951" spans="1:2" x14ac:dyDescent="0.25">
      <c r="A951" s="2"/>
      <c r="B951" s="1"/>
    </row>
    <row r="952" spans="1:2" x14ac:dyDescent="0.25">
      <c r="A952" s="2"/>
      <c r="B952" s="1"/>
    </row>
    <row r="953" spans="1:2" x14ac:dyDescent="0.25">
      <c r="A953" s="2"/>
      <c r="B953" s="1"/>
    </row>
    <row r="954" spans="1:2" x14ac:dyDescent="0.25">
      <c r="A954" s="2"/>
      <c r="B954" s="1"/>
    </row>
    <row r="955" spans="1:2" x14ac:dyDescent="0.25">
      <c r="A955" s="2"/>
      <c r="B955" s="1"/>
    </row>
    <row r="956" spans="1:2" x14ac:dyDescent="0.25">
      <c r="A956" s="2"/>
      <c r="B956" s="1"/>
    </row>
    <row r="957" spans="1:2" x14ac:dyDescent="0.25">
      <c r="A957" s="2"/>
      <c r="B957" s="1"/>
    </row>
    <row r="958" spans="1:2" x14ac:dyDescent="0.25">
      <c r="A958" s="2"/>
      <c r="B958" s="1"/>
    </row>
    <row r="959" spans="1:2" x14ac:dyDescent="0.25">
      <c r="A959" s="2"/>
      <c r="B959" s="1"/>
    </row>
    <row r="960" spans="1:2" x14ac:dyDescent="0.25">
      <c r="A960" s="2"/>
      <c r="B960" s="1"/>
    </row>
    <row r="961" spans="1:2" x14ac:dyDescent="0.25">
      <c r="A961" s="2"/>
      <c r="B961" s="1"/>
    </row>
    <row r="962" spans="1:2" x14ac:dyDescent="0.25">
      <c r="A962" s="2"/>
      <c r="B962" s="1"/>
    </row>
    <row r="963" spans="1:2" x14ac:dyDescent="0.25">
      <c r="A963" s="2"/>
      <c r="B963" s="1"/>
    </row>
    <row r="964" spans="1:2" x14ac:dyDescent="0.25">
      <c r="A964" s="2"/>
      <c r="B964" s="1"/>
    </row>
    <row r="965" spans="1:2" x14ac:dyDescent="0.25">
      <c r="A965" s="2"/>
      <c r="B965" s="1"/>
    </row>
    <row r="966" spans="1:2" x14ac:dyDescent="0.25">
      <c r="A966" s="2"/>
      <c r="B966" s="1"/>
    </row>
    <row r="967" spans="1:2" x14ac:dyDescent="0.25">
      <c r="A967" s="2"/>
      <c r="B967" s="1"/>
    </row>
    <row r="968" spans="1:2" x14ac:dyDescent="0.25">
      <c r="A968" s="2"/>
      <c r="B968" s="1"/>
    </row>
    <row r="969" spans="1:2" x14ac:dyDescent="0.25">
      <c r="A969" s="2"/>
      <c r="B969" s="1"/>
    </row>
    <row r="970" spans="1:2" x14ac:dyDescent="0.25">
      <c r="A970" s="2"/>
      <c r="B970" s="1"/>
    </row>
    <row r="971" spans="1:2" x14ac:dyDescent="0.25">
      <c r="A971" s="2"/>
      <c r="B971" s="1"/>
    </row>
    <row r="972" spans="1:2" x14ac:dyDescent="0.25">
      <c r="A972" s="2"/>
      <c r="B972" s="1"/>
    </row>
    <row r="973" spans="1:2" x14ac:dyDescent="0.25">
      <c r="A973" s="2"/>
      <c r="B973" s="1"/>
    </row>
    <row r="974" spans="1:2" x14ac:dyDescent="0.25">
      <c r="A974" s="2"/>
      <c r="B974" s="1"/>
    </row>
    <row r="975" spans="1:2" x14ac:dyDescent="0.25">
      <c r="A975" s="2"/>
      <c r="B975" s="1"/>
    </row>
    <row r="976" spans="1:2" x14ac:dyDescent="0.25">
      <c r="A976" s="2"/>
      <c r="B976" s="1"/>
    </row>
    <row r="977" spans="1:2" x14ac:dyDescent="0.25">
      <c r="A977" s="2"/>
      <c r="B977" s="1"/>
    </row>
    <row r="978" spans="1:2" x14ac:dyDescent="0.25">
      <c r="A978" s="2"/>
      <c r="B978" s="1"/>
    </row>
    <row r="979" spans="1:2" x14ac:dyDescent="0.25">
      <c r="A979" s="2"/>
      <c r="B979" s="1"/>
    </row>
    <row r="980" spans="1:2" x14ac:dyDescent="0.25">
      <c r="A980" s="2"/>
      <c r="B980" s="1"/>
    </row>
    <row r="981" spans="1:2" x14ac:dyDescent="0.25">
      <c r="A981" s="2"/>
      <c r="B981" s="1"/>
    </row>
    <row r="982" spans="1:2" x14ac:dyDescent="0.25">
      <c r="A982" s="2"/>
      <c r="B982" s="1"/>
    </row>
    <row r="983" spans="1:2" x14ac:dyDescent="0.25">
      <c r="A983" s="2"/>
      <c r="B983" s="1"/>
    </row>
    <row r="984" spans="1:2" x14ac:dyDescent="0.25">
      <c r="A984" s="2"/>
      <c r="B984" s="1"/>
    </row>
    <row r="985" spans="1:2" x14ac:dyDescent="0.25">
      <c r="A985" s="2"/>
      <c r="B985" s="1"/>
    </row>
    <row r="986" spans="1:2" x14ac:dyDescent="0.25">
      <c r="A986" s="2"/>
      <c r="B986" s="1"/>
    </row>
    <row r="987" spans="1:2" x14ac:dyDescent="0.25">
      <c r="A987" s="2"/>
      <c r="B987" s="1"/>
    </row>
    <row r="988" spans="1:2" x14ac:dyDescent="0.25">
      <c r="A988" s="2"/>
      <c r="B988" s="1"/>
    </row>
    <row r="989" spans="1:2" x14ac:dyDescent="0.25">
      <c r="A989" s="2"/>
      <c r="B989" s="1"/>
    </row>
    <row r="990" spans="1:2" x14ac:dyDescent="0.25">
      <c r="A990" s="2"/>
      <c r="B990" s="1"/>
    </row>
    <row r="991" spans="1:2" x14ac:dyDescent="0.25">
      <c r="A991" s="2"/>
      <c r="B991" s="1"/>
    </row>
    <row r="992" spans="1:2" x14ac:dyDescent="0.25">
      <c r="A992" s="2"/>
      <c r="B992" s="1"/>
    </row>
    <row r="993" spans="1:2" x14ac:dyDescent="0.25">
      <c r="A993" s="2"/>
      <c r="B993" s="1"/>
    </row>
    <row r="994" spans="1:2" x14ac:dyDescent="0.25">
      <c r="A994" s="2"/>
      <c r="B994" s="1"/>
    </row>
    <row r="995" spans="1:2" x14ac:dyDescent="0.25">
      <c r="A995" s="2"/>
      <c r="B995" s="1"/>
    </row>
    <row r="996" spans="1:2" x14ac:dyDescent="0.25">
      <c r="A996" s="2"/>
      <c r="B996" s="1"/>
    </row>
    <row r="997" spans="1:2" x14ac:dyDescent="0.25">
      <c r="A997" s="2"/>
      <c r="B997" s="1"/>
    </row>
    <row r="998" spans="1:2" x14ac:dyDescent="0.25">
      <c r="A998" s="2"/>
      <c r="B998" s="1"/>
    </row>
    <row r="999" spans="1:2" x14ac:dyDescent="0.25">
      <c r="A999" s="2"/>
      <c r="B999" s="1"/>
    </row>
    <row r="1000" spans="1:2" x14ac:dyDescent="0.25">
      <c r="A1000" s="2"/>
      <c r="B1000" s="1"/>
    </row>
    <row r="1001" spans="1:2" x14ac:dyDescent="0.25">
      <c r="A1001" s="2"/>
      <c r="B1001" s="1"/>
    </row>
    <row r="1002" spans="1:2" x14ac:dyDescent="0.25">
      <c r="A1002" s="2"/>
      <c r="B1002" s="1"/>
    </row>
    <row r="1003" spans="1:2" x14ac:dyDescent="0.25">
      <c r="A1003" s="2"/>
      <c r="B1003" s="1"/>
    </row>
    <row r="1004" spans="1:2" x14ac:dyDescent="0.25">
      <c r="A1004" s="2"/>
      <c r="B1004" s="1"/>
    </row>
    <row r="1005" spans="1:2" x14ac:dyDescent="0.25">
      <c r="A1005" s="2"/>
      <c r="B1005" s="1"/>
    </row>
    <row r="1006" spans="1:2" x14ac:dyDescent="0.25">
      <c r="A1006" s="2"/>
      <c r="B1006" s="1"/>
    </row>
    <row r="1007" spans="1:2" x14ac:dyDescent="0.25">
      <c r="A1007" s="2"/>
      <c r="B1007" s="1"/>
    </row>
    <row r="1008" spans="1:2" x14ac:dyDescent="0.25">
      <c r="A1008" s="2"/>
      <c r="B1008" s="1"/>
    </row>
    <row r="1009" spans="1:2" x14ac:dyDescent="0.25">
      <c r="A1009" s="2"/>
      <c r="B1009" s="1"/>
    </row>
    <row r="1010" spans="1:2" x14ac:dyDescent="0.25">
      <c r="A1010" s="2"/>
      <c r="B1010" s="1"/>
    </row>
    <row r="1011" spans="1:2" x14ac:dyDescent="0.25">
      <c r="A1011" s="2"/>
      <c r="B1011" s="1"/>
    </row>
    <row r="1012" spans="1:2" x14ac:dyDescent="0.25">
      <c r="A1012" s="2"/>
      <c r="B1012" s="1"/>
    </row>
    <row r="1013" spans="1:2" x14ac:dyDescent="0.25">
      <c r="A1013" s="2"/>
      <c r="B1013" s="1"/>
    </row>
    <row r="1014" spans="1:2" x14ac:dyDescent="0.25">
      <c r="A1014" s="2"/>
      <c r="B1014" s="1"/>
    </row>
    <row r="1015" spans="1:2" x14ac:dyDescent="0.25">
      <c r="A1015" s="2"/>
      <c r="B1015" s="1"/>
    </row>
    <row r="1016" spans="1:2" x14ac:dyDescent="0.25">
      <c r="A1016" s="2"/>
      <c r="B1016" s="1"/>
    </row>
    <row r="1017" spans="1:2" x14ac:dyDescent="0.25">
      <c r="A1017" s="2"/>
      <c r="B1017" s="1"/>
    </row>
    <row r="1018" spans="1:2" x14ac:dyDescent="0.25">
      <c r="A1018" s="2"/>
      <c r="B1018" s="1"/>
    </row>
    <row r="1019" spans="1:2" x14ac:dyDescent="0.25">
      <c r="A1019" s="2"/>
      <c r="B1019" s="1"/>
    </row>
    <row r="1020" spans="1:2" x14ac:dyDescent="0.25">
      <c r="A1020" s="2"/>
      <c r="B1020" s="1"/>
    </row>
    <row r="1021" spans="1:2" x14ac:dyDescent="0.25">
      <c r="A1021" s="2"/>
      <c r="B1021" s="1"/>
    </row>
    <row r="1022" spans="1:2" x14ac:dyDescent="0.25">
      <c r="A1022" s="2"/>
      <c r="B1022" s="1"/>
    </row>
    <row r="1023" spans="1:2" x14ac:dyDescent="0.25">
      <c r="A1023" s="2"/>
      <c r="B1023" s="1"/>
    </row>
    <row r="1024" spans="1:2" x14ac:dyDescent="0.25">
      <c r="A1024" s="2"/>
      <c r="B1024" s="1"/>
    </row>
    <row r="1025" spans="1:2" x14ac:dyDescent="0.25">
      <c r="A1025" s="2"/>
      <c r="B1025" s="1"/>
    </row>
    <row r="1026" spans="1:2" x14ac:dyDescent="0.25">
      <c r="A1026" s="2"/>
      <c r="B1026" s="1"/>
    </row>
    <row r="1027" spans="1:2" x14ac:dyDescent="0.25">
      <c r="A1027" s="2"/>
      <c r="B1027" s="1"/>
    </row>
    <row r="1028" spans="1:2" x14ac:dyDescent="0.25">
      <c r="A1028" s="2"/>
      <c r="B1028" s="1"/>
    </row>
    <row r="1029" spans="1:2" x14ac:dyDescent="0.25">
      <c r="A1029" s="2"/>
      <c r="B1029" s="1"/>
    </row>
    <row r="1030" spans="1:2" x14ac:dyDescent="0.25">
      <c r="A1030" s="2"/>
      <c r="B1030" s="1"/>
    </row>
    <row r="1031" spans="1:2" x14ac:dyDescent="0.25">
      <c r="A1031" s="2"/>
      <c r="B1031" s="1"/>
    </row>
    <row r="1032" spans="1:2" x14ac:dyDescent="0.25">
      <c r="A1032" s="2"/>
      <c r="B1032" s="1"/>
    </row>
    <row r="1033" spans="1:2" x14ac:dyDescent="0.25">
      <c r="A1033" s="2"/>
      <c r="B1033" s="1"/>
    </row>
    <row r="1034" spans="1:2" x14ac:dyDescent="0.25">
      <c r="A1034" s="2"/>
      <c r="B1034" s="1"/>
    </row>
    <row r="1035" spans="1:2" x14ac:dyDescent="0.25">
      <c r="A1035" s="2"/>
      <c r="B1035" s="1"/>
    </row>
    <row r="1036" spans="1:2" x14ac:dyDescent="0.25">
      <c r="A1036" s="2"/>
      <c r="B1036" s="1"/>
    </row>
    <row r="1037" spans="1:2" x14ac:dyDescent="0.25">
      <c r="A1037" s="2"/>
      <c r="B1037" s="1"/>
    </row>
    <row r="1038" spans="1:2" x14ac:dyDescent="0.25">
      <c r="A1038" s="2"/>
      <c r="B1038" s="1"/>
    </row>
    <row r="1039" spans="1:2" x14ac:dyDescent="0.25">
      <c r="A1039" s="2"/>
      <c r="B1039" s="1"/>
    </row>
    <row r="1040" spans="1:2" x14ac:dyDescent="0.25">
      <c r="A1040" s="2"/>
      <c r="B1040" s="1"/>
    </row>
    <row r="1041" spans="1:2" x14ac:dyDescent="0.25">
      <c r="A1041" s="2"/>
      <c r="B1041" s="1"/>
    </row>
    <row r="1042" spans="1:2" x14ac:dyDescent="0.25">
      <c r="A1042" s="2"/>
      <c r="B1042" s="1"/>
    </row>
    <row r="1043" spans="1:2" x14ac:dyDescent="0.25">
      <c r="A1043" s="2"/>
      <c r="B1043" s="1"/>
    </row>
    <row r="1044" spans="1:2" x14ac:dyDescent="0.25">
      <c r="A1044" s="2"/>
      <c r="B1044" s="1"/>
    </row>
    <row r="1045" spans="1:2" x14ac:dyDescent="0.25">
      <c r="A1045" s="2"/>
      <c r="B1045" s="1"/>
    </row>
    <row r="1046" spans="1:2" x14ac:dyDescent="0.25">
      <c r="A1046" s="2"/>
      <c r="B1046" s="1"/>
    </row>
    <row r="1047" spans="1:2" x14ac:dyDescent="0.25">
      <c r="A1047" s="2"/>
      <c r="B1047" s="1"/>
    </row>
    <row r="1048" spans="1:2" x14ac:dyDescent="0.25">
      <c r="A1048" s="2"/>
      <c r="B1048" s="1"/>
    </row>
    <row r="1049" spans="1:2" x14ac:dyDescent="0.25">
      <c r="A1049" s="2"/>
      <c r="B1049" s="1"/>
    </row>
    <row r="1050" spans="1:2" x14ac:dyDescent="0.25">
      <c r="A1050" s="2"/>
      <c r="B1050" s="1"/>
    </row>
    <row r="1051" spans="1:2" x14ac:dyDescent="0.25">
      <c r="A1051" s="2"/>
      <c r="B1051" s="1"/>
    </row>
    <row r="1052" spans="1:2" x14ac:dyDescent="0.25">
      <c r="A1052" s="2"/>
      <c r="B1052" s="1"/>
    </row>
    <row r="1053" spans="1:2" x14ac:dyDescent="0.25">
      <c r="A1053" s="2"/>
      <c r="B1053" s="1"/>
    </row>
    <row r="1054" spans="1:2" x14ac:dyDescent="0.25">
      <c r="A1054" s="2"/>
      <c r="B1054" s="1"/>
    </row>
    <row r="1055" spans="1:2" x14ac:dyDescent="0.25">
      <c r="A1055" s="2"/>
      <c r="B1055" s="1"/>
    </row>
    <row r="1056" spans="1:2" x14ac:dyDescent="0.25">
      <c r="A1056" s="2"/>
      <c r="B1056" s="1"/>
    </row>
    <row r="1057" spans="1:2" x14ac:dyDescent="0.25">
      <c r="A1057" s="2"/>
      <c r="B1057" s="1"/>
    </row>
    <row r="1058" spans="1:2" x14ac:dyDescent="0.25">
      <c r="A1058" s="2"/>
      <c r="B1058" s="1"/>
    </row>
    <row r="1059" spans="1:2" x14ac:dyDescent="0.25">
      <c r="A1059" s="2"/>
      <c r="B1059" s="1"/>
    </row>
    <row r="1060" spans="1:2" x14ac:dyDescent="0.25">
      <c r="A1060" s="2"/>
      <c r="B1060" s="1"/>
    </row>
    <row r="1061" spans="1:2" x14ac:dyDescent="0.25">
      <c r="A1061" s="2"/>
      <c r="B1061" s="1"/>
    </row>
    <row r="1062" spans="1:2" x14ac:dyDescent="0.25">
      <c r="A1062" s="2"/>
      <c r="B1062" s="1"/>
    </row>
    <row r="1063" spans="1:2" x14ac:dyDescent="0.25">
      <c r="A1063" s="2"/>
      <c r="B1063" s="1"/>
    </row>
    <row r="1064" spans="1:2" x14ac:dyDescent="0.25">
      <c r="A1064" s="2"/>
      <c r="B1064" s="1"/>
    </row>
    <row r="1065" spans="1:2" x14ac:dyDescent="0.25">
      <c r="A1065" s="2"/>
      <c r="B1065" s="1"/>
    </row>
    <row r="1066" spans="1:2" x14ac:dyDescent="0.25">
      <c r="A1066" s="2"/>
      <c r="B1066" s="1"/>
    </row>
    <row r="1067" spans="1:2" x14ac:dyDescent="0.25">
      <c r="A1067" s="2"/>
      <c r="B1067" s="1"/>
    </row>
    <row r="1068" spans="1:2" x14ac:dyDescent="0.25">
      <c r="A1068" s="2"/>
      <c r="B1068" s="1"/>
    </row>
    <row r="1069" spans="1:2" x14ac:dyDescent="0.25">
      <c r="A1069" s="2"/>
      <c r="B1069" s="1"/>
    </row>
    <row r="1070" spans="1:2" x14ac:dyDescent="0.25">
      <c r="A1070" s="2"/>
      <c r="B1070" s="1"/>
    </row>
    <row r="1071" spans="1:2" x14ac:dyDescent="0.25">
      <c r="A1071" s="2"/>
      <c r="B1071" s="1"/>
    </row>
    <row r="1072" spans="1:2" x14ac:dyDescent="0.25">
      <c r="A1072" s="2"/>
      <c r="B1072" s="1"/>
    </row>
    <row r="1073" spans="1:2" x14ac:dyDescent="0.25">
      <c r="A1073" s="2"/>
      <c r="B1073" s="1"/>
    </row>
    <row r="1074" spans="1:2" x14ac:dyDescent="0.25">
      <c r="A1074" s="2"/>
      <c r="B1074" s="1"/>
    </row>
    <row r="1075" spans="1:2" x14ac:dyDescent="0.25">
      <c r="A1075" s="2"/>
      <c r="B1075" s="1"/>
    </row>
    <row r="1076" spans="1:2" x14ac:dyDescent="0.25">
      <c r="A1076" s="2"/>
      <c r="B1076" s="1"/>
    </row>
    <row r="1077" spans="1:2" x14ac:dyDescent="0.25">
      <c r="A1077" s="2"/>
      <c r="B1077" s="1"/>
    </row>
    <row r="1078" spans="1:2" x14ac:dyDescent="0.25">
      <c r="A1078" s="2"/>
      <c r="B1078" s="1"/>
    </row>
    <row r="1079" spans="1:2" x14ac:dyDescent="0.25">
      <c r="A1079" s="2"/>
      <c r="B1079" s="1"/>
    </row>
    <row r="1080" spans="1:2" x14ac:dyDescent="0.25">
      <c r="A1080" s="2"/>
      <c r="B1080" s="1"/>
    </row>
    <row r="1081" spans="1:2" x14ac:dyDescent="0.25">
      <c r="A1081" s="2"/>
      <c r="B1081" s="1"/>
    </row>
    <row r="1082" spans="1:2" x14ac:dyDescent="0.25">
      <c r="A1082" s="2"/>
      <c r="B1082" s="1"/>
    </row>
    <row r="1083" spans="1:2" x14ac:dyDescent="0.25">
      <c r="A1083" s="2"/>
      <c r="B1083" s="1"/>
    </row>
    <row r="1084" spans="1:2" x14ac:dyDescent="0.25">
      <c r="A1084" s="2"/>
      <c r="B1084" s="1"/>
    </row>
    <row r="1085" spans="1:2" x14ac:dyDescent="0.25">
      <c r="A1085" s="2"/>
      <c r="B1085" s="1"/>
    </row>
    <row r="1086" spans="1:2" x14ac:dyDescent="0.25">
      <c r="A1086" s="2"/>
      <c r="B1086" s="1"/>
    </row>
    <row r="1087" spans="1:2" x14ac:dyDescent="0.25">
      <c r="A1087" s="2"/>
      <c r="B1087" s="1"/>
    </row>
    <row r="1088" spans="1:2" x14ac:dyDescent="0.25">
      <c r="A1088" s="2"/>
      <c r="B1088" s="1"/>
    </row>
    <row r="1089" spans="1:2" x14ac:dyDescent="0.25">
      <c r="A1089" s="2"/>
      <c r="B1089" s="1"/>
    </row>
    <row r="1090" spans="1:2" x14ac:dyDescent="0.25">
      <c r="A1090" s="2"/>
      <c r="B1090" s="1"/>
    </row>
    <row r="1091" spans="1:2" x14ac:dyDescent="0.25">
      <c r="A1091" s="2"/>
      <c r="B1091" s="1"/>
    </row>
    <row r="1092" spans="1:2" x14ac:dyDescent="0.25">
      <c r="A1092" s="2"/>
      <c r="B1092" s="1"/>
    </row>
    <row r="1093" spans="1:2" x14ac:dyDescent="0.25">
      <c r="A1093" s="2"/>
      <c r="B1093" s="1"/>
    </row>
    <row r="1094" spans="1:2" x14ac:dyDescent="0.25">
      <c r="A1094" s="2"/>
      <c r="B1094" s="1"/>
    </row>
    <row r="1095" spans="1:2" x14ac:dyDescent="0.25">
      <c r="A1095" s="2"/>
      <c r="B1095" s="1"/>
    </row>
    <row r="1096" spans="1:2" x14ac:dyDescent="0.25">
      <c r="A1096" s="2"/>
      <c r="B1096" s="1"/>
    </row>
    <row r="1097" spans="1:2" x14ac:dyDescent="0.25">
      <c r="A1097" s="2"/>
      <c r="B1097" s="1"/>
    </row>
    <row r="1098" spans="1:2" x14ac:dyDescent="0.25">
      <c r="A1098" s="2"/>
      <c r="B1098" s="1"/>
    </row>
    <row r="1099" spans="1:2" x14ac:dyDescent="0.25">
      <c r="A1099" s="2"/>
      <c r="B1099" s="1"/>
    </row>
    <row r="1100" spans="1:2" x14ac:dyDescent="0.25">
      <c r="A1100" s="2"/>
      <c r="B1100" s="1"/>
    </row>
    <row r="1101" spans="1:2" x14ac:dyDescent="0.25">
      <c r="A1101" s="2"/>
      <c r="B1101" s="1"/>
    </row>
    <row r="1102" spans="1:2" x14ac:dyDescent="0.25">
      <c r="A1102" s="2"/>
      <c r="B1102" s="1"/>
    </row>
    <row r="1103" spans="1:2" x14ac:dyDescent="0.25">
      <c r="A1103" s="2"/>
      <c r="B1103" s="1"/>
    </row>
    <row r="1104" spans="1:2" x14ac:dyDescent="0.25">
      <c r="A1104" s="2"/>
      <c r="B1104" s="1"/>
    </row>
    <row r="1105" spans="1:2" x14ac:dyDescent="0.25">
      <c r="A1105" s="2"/>
      <c r="B1105" s="1"/>
    </row>
    <row r="1106" spans="1:2" x14ac:dyDescent="0.25">
      <c r="A1106" s="2"/>
      <c r="B1106" s="1"/>
    </row>
    <row r="1107" spans="1:2" x14ac:dyDescent="0.25">
      <c r="A1107" s="2"/>
      <c r="B1107" s="1"/>
    </row>
    <row r="1108" spans="1:2" x14ac:dyDescent="0.25">
      <c r="A1108" s="2"/>
      <c r="B1108" s="1"/>
    </row>
    <row r="1109" spans="1:2" x14ac:dyDescent="0.25">
      <c r="A1109" s="2"/>
      <c r="B1109" s="1"/>
    </row>
    <row r="1110" spans="1:2" x14ac:dyDescent="0.25">
      <c r="A1110" s="2"/>
      <c r="B1110" s="1"/>
    </row>
    <row r="1111" spans="1:2" x14ac:dyDescent="0.25">
      <c r="A1111" s="2"/>
      <c r="B1111" s="1"/>
    </row>
    <row r="1112" spans="1:2" x14ac:dyDescent="0.25">
      <c r="A1112" s="2"/>
      <c r="B1112" s="1"/>
    </row>
    <row r="1113" spans="1:2" x14ac:dyDescent="0.25">
      <c r="A1113" s="2"/>
      <c r="B1113" s="1"/>
    </row>
    <row r="1114" spans="1:2" x14ac:dyDescent="0.25">
      <c r="A1114" s="2"/>
      <c r="B1114" s="1"/>
    </row>
    <row r="1115" spans="1:2" x14ac:dyDescent="0.25">
      <c r="A1115" s="2"/>
      <c r="B1115" s="1"/>
    </row>
    <row r="1116" spans="1:2" x14ac:dyDescent="0.25">
      <c r="A1116" s="2"/>
      <c r="B1116" s="1"/>
    </row>
    <row r="1117" spans="1:2" x14ac:dyDescent="0.25">
      <c r="A1117" s="2"/>
      <c r="B1117" s="1"/>
    </row>
    <row r="1118" spans="1:2" x14ac:dyDescent="0.25">
      <c r="A1118" s="2"/>
      <c r="B1118" s="1"/>
    </row>
    <row r="1119" spans="1:2" x14ac:dyDescent="0.25">
      <c r="A1119" s="2"/>
      <c r="B1119" s="1"/>
    </row>
    <row r="1120" spans="1:2" x14ac:dyDescent="0.25">
      <c r="A1120" s="2"/>
      <c r="B1120" s="1"/>
    </row>
    <row r="1121" spans="1:2" x14ac:dyDescent="0.25">
      <c r="A1121" s="2"/>
      <c r="B1121" s="1"/>
    </row>
    <row r="1122" spans="1:2" x14ac:dyDescent="0.25">
      <c r="A1122" s="2"/>
      <c r="B1122" s="1"/>
    </row>
    <row r="1123" spans="1:2" x14ac:dyDescent="0.25">
      <c r="A1123" s="2"/>
      <c r="B1123" s="1"/>
    </row>
    <row r="1124" spans="1:2" x14ac:dyDescent="0.25">
      <c r="A1124" s="2"/>
      <c r="B1124" s="1"/>
    </row>
    <row r="1125" spans="1:2" x14ac:dyDescent="0.25">
      <c r="A1125" s="2"/>
      <c r="B1125" s="1"/>
    </row>
    <row r="1126" spans="1:2" x14ac:dyDescent="0.25">
      <c r="A1126" s="2"/>
      <c r="B1126" s="1"/>
    </row>
    <row r="1127" spans="1:2" x14ac:dyDescent="0.25">
      <c r="A1127" s="2"/>
      <c r="B1127" s="1"/>
    </row>
    <row r="1128" spans="1:2" x14ac:dyDescent="0.25">
      <c r="A1128" s="2"/>
      <c r="B1128" s="1"/>
    </row>
    <row r="1129" spans="1:2" x14ac:dyDescent="0.25">
      <c r="A1129" s="2"/>
      <c r="B1129" s="1"/>
    </row>
    <row r="1130" spans="1:2" x14ac:dyDescent="0.25">
      <c r="A1130" s="2"/>
      <c r="B1130" s="1"/>
    </row>
    <row r="1131" spans="1:2" x14ac:dyDescent="0.25">
      <c r="A1131" s="2"/>
      <c r="B1131" s="1"/>
    </row>
    <row r="1132" spans="1:2" x14ac:dyDescent="0.25">
      <c r="A1132" s="2"/>
      <c r="B1132" s="1"/>
    </row>
    <row r="1133" spans="1:2" x14ac:dyDescent="0.25">
      <c r="A1133" s="2"/>
      <c r="B1133" s="1"/>
    </row>
    <row r="1134" spans="1:2" x14ac:dyDescent="0.25">
      <c r="A1134" s="2"/>
      <c r="B1134" s="1"/>
    </row>
    <row r="1135" spans="1:2" x14ac:dyDescent="0.25">
      <c r="A1135" s="2"/>
      <c r="B1135" s="1"/>
    </row>
    <row r="1136" spans="1:2" x14ac:dyDescent="0.25">
      <c r="A1136" s="2"/>
      <c r="B1136" s="1"/>
    </row>
    <row r="1137" spans="1:2" x14ac:dyDescent="0.25">
      <c r="A1137" s="2"/>
      <c r="B1137" s="1"/>
    </row>
    <row r="1138" spans="1:2" x14ac:dyDescent="0.25">
      <c r="A1138" s="2"/>
      <c r="B1138" s="1"/>
    </row>
    <row r="1139" spans="1:2" x14ac:dyDescent="0.25">
      <c r="A1139" s="2"/>
      <c r="B1139" s="1"/>
    </row>
    <row r="1140" spans="1:2" x14ac:dyDescent="0.25">
      <c r="A1140" s="2"/>
      <c r="B1140" s="1"/>
    </row>
    <row r="1141" spans="1:2" x14ac:dyDescent="0.25">
      <c r="A1141" s="2"/>
      <c r="B1141" s="1"/>
    </row>
    <row r="1142" spans="1:2" x14ac:dyDescent="0.25">
      <c r="A1142" s="2"/>
      <c r="B1142" s="1"/>
    </row>
    <row r="1143" spans="1:2" x14ac:dyDescent="0.25">
      <c r="A1143" s="2"/>
      <c r="B1143" s="1"/>
    </row>
    <row r="1144" spans="1:2" x14ac:dyDescent="0.25">
      <c r="A1144" s="2"/>
      <c r="B1144" s="1"/>
    </row>
    <row r="1145" spans="1:2" x14ac:dyDescent="0.25">
      <c r="A1145" s="2"/>
      <c r="B1145" s="1"/>
    </row>
    <row r="1146" spans="1:2" x14ac:dyDescent="0.25">
      <c r="A1146" s="2"/>
      <c r="B1146" s="1"/>
    </row>
    <row r="1147" spans="1:2" x14ac:dyDescent="0.25">
      <c r="A1147" s="2"/>
      <c r="B1147" s="1"/>
    </row>
    <row r="1148" spans="1:2" x14ac:dyDescent="0.25">
      <c r="A1148" s="2"/>
      <c r="B1148" s="1"/>
    </row>
    <row r="1149" spans="1:2" x14ac:dyDescent="0.25">
      <c r="A1149" s="2"/>
      <c r="B1149" s="1"/>
    </row>
    <row r="1150" spans="1:2" x14ac:dyDescent="0.25">
      <c r="A1150" s="2"/>
      <c r="B1150" s="1"/>
    </row>
    <row r="1151" spans="1:2" x14ac:dyDescent="0.25">
      <c r="A1151" s="2"/>
      <c r="B1151" s="1"/>
    </row>
    <row r="1152" spans="1:2" x14ac:dyDescent="0.25">
      <c r="A1152" s="2"/>
      <c r="B1152" s="1"/>
    </row>
    <row r="1153" spans="1:2" x14ac:dyDescent="0.25">
      <c r="A1153" s="2"/>
      <c r="B1153" s="1"/>
    </row>
    <row r="1154" spans="1:2" x14ac:dyDescent="0.25">
      <c r="A1154" s="2"/>
      <c r="B1154" s="1"/>
    </row>
    <row r="1155" spans="1:2" x14ac:dyDescent="0.25">
      <c r="A1155" s="2"/>
      <c r="B1155" s="1"/>
    </row>
    <row r="1156" spans="1:2" x14ac:dyDescent="0.25">
      <c r="A1156" s="2"/>
      <c r="B1156" s="1"/>
    </row>
    <row r="1157" spans="1:2" x14ac:dyDescent="0.25">
      <c r="A1157" s="2"/>
      <c r="B1157" s="1"/>
    </row>
    <row r="1158" spans="1:2" x14ac:dyDescent="0.25">
      <c r="A1158" s="2"/>
      <c r="B1158" s="1"/>
    </row>
    <row r="1159" spans="1:2" x14ac:dyDescent="0.25">
      <c r="A1159" s="2"/>
      <c r="B1159" s="1"/>
    </row>
    <row r="1160" spans="1:2" x14ac:dyDescent="0.25">
      <c r="A1160" s="2"/>
      <c r="B1160" s="1"/>
    </row>
    <row r="1161" spans="1:2" x14ac:dyDescent="0.25">
      <c r="A1161" s="2"/>
      <c r="B1161" s="1"/>
    </row>
    <row r="1162" spans="1:2" x14ac:dyDescent="0.25">
      <c r="A1162" s="2"/>
      <c r="B1162" s="1"/>
    </row>
    <row r="1163" spans="1:2" x14ac:dyDescent="0.25">
      <c r="A1163" s="2"/>
      <c r="B1163" s="1"/>
    </row>
    <row r="1164" spans="1:2" x14ac:dyDescent="0.25">
      <c r="A1164" s="2"/>
      <c r="B1164" s="1"/>
    </row>
    <row r="1165" spans="1:2" x14ac:dyDescent="0.25">
      <c r="A1165" s="2"/>
      <c r="B1165" s="1"/>
    </row>
    <row r="1166" spans="1:2" x14ac:dyDescent="0.25">
      <c r="A1166" s="2"/>
      <c r="B1166" s="1"/>
    </row>
    <row r="1167" spans="1:2" x14ac:dyDescent="0.25">
      <c r="A1167" s="2"/>
      <c r="B1167" s="1"/>
    </row>
    <row r="1168" spans="1:2" x14ac:dyDescent="0.25">
      <c r="A1168" s="2"/>
      <c r="B1168" s="1"/>
    </row>
    <row r="1169" spans="1:2" x14ac:dyDescent="0.25">
      <c r="A1169" s="2"/>
      <c r="B1169" s="1"/>
    </row>
    <row r="1170" spans="1:2" x14ac:dyDescent="0.25">
      <c r="A1170" s="2"/>
      <c r="B1170" s="1"/>
    </row>
    <row r="1171" spans="1:2" x14ac:dyDescent="0.25">
      <c r="A1171" s="2"/>
      <c r="B1171" s="1"/>
    </row>
    <row r="1172" spans="1:2" x14ac:dyDescent="0.25">
      <c r="A1172" s="2"/>
      <c r="B1172" s="1"/>
    </row>
    <row r="1173" spans="1:2" x14ac:dyDescent="0.25">
      <c r="A1173" s="2"/>
      <c r="B1173" s="1"/>
    </row>
    <row r="1174" spans="1:2" x14ac:dyDescent="0.25">
      <c r="A1174" s="2"/>
      <c r="B1174" s="1"/>
    </row>
    <row r="1175" spans="1:2" x14ac:dyDescent="0.25">
      <c r="A1175" s="2"/>
      <c r="B1175" s="1"/>
    </row>
    <row r="1176" spans="1:2" x14ac:dyDescent="0.25">
      <c r="A1176" s="2"/>
      <c r="B1176" s="1"/>
    </row>
    <row r="1177" spans="1:2" x14ac:dyDescent="0.25">
      <c r="A1177" s="2"/>
      <c r="B1177" s="1"/>
    </row>
    <row r="1178" spans="1:2" x14ac:dyDescent="0.25">
      <c r="A1178" s="2"/>
      <c r="B1178" s="1"/>
    </row>
    <row r="1179" spans="1:2" x14ac:dyDescent="0.25">
      <c r="A1179" s="2"/>
      <c r="B1179" s="1"/>
    </row>
    <row r="1180" spans="1:2" x14ac:dyDescent="0.25">
      <c r="A1180" s="2"/>
      <c r="B1180" s="1"/>
    </row>
    <row r="1181" spans="1:2" x14ac:dyDescent="0.25">
      <c r="A1181" s="2"/>
      <c r="B1181" s="1"/>
    </row>
    <row r="1182" spans="1:2" x14ac:dyDescent="0.25">
      <c r="A1182" s="2"/>
      <c r="B1182" s="1"/>
    </row>
    <row r="1183" spans="1:2" x14ac:dyDescent="0.25">
      <c r="A1183" s="2"/>
      <c r="B1183" s="1"/>
    </row>
    <row r="1184" spans="1:2" x14ac:dyDescent="0.25">
      <c r="A1184" s="2"/>
      <c r="B1184" s="1"/>
    </row>
    <row r="1185" spans="1:2" x14ac:dyDescent="0.25">
      <c r="A1185" s="2"/>
      <c r="B1185" s="1"/>
    </row>
    <row r="1186" spans="1:2" x14ac:dyDescent="0.25">
      <c r="A1186" s="2"/>
      <c r="B1186" s="1"/>
    </row>
    <row r="1187" spans="1:2" x14ac:dyDescent="0.25">
      <c r="A1187" s="2"/>
      <c r="B1187" s="1"/>
    </row>
    <row r="1188" spans="1:2" x14ac:dyDescent="0.25">
      <c r="A1188" s="2"/>
      <c r="B1188" s="1"/>
    </row>
    <row r="1189" spans="1:2" x14ac:dyDescent="0.25">
      <c r="A1189" s="2"/>
      <c r="B1189" s="1"/>
    </row>
    <row r="1190" spans="1:2" x14ac:dyDescent="0.25">
      <c r="A1190" s="2"/>
      <c r="B1190" s="1"/>
    </row>
    <row r="1191" spans="1:2" x14ac:dyDescent="0.25">
      <c r="A1191" s="2"/>
      <c r="B1191" s="1"/>
    </row>
    <row r="1192" spans="1:2" x14ac:dyDescent="0.25">
      <c r="A1192" s="2"/>
      <c r="B1192" s="1"/>
    </row>
    <row r="1193" spans="1:2" x14ac:dyDescent="0.25">
      <c r="A1193" s="2"/>
      <c r="B1193" s="1"/>
    </row>
    <row r="1194" spans="1:2" x14ac:dyDescent="0.25">
      <c r="A1194" s="2"/>
      <c r="B1194" s="1"/>
    </row>
    <row r="1195" spans="1:2" x14ac:dyDescent="0.25">
      <c r="A1195" s="2"/>
      <c r="B1195" s="1"/>
    </row>
    <row r="1196" spans="1:2" x14ac:dyDescent="0.25">
      <c r="A1196" s="2"/>
      <c r="B1196" s="1"/>
    </row>
    <row r="1197" spans="1:2" x14ac:dyDescent="0.25">
      <c r="A1197" s="2"/>
      <c r="B1197" s="1"/>
    </row>
    <row r="1198" spans="1:2" x14ac:dyDescent="0.25">
      <c r="A1198" s="2"/>
      <c r="B1198" s="1"/>
    </row>
    <row r="1199" spans="1:2" x14ac:dyDescent="0.25">
      <c r="A1199" s="2"/>
      <c r="B1199" s="1"/>
    </row>
    <row r="1200" spans="1:2" x14ac:dyDescent="0.25">
      <c r="A1200" s="2"/>
      <c r="B1200" s="1"/>
    </row>
    <row r="1201" spans="1:2" x14ac:dyDescent="0.25">
      <c r="A1201" s="2"/>
      <c r="B1201" s="1"/>
    </row>
    <row r="1202" spans="1:2" x14ac:dyDescent="0.25">
      <c r="A1202" s="2"/>
      <c r="B1202" s="1"/>
    </row>
    <row r="1203" spans="1:2" x14ac:dyDescent="0.25">
      <c r="A1203" s="2"/>
      <c r="B1203" s="1"/>
    </row>
    <row r="1204" spans="1:2" x14ac:dyDescent="0.25">
      <c r="A1204" s="2"/>
      <c r="B1204" s="1"/>
    </row>
    <row r="1205" spans="1:2" x14ac:dyDescent="0.25">
      <c r="A1205" s="2"/>
      <c r="B1205" s="1"/>
    </row>
    <row r="1206" spans="1:2" x14ac:dyDescent="0.25">
      <c r="A1206" s="2"/>
      <c r="B1206" s="1"/>
    </row>
    <row r="1207" spans="1:2" x14ac:dyDescent="0.25">
      <c r="A1207" s="2"/>
      <c r="B1207" s="1"/>
    </row>
    <row r="1208" spans="1:2" x14ac:dyDescent="0.25">
      <c r="A1208" s="2"/>
      <c r="B1208" s="1"/>
    </row>
    <row r="1209" spans="1:2" x14ac:dyDescent="0.25">
      <c r="A1209" s="2"/>
      <c r="B1209" s="1"/>
    </row>
    <row r="1210" spans="1:2" x14ac:dyDescent="0.25">
      <c r="A1210" s="2"/>
      <c r="B1210" s="1"/>
    </row>
    <row r="1211" spans="1:2" x14ac:dyDescent="0.25">
      <c r="A1211" s="2"/>
      <c r="B1211" s="1"/>
    </row>
    <row r="1212" spans="1:2" x14ac:dyDescent="0.25">
      <c r="A1212" s="2"/>
      <c r="B1212" s="1"/>
    </row>
    <row r="1213" spans="1:2" x14ac:dyDescent="0.25">
      <c r="A1213" s="2"/>
      <c r="B1213" s="1"/>
    </row>
    <row r="1214" spans="1:2" x14ac:dyDescent="0.25">
      <c r="A1214" s="2"/>
      <c r="B1214" s="1"/>
    </row>
    <row r="1215" spans="1:2" x14ac:dyDescent="0.25">
      <c r="A1215" s="2"/>
      <c r="B1215" s="1"/>
    </row>
    <row r="1216" spans="1:2" x14ac:dyDescent="0.25">
      <c r="A1216" s="2"/>
      <c r="B1216" s="1"/>
    </row>
    <row r="1217" spans="1:2" x14ac:dyDescent="0.25">
      <c r="A1217" s="2"/>
      <c r="B1217" s="1"/>
    </row>
    <row r="1218" spans="1:2" x14ac:dyDescent="0.25">
      <c r="A1218" s="2"/>
      <c r="B1218" s="1"/>
    </row>
    <row r="1219" spans="1:2" x14ac:dyDescent="0.25">
      <c r="A1219" s="2"/>
      <c r="B1219" s="1"/>
    </row>
    <row r="1220" spans="1:2" x14ac:dyDescent="0.25">
      <c r="A1220" s="2"/>
      <c r="B1220" s="1"/>
    </row>
    <row r="1221" spans="1:2" x14ac:dyDescent="0.25">
      <c r="A1221" s="2"/>
      <c r="B1221" s="1"/>
    </row>
    <row r="1222" spans="1:2" x14ac:dyDescent="0.25">
      <c r="A1222" s="2"/>
      <c r="B1222" s="1"/>
    </row>
    <row r="1223" spans="1:2" x14ac:dyDescent="0.25">
      <c r="A1223" s="2"/>
      <c r="B1223" s="1"/>
    </row>
    <row r="1224" spans="1:2" x14ac:dyDescent="0.25">
      <c r="A1224" s="2"/>
      <c r="B1224" s="1"/>
    </row>
    <row r="1225" spans="1:2" x14ac:dyDescent="0.25">
      <c r="A1225" s="2"/>
      <c r="B1225" s="1"/>
    </row>
    <row r="1226" spans="1:2" x14ac:dyDescent="0.25">
      <c r="A1226" s="2"/>
      <c r="B1226" s="1"/>
    </row>
    <row r="1227" spans="1:2" x14ac:dyDescent="0.25">
      <c r="A1227" s="2"/>
      <c r="B1227" s="1"/>
    </row>
    <row r="1228" spans="1:2" x14ac:dyDescent="0.25">
      <c r="A1228" s="2"/>
      <c r="B1228" s="1"/>
    </row>
    <row r="1229" spans="1:2" x14ac:dyDescent="0.25">
      <c r="A1229" s="2"/>
      <c r="B1229" s="1"/>
    </row>
    <row r="1230" spans="1:2" x14ac:dyDescent="0.25">
      <c r="A1230" s="2"/>
      <c r="B1230" s="1"/>
    </row>
    <row r="1231" spans="1:2" x14ac:dyDescent="0.25">
      <c r="A1231" s="2"/>
      <c r="B1231" s="1"/>
    </row>
    <row r="1232" spans="1:2" x14ac:dyDescent="0.25">
      <c r="A1232" s="2"/>
      <c r="B1232" s="1"/>
    </row>
    <row r="1233" spans="1:2" x14ac:dyDescent="0.25">
      <c r="A1233" s="2"/>
      <c r="B1233" s="1"/>
    </row>
    <row r="1234" spans="1:2" x14ac:dyDescent="0.25">
      <c r="A1234" s="2"/>
      <c r="B1234" s="1"/>
    </row>
    <row r="1235" spans="1:2" x14ac:dyDescent="0.25">
      <c r="A1235" s="2"/>
      <c r="B1235" s="1"/>
    </row>
    <row r="1236" spans="1:2" x14ac:dyDescent="0.25">
      <c r="A1236" s="2"/>
      <c r="B1236" s="1"/>
    </row>
    <row r="1237" spans="1:2" x14ac:dyDescent="0.25">
      <c r="A1237" s="2"/>
      <c r="B1237" s="1"/>
    </row>
    <row r="1238" spans="1:2" x14ac:dyDescent="0.25">
      <c r="A1238" s="2"/>
      <c r="B1238" s="1"/>
    </row>
    <row r="1239" spans="1:2" x14ac:dyDescent="0.25">
      <c r="A1239" s="2"/>
      <c r="B1239" s="1"/>
    </row>
    <row r="1240" spans="1:2" x14ac:dyDescent="0.25">
      <c r="A1240" s="2"/>
      <c r="B1240" s="1"/>
    </row>
    <row r="1241" spans="1:2" x14ac:dyDescent="0.25">
      <c r="A1241" s="2"/>
      <c r="B1241" s="1"/>
    </row>
    <row r="1242" spans="1:2" x14ac:dyDescent="0.25">
      <c r="A1242" s="2"/>
      <c r="B1242" s="1"/>
    </row>
    <row r="1243" spans="1:2" x14ac:dyDescent="0.25">
      <c r="A1243" s="2"/>
      <c r="B1243" s="1"/>
    </row>
    <row r="1244" spans="1:2" x14ac:dyDescent="0.25">
      <c r="A1244" s="2"/>
      <c r="B1244" s="1"/>
    </row>
    <row r="1245" spans="1:2" x14ac:dyDescent="0.25">
      <c r="A1245" s="2"/>
      <c r="B1245" s="1"/>
    </row>
    <row r="1246" spans="1:2" x14ac:dyDescent="0.25">
      <c r="A1246" s="2"/>
      <c r="B1246" s="1"/>
    </row>
    <row r="1247" spans="1:2" x14ac:dyDescent="0.25">
      <c r="A1247" s="2"/>
      <c r="B1247" s="1"/>
    </row>
    <row r="1248" spans="1:2" x14ac:dyDescent="0.25">
      <c r="A1248" s="2"/>
      <c r="B1248" s="1"/>
    </row>
    <row r="1249" spans="1:2" x14ac:dyDescent="0.25">
      <c r="A1249" s="2"/>
      <c r="B1249" s="1"/>
    </row>
    <row r="1250" spans="1:2" x14ac:dyDescent="0.25">
      <c r="A1250" s="2"/>
      <c r="B1250" s="1"/>
    </row>
    <row r="1251" spans="1:2" x14ac:dyDescent="0.25">
      <c r="A1251" s="2"/>
      <c r="B1251" s="1"/>
    </row>
    <row r="1252" spans="1:2" x14ac:dyDescent="0.25">
      <c r="A1252" s="2"/>
      <c r="B1252" s="1"/>
    </row>
    <row r="1253" spans="1:2" x14ac:dyDescent="0.25">
      <c r="A1253" s="2"/>
      <c r="B1253" s="1"/>
    </row>
    <row r="1254" spans="1:2" x14ac:dyDescent="0.25">
      <c r="A1254" s="2"/>
      <c r="B1254" s="1"/>
    </row>
    <row r="1255" spans="1:2" x14ac:dyDescent="0.25">
      <c r="A1255" s="2"/>
      <c r="B1255" s="1"/>
    </row>
    <row r="1256" spans="1:2" x14ac:dyDescent="0.25">
      <c r="A1256" s="2"/>
      <c r="B1256" s="1"/>
    </row>
    <row r="1257" spans="1:2" x14ac:dyDescent="0.25">
      <c r="A1257" s="2"/>
      <c r="B1257" s="1"/>
    </row>
    <row r="1258" spans="1:2" x14ac:dyDescent="0.25">
      <c r="A1258" s="2"/>
      <c r="B1258" s="1"/>
    </row>
    <row r="1259" spans="1:2" x14ac:dyDescent="0.25">
      <c r="A1259" s="2"/>
      <c r="B1259" s="1"/>
    </row>
    <row r="1260" spans="1:2" x14ac:dyDescent="0.25">
      <c r="A1260" s="2"/>
      <c r="B1260" s="1"/>
    </row>
    <row r="1261" spans="1:2" x14ac:dyDescent="0.25">
      <c r="A1261" s="2"/>
      <c r="B1261" s="1"/>
    </row>
    <row r="1262" spans="1:2" x14ac:dyDescent="0.25">
      <c r="A1262" s="2"/>
      <c r="B1262" s="1"/>
    </row>
    <row r="1263" spans="1:2" x14ac:dyDescent="0.25">
      <c r="A1263" s="2"/>
      <c r="B1263" s="1"/>
    </row>
    <row r="1264" spans="1:2" x14ac:dyDescent="0.25">
      <c r="A1264" s="2"/>
      <c r="B1264" s="1"/>
    </row>
    <row r="1265" spans="1:2" x14ac:dyDescent="0.25">
      <c r="A1265" s="2"/>
      <c r="B1265" s="1"/>
    </row>
    <row r="1266" spans="1:2" x14ac:dyDescent="0.25">
      <c r="A1266" s="2"/>
      <c r="B1266" s="1"/>
    </row>
    <row r="1267" spans="1:2" x14ac:dyDescent="0.25">
      <c r="A1267" s="2"/>
      <c r="B1267" s="1"/>
    </row>
    <row r="1268" spans="1:2" x14ac:dyDescent="0.25">
      <c r="A1268" s="2"/>
      <c r="B1268" s="1"/>
    </row>
    <row r="1269" spans="1:2" x14ac:dyDescent="0.25">
      <c r="A1269" s="2"/>
      <c r="B1269" s="1"/>
    </row>
    <row r="1270" spans="1:2" x14ac:dyDescent="0.25">
      <c r="A1270" s="2"/>
      <c r="B1270" s="1"/>
    </row>
    <row r="1271" spans="1:2" x14ac:dyDescent="0.25">
      <c r="A1271" s="2"/>
      <c r="B1271" s="1"/>
    </row>
    <row r="1272" spans="1:2" x14ac:dyDescent="0.25">
      <c r="A1272" s="2"/>
      <c r="B1272" s="1"/>
    </row>
    <row r="1273" spans="1:2" x14ac:dyDescent="0.25">
      <c r="A1273" s="2"/>
      <c r="B1273" s="1"/>
    </row>
    <row r="1274" spans="1:2" x14ac:dyDescent="0.25">
      <c r="A1274" s="2"/>
      <c r="B1274" s="1"/>
    </row>
    <row r="1275" spans="1:2" x14ac:dyDescent="0.25">
      <c r="A1275" s="2"/>
      <c r="B1275" s="1"/>
    </row>
    <row r="1276" spans="1:2" x14ac:dyDescent="0.25">
      <c r="A1276" s="2"/>
      <c r="B1276" s="1"/>
    </row>
    <row r="1277" spans="1:2" x14ac:dyDescent="0.25">
      <c r="A1277" s="2"/>
      <c r="B1277" s="1"/>
    </row>
    <row r="1278" spans="1:2" x14ac:dyDescent="0.25">
      <c r="A1278" s="2"/>
      <c r="B1278" s="1"/>
    </row>
    <row r="1279" spans="1:2" x14ac:dyDescent="0.25">
      <c r="A1279" s="2"/>
      <c r="B1279" s="1"/>
    </row>
    <row r="1280" spans="1:2" x14ac:dyDescent="0.25">
      <c r="A1280" s="2"/>
      <c r="B1280" s="1"/>
    </row>
    <row r="1281" spans="1:2" x14ac:dyDescent="0.25">
      <c r="A1281" s="2"/>
      <c r="B1281" s="1"/>
    </row>
    <row r="1282" spans="1:2" x14ac:dyDescent="0.25">
      <c r="A1282" s="2"/>
      <c r="B1282" s="1"/>
    </row>
    <row r="1283" spans="1:2" x14ac:dyDescent="0.25">
      <c r="A1283" s="2"/>
      <c r="B1283" s="1"/>
    </row>
    <row r="1284" spans="1:2" x14ac:dyDescent="0.25">
      <c r="A1284" s="2"/>
      <c r="B1284" s="1"/>
    </row>
    <row r="1285" spans="1:2" x14ac:dyDescent="0.25">
      <c r="A1285" s="2"/>
      <c r="B1285" s="1"/>
    </row>
    <row r="1286" spans="1:2" x14ac:dyDescent="0.25">
      <c r="A1286" s="2"/>
      <c r="B1286" s="1"/>
    </row>
    <row r="1287" spans="1:2" x14ac:dyDescent="0.25">
      <c r="A1287" s="2"/>
      <c r="B1287" s="1"/>
    </row>
    <row r="1288" spans="1:2" x14ac:dyDescent="0.25">
      <c r="A1288" s="2"/>
      <c r="B1288" s="1"/>
    </row>
    <row r="1289" spans="1:2" x14ac:dyDescent="0.25">
      <c r="A1289" s="2"/>
      <c r="B1289" s="1"/>
    </row>
    <row r="1290" spans="1:2" x14ac:dyDescent="0.25">
      <c r="A1290" s="2"/>
      <c r="B1290" s="1"/>
    </row>
    <row r="1291" spans="1:2" x14ac:dyDescent="0.25">
      <c r="A1291" s="2"/>
      <c r="B1291" s="1"/>
    </row>
    <row r="1292" spans="1:2" x14ac:dyDescent="0.25">
      <c r="A1292" s="2"/>
      <c r="B1292" s="1"/>
    </row>
    <row r="1293" spans="1:2" x14ac:dyDescent="0.25">
      <c r="A1293" s="2"/>
      <c r="B1293" s="1"/>
    </row>
    <row r="1294" spans="1:2" x14ac:dyDescent="0.25">
      <c r="A1294" s="2"/>
      <c r="B1294" s="1"/>
    </row>
    <row r="1295" spans="1:2" x14ac:dyDescent="0.25">
      <c r="A1295" s="2"/>
      <c r="B1295" s="1"/>
    </row>
    <row r="1296" spans="1:2" x14ac:dyDescent="0.25">
      <c r="A1296" s="2"/>
      <c r="B1296" s="1"/>
    </row>
    <row r="1297" spans="1:2" x14ac:dyDescent="0.25">
      <c r="A1297" s="2"/>
      <c r="B1297" s="1"/>
    </row>
    <row r="1298" spans="1:2" x14ac:dyDescent="0.25">
      <c r="A1298" s="2"/>
      <c r="B1298" s="1"/>
    </row>
    <row r="1299" spans="1:2" x14ac:dyDescent="0.25">
      <c r="A1299" s="2"/>
      <c r="B1299" s="1"/>
    </row>
    <row r="1300" spans="1:2" x14ac:dyDescent="0.25">
      <c r="A1300" s="2"/>
      <c r="B1300" s="1"/>
    </row>
    <row r="1301" spans="1:2" x14ac:dyDescent="0.25">
      <c r="A1301" s="2"/>
      <c r="B1301" s="1"/>
    </row>
    <row r="1302" spans="1:2" x14ac:dyDescent="0.25">
      <c r="A1302" s="2"/>
      <c r="B1302" s="1"/>
    </row>
    <row r="1303" spans="1:2" x14ac:dyDescent="0.25">
      <c r="A1303" s="2"/>
      <c r="B1303" s="1"/>
    </row>
    <row r="1304" spans="1:2" x14ac:dyDescent="0.25">
      <c r="A1304" s="2"/>
      <c r="B1304" s="1"/>
    </row>
    <row r="1305" spans="1:2" x14ac:dyDescent="0.25">
      <c r="A1305" s="2"/>
      <c r="B1305" s="1"/>
    </row>
    <row r="1306" spans="1:2" x14ac:dyDescent="0.25">
      <c r="A1306" s="2"/>
      <c r="B1306" s="1"/>
    </row>
    <row r="1307" spans="1:2" x14ac:dyDescent="0.25">
      <c r="A1307" s="2"/>
      <c r="B1307" s="1"/>
    </row>
    <row r="1308" spans="1:2" x14ac:dyDescent="0.25">
      <c r="A1308" s="2"/>
      <c r="B1308" s="1"/>
    </row>
    <row r="1309" spans="1:2" x14ac:dyDescent="0.25">
      <c r="A1309" s="2"/>
      <c r="B1309" s="1"/>
    </row>
    <row r="1310" spans="1:2" x14ac:dyDescent="0.25">
      <c r="A1310" s="2"/>
      <c r="B1310" s="1"/>
    </row>
    <row r="1311" spans="1:2" x14ac:dyDescent="0.25">
      <c r="A1311" s="2"/>
      <c r="B1311" s="1"/>
    </row>
    <row r="1312" spans="1:2" x14ac:dyDescent="0.25">
      <c r="A1312" s="2"/>
      <c r="B1312" s="1"/>
    </row>
    <row r="1313" spans="1:2" x14ac:dyDescent="0.25">
      <c r="A1313" s="2"/>
      <c r="B1313" s="1"/>
    </row>
    <row r="1314" spans="1:2" x14ac:dyDescent="0.25">
      <c r="A1314" s="2"/>
      <c r="B1314" s="1"/>
    </row>
    <row r="1315" spans="1:2" x14ac:dyDescent="0.25">
      <c r="A1315" s="2"/>
      <c r="B1315" s="1"/>
    </row>
    <row r="1316" spans="1:2" x14ac:dyDescent="0.25">
      <c r="A1316" s="2"/>
      <c r="B1316" s="1"/>
    </row>
    <row r="1317" spans="1:2" x14ac:dyDescent="0.25">
      <c r="A1317" s="2"/>
      <c r="B1317" s="1"/>
    </row>
    <row r="1318" spans="1:2" x14ac:dyDescent="0.25">
      <c r="A1318" s="2"/>
      <c r="B1318" s="1"/>
    </row>
    <row r="1319" spans="1:2" x14ac:dyDescent="0.25">
      <c r="A1319" s="2"/>
      <c r="B1319" s="1"/>
    </row>
    <row r="1320" spans="1:2" x14ac:dyDescent="0.25">
      <c r="A1320" s="2"/>
      <c r="B1320" s="1"/>
    </row>
    <row r="1321" spans="1:2" x14ac:dyDescent="0.25">
      <c r="A1321" s="2"/>
      <c r="B1321" s="1"/>
    </row>
    <row r="1322" spans="1:2" x14ac:dyDescent="0.25">
      <c r="A1322" s="2"/>
      <c r="B1322" s="1"/>
    </row>
    <row r="1323" spans="1:2" x14ac:dyDescent="0.25">
      <c r="A1323" s="2"/>
      <c r="B1323" s="1"/>
    </row>
    <row r="1324" spans="1:2" x14ac:dyDescent="0.25">
      <c r="A1324" s="2"/>
      <c r="B1324" s="1"/>
    </row>
    <row r="1325" spans="1:2" x14ac:dyDescent="0.25">
      <c r="A1325" s="2"/>
      <c r="B1325" s="1"/>
    </row>
    <row r="1326" spans="1:2" x14ac:dyDescent="0.25">
      <c r="A1326" s="2"/>
      <c r="B1326" s="1"/>
    </row>
    <row r="1327" spans="1:2" x14ac:dyDescent="0.25">
      <c r="A1327" s="2"/>
      <c r="B1327" s="1"/>
    </row>
    <row r="1328" spans="1:2" x14ac:dyDescent="0.25">
      <c r="A1328" s="2"/>
      <c r="B1328" s="1"/>
    </row>
    <row r="1329" spans="1:2" x14ac:dyDescent="0.25">
      <c r="A1329" s="2"/>
      <c r="B1329" s="1"/>
    </row>
    <row r="1330" spans="1:2" x14ac:dyDescent="0.25">
      <c r="A1330" s="2"/>
      <c r="B1330" s="1"/>
    </row>
    <row r="1331" spans="1:2" x14ac:dyDescent="0.25">
      <c r="A1331" s="2"/>
      <c r="B1331" s="1"/>
    </row>
    <row r="1332" spans="1:2" x14ac:dyDescent="0.25">
      <c r="A1332" s="2"/>
      <c r="B1332" s="1"/>
    </row>
    <row r="1333" spans="1:2" x14ac:dyDescent="0.25">
      <c r="A1333" s="2"/>
      <c r="B1333" s="1"/>
    </row>
    <row r="1334" spans="1:2" x14ac:dyDescent="0.25">
      <c r="A1334" s="2"/>
      <c r="B1334" s="1"/>
    </row>
    <row r="1335" spans="1:2" x14ac:dyDescent="0.25">
      <c r="A1335" s="2"/>
      <c r="B1335" s="1"/>
    </row>
    <row r="1336" spans="1:2" x14ac:dyDescent="0.25">
      <c r="A1336" s="2"/>
      <c r="B1336" s="1"/>
    </row>
    <row r="1337" spans="1:2" x14ac:dyDescent="0.25">
      <c r="A1337" s="2"/>
      <c r="B1337" s="1"/>
    </row>
    <row r="1338" spans="1:2" x14ac:dyDescent="0.25">
      <c r="A1338" s="2"/>
      <c r="B1338" s="1"/>
    </row>
    <row r="1339" spans="1:2" x14ac:dyDescent="0.25">
      <c r="A1339" s="2"/>
      <c r="B1339" s="1"/>
    </row>
    <row r="1340" spans="1:2" x14ac:dyDescent="0.25">
      <c r="A1340" s="2"/>
      <c r="B1340" s="1"/>
    </row>
    <row r="1341" spans="1:2" x14ac:dyDescent="0.25">
      <c r="A1341" s="2"/>
      <c r="B1341" s="1"/>
    </row>
    <row r="1342" spans="1:2" x14ac:dyDescent="0.25">
      <c r="A1342" s="2"/>
      <c r="B1342" s="1"/>
    </row>
    <row r="1343" spans="1:2" x14ac:dyDescent="0.25">
      <c r="A1343" s="2"/>
      <c r="B1343" s="1"/>
    </row>
    <row r="1344" spans="1:2" x14ac:dyDescent="0.25">
      <c r="A1344" s="2"/>
      <c r="B1344" s="1"/>
    </row>
    <row r="1345" spans="1:2" x14ac:dyDescent="0.25">
      <c r="A1345" s="2"/>
      <c r="B1345" s="1"/>
    </row>
    <row r="1346" spans="1:2" x14ac:dyDescent="0.25">
      <c r="A1346" s="2"/>
      <c r="B1346" s="1"/>
    </row>
    <row r="1347" spans="1:2" x14ac:dyDescent="0.25">
      <c r="A1347" s="2"/>
      <c r="B1347" s="1"/>
    </row>
    <row r="1348" spans="1:2" x14ac:dyDescent="0.25">
      <c r="A1348" s="2"/>
      <c r="B1348" s="1"/>
    </row>
    <row r="1349" spans="1:2" x14ac:dyDescent="0.25">
      <c r="A1349" s="2"/>
      <c r="B1349" s="1"/>
    </row>
    <row r="1350" spans="1:2" x14ac:dyDescent="0.25">
      <c r="A1350" s="2"/>
      <c r="B1350" s="1"/>
    </row>
    <row r="1351" spans="1:2" x14ac:dyDescent="0.25">
      <c r="A1351" s="2"/>
      <c r="B1351" s="1"/>
    </row>
    <row r="1352" spans="1:2" x14ac:dyDescent="0.25">
      <c r="A1352" s="2"/>
      <c r="B1352" s="1"/>
    </row>
    <row r="1353" spans="1:2" x14ac:dyDescent="0.25">
      <c r="A1353" s="2"/>
      <c r="B1353" s="1"/>
    </row>
    <row r="1354" spans="1:2" x14ac:dyDescent="0.25">
      <c r="A1354" s="2"/>
      <c r="B1354" s="1"/>
    </row>
    <row r="1355" spans="1:2" x14ac:dyDescent="0.25">
      <c r="A1355" s="2"/>
      <c r="B1355" s="1"/>
    </row>
    <row r="1356" spans="1:2" x14ac:dyDescent="0.25">
      <c r="A1356" s="2"/>
      <c r="B1356" s="1"/>
    </row>
    <row r="1357" spans="1:2" x14ac:dyDescent="0.25">
      <c r="A1357" s="2"/>
      <c r="B1357" s="1"/>
    </row>
    <row r="1358" spans="1:2" x14ac:dyDescent="0.25">
      <c r="A1358" s="2"/>
      <c r="B1358" s="1"/>
    </row>
    <row r="1359" spans="1:2" x14ac:dyDescent="0.25">
      <c r="A1359" s="2"/>
      <c r="B1359" s="1"/>
    </row>
    <row r="1360" spans="1:2" x14ac:dyDescent="0.25">
      <c r="A1360" s="2"/>
      <c r="B1360" s="1"/>
    </row>
    <row r="1361" spans="1:2" x14ac:dyDescent="0.25">
      <c r="A1361" s="2"/>
      <c r="B1361" s="1"/>
    </row>
    <row r="1362" spans="1:2" x14ac:dyDescent="0.25">
      <c r="A1362" s="2"/>
      <c r="B1362" s="1"/>
    </row>
    <row r="1363" spans="1:2" x14ac:dyDescent="0.25">
      <c r="A1363" s="2"/>
      <c r="B1363" s="1"/>
    </row>
    <row r="1364" spans="1:2" x14ac:dyDescent="0.25">
      <c r="A1364" s="2"/>
      <c r="B1364" s="1"/>
    </row>
    <row r="1365" spans="1:2" x14ac:dyDescent="0.25">
      <c r="A1365" s="2"/>
      <c r="B1365" s="1"/>
    </row>
    <row r="1366" spans="1:2" x14ac:dyDescent="0.25">
      <c r="A1366" s="2"/>
      <c r="B1366" s="1"/>
    </row>
    <row r="1367" spans="1:2" x14ac:dyDescent="0.25">
      <c r="A1367" s="2"/>
      <c r="B1367" s="1"/>
    </row>
    <row r="1368" spans="1:2" x14ac:dyDescent="0.25">
      <c r="A1368" s="2"/>
      <c r="B1368" s="1"/>
    </row>
    <row r="1369" spans="1:2" x14ac:dyDescent="0.25">
      <c r="A1369" s="2"/>
      <c r="B1369" s="1"/>
    </row>
    <row r="1370" spans="1:2" x14ac:dyDescent="0.25">
      <c r="A1370" s="2"/>
      <c r="B1370" s="1"/>
    </row>
    <row r="1371" spans="1:2" x14ac:dyDescent="0.25">
      <c r="A1371" s="2"/>
      <c r="B1371" s="1"/>
    </row>
    <row r="1372" spans="1:2" x14ac:dyDescent="0.25">
      <c r="A1372" s="2"/>
      <c r="B1372" s="1"/>
    </row>
    <row r="1373" spans="1:2" x14ac:dyDescent="0.25">
      <c r="A1373" s="2"/>
      <c r="B1373" s="1"/>
    </row>
    <row r="1374" spans="1:2" x14ac:dyDescent="0.25">
      <c r="A1374" s="2"/>
      <c r="B1374" s="1"/>
    </row>
    <row r="1375" spans="1:2" x14ac:dyDescent="0.25">
      <c r="A1375" s="2"/>
      <c r="B1375" s="1"/>
    </row>
    <row r="1376" spans="1:2" x14ac:dyDescent="0.25">
      <c r="A1376" s="2"/>
      <c r="B1376" s="1"/>
    </row>
    <row r="1377" spans="1:2" x14ac:dyDescent="0.25">
      <c r="A1377" s="2"/>
      <c r="B1377" s="1"/>
    </row>
    <row r="1378" spans="1:2" x14ac:dyDescent="0.25">
      <c r="A1378" s="2"/>
      <c r="B1378" s="1"/>
    </row>
    <row r="1379" spans="1:2" x14ac:dyDescent="0.25">
      <c r="A1379" s="2"/>
      <c r="B1379" s="1"/>
    </row>
    <row r="1380" spans="1:2" x14ac:dyDescent="0.25">
      <c r="A1380" s="2"/>
      <c r="B1380" s="1"/>
    </row>
    <row r="1381" spans="1:2" x14ac:dyDescent="0.25">
      <c r="A1381" s="2"/>
      <c r="B1381" s="1"/>
    </row>
    <row r="1382" spans="1:2" x14ac:dyDescent="0.25">
      <c r="A1382" s="2"/>
      <c r="B1382" s="1"/>
    </row>
    <row r="1383" spans="1:2" x14ac:dyDescent="0.25">
      <c r="A1383" s="2"/>
      <c r="B1383" s="1"/>
    </row>
    <row r="1384" spans="1:2" x14ac:dyDescent="0.25">
      <c r="A1384" s="2"/>
      <c r="B1384" s="1"/>
    </row>
    <row r="1385" spans="1:2" x14ac:dyDescent="0.25">
      <c r="A1385" s="2"/>
      <c r="B1385" s="1"/>
    </row>
    <row r="1386" spans="1:2" x14ac:dyDescent="0.25">
      <c r="A1386" s="2"/>
      <c r="B1386" s="1"/>
    </row>
    <row r="1387" spans="1:2" x14ac:dyDescent="0.25">
      <c r="A1387" s="2"/>
      <c r="B1387" s="1"/>
    </row>
    <row r="1388" spans="1:2" x14ac:dyDescent="0.25">
      <c r="A1388" s="2"/>
      <c r="B1388" s="1"/>
    </row>
    <row r="1389" spans="1:2" x14ac:dyDescent="0.25">
      <c r="A1389" s="2"/>
      <c r="B1389" s="1"/>
    </row>
    <row r="1390" spans="1:2" x14ac:dyDescent="0.25">
      <c r="A1390" s="2"/>
      <c r="B1390" s="1"/>
    </row>
    <row r="1391" spans="1:2" x14ac:dyDescent="0.25">
      <c r="A1391" s="2"/>
      <c r="B1391" s="1"/>
    </row>
    <row r="1392" spans="1:2" x14ac:dyDescent="0.25">
      <c r="A1392" s="2"/>
      <c r="B1392" s="1"/>
    </row>
    <row r="1393" spans="1:2" x14ac:dyDescent="0.25">
      <c r="A1393" s="2"/>
      <c r="B1393" s="1"/>
    </row>
    <row r="1394" spans="1:2" x14ac:dyDescent="0.25">
      <c r="A1394" s="2"/>
      <c r="B1394" s="1"/>
    </row>
    <row r="1395" spans="1:2" x14ac:dyDescent="0.25">
      <c r="A1395" s="2"/>
      <c r="B1395" s="1"/>
    </row>
    <row r="1396" spans="1:2" x14ac:dyDescent="0.25">
      <c r="A1396" s="2"/>
      <c r="B1396" s="1"/>
    </row>
    <row r="1397" spans="1:2" x14ac:dyDescent="0.25">
      <c r="A1397" s="2"/>
      <c r="B1397" s="1"/>
    </row>
    <row r="1398" spans="1:2" x14ac:dyDescent="0.25">
      <c r="A1398" s="2"/>
      <c r="B1398" s="1"/>
    </row>
    <row r="1399" spans="1:2" x14ac:dyDescent="0.25">
      <c r="A1399" s="2"/>
      <c r="B1399" s="1"/>
    </row>
    <row r="1400" spans="1:2" x14ac:dyDescent="0.25">
      <c r="A1400" s="2"/>
      <c r="B1400" s="1"/>
    </row>
    <row r="1401" spans="1:2" x14ac:dyDescent="0.25">
      <c r="A1401" s="2"/>
      <c r="B1401" s="1"/>
    </row>
    <row r="1402" spans="1:2" x14ac:dyDescent="0.25">
      <c r="A1402" s="2"/>
      <c r="B1402" s="1"/>
    </row>
    <row r="1403" spans="1:2" x14ac:dyDescent="0.25">
      <c r="A1403" s="2"/>
      <c r="B1403" s="1"/>
    </row>
    <row r="1404" spans="1:2" x14ac:dyDescent="0.25">
      <c r="A1404" s="2"/>
      <c r="B1404" s="1"/>
    </row>
    <row r="1405" spans="1:2" x14ac:dyDescent="0.25">
      <c r="A1405" s="2"/>
      <c r="B1405" s="1"/>
    </row>
    <row r="1406" spans="1:2" x14ac:dyDescent="0.25">
      <c r="A1406" s="2"/>
      <c r="B1406" s="1"/>
    </row>
    <row r="1407" spans="1:2" x14ac:dyDescent="0.25">
      <c r="A1407" s="2"/>
      <c r="B1407" s="1"/>
    </row>
    <row r="1408" spans="1:2" x14ac:dyDescent="0.25">
      <c r="A1408" s="2"/>
      <c r="B1408" s="1"/>
    </row>
    <row r="1409" spans="1:2" x14ac:dyDescent="0.25">
      <c r="A1409" s="2"/>
      <c r="B1409" s="1"/>
    </row>
    <row r="1410" spans="1:2" x14ac:dyDescent="0.25">
      <c r="A1410" s="2"/>
      <c r="B1410" s="1"/>
    </row>
    <row r="1411" spans="1:2" x14ac:dyDescent="0.25">
      <c r="A1411" s="2"/>
      <c r="B1411" s="1"/>
    </row>
    <row r="1412" spans="1:2" x14ac:dyDescent="0.25">
      <c r="A1412" s="2"/>
      <c r="B1412" s="1"/>
    </row>
    <row r="1413" spans="1:2" x14ac:dyDescent="0.25">
      <c r="A1413" s="2"/>
      <c r="B1413" s="1"/>
    </row>
    <row r="1414" spans="1:2" x14ac:dyDescent="0.25">
      <c r="A1414" s="2"/>
      <c r="B1414" s="1"/>
    </row>
    <row r="1415" spans="1:2" x14ac:dyDescent="0.25">
      <c r="A1415" s="2"/>
      <c r="B1415" s="1"/>
    </row>
    <row r="1416" spans="1:2" x14ac:dyDescent="0.25">
      <c r="A1416" s="2"/>
      <c r="B1416" s="1"/>
    </row>
    <row r="1417" spans="1:2" x14ac:dyDescent="0.25">
      <c r="A1417" s="2"/>
      <c r="B1417" s="1"/>
    </row>
    <row r="1418" spans="1:2" x14ac:dyDescent="0.25">
      <c r="A1418" s="2"/>
      <c r="B1418" s="1"/>
    </row>
    <row r="1419" spans="1:2" x14ac:dyDescent="0.25">
      <c r="A1419" s="2"/>
      <c r="B1419" s="1"/>
    </row>
    <row r="1420" spans="1:2" x14ac:dyDescent="0.25">
      <c r="A1420" s="2"/>
      <c r="B1420" s="1"/>
    </row>
    <row r="1421" spans="1:2" x14ac:dyDescent="0.25">
      <c r="A1421" s="2"/>
      <c r="B1421" s="1"/>
    </row>
    <row r="1422" spans="1:2" x14ac:dyDescent="0.25">
      <c r="A1422" s="2"/>
      <c r="B1422" s="1"/>
    </row>
    <row r="1423" spans="1:2" x14ac:dyDescent="0.25">
      <c r="A1423" s="2"/>
      <c r="B1423" s="1"/>
    </row>
    <row r="1424" spans="1:2" x14ac:dyDescent="0.25">
      <c r="A1424" s="2"/>
      <c r="B1424" s="1"/>
    </row>
    <row r="1425" spans="1:2" x14ac:dyDescent="0.25">
      <c r="A1425" s="2"/>
      <c r="B1425" s="1"/>
    </row>
    <row r="1426" spans="1:2" x14ac:dyDescent="0.25">
      <c r="A1426" s="2"/>
      <c r="B1426" s="1"/>
    </row>
    <row r="1427" spans="1:2" x14ac:dyDescent="0.25">
      <c r="A1427" s="2"/>
      <c r="B1427" s="1"/>
    </row>
    <row r="1428" spans="1:2" x14ac:dyDescent="0.25">
      <c r="A1428" s="2"/>
      <c r="B1428" s="1"/>
    </row>
    <row r="1429" spans="1:2" x14ac:dyDescent="0.25">
      <c r="A1429" s="2"/>
      <c r="B1429" s="1"/>
    </row>
    <row r="1430" spans="1:2" x14ac:dyDescent="0.25">
      <c r="A1430" s="2"/>
      <c r="B1430" s="1"/>
    </row>
    <row r="1431" spans="1:2" x14ac:dyDescent="0.25">
      <c r="A1431" s="2"/>
      <c r="B1431" s="1"/>
    </row>
    <row r="1432" spans="1:2" x14ac:dyDescent="0.25">
      <c r="A1432" s="2"/>
      <c r="B1432" s="1"/>
    </row>
    <row r="1433" spans="1:2" x14ac:dyDescent="0.25">
      <c r="A1433" s="2"/>
      <c r="B1433" s="1"/>
    </row>
    <row r="1434" spans="1:2" x14ac:dyDescent="0.25">
      <c r="A1434" s="2"/>
      <c r="B1434" s="1"/>
    </row>
    <row r="1435" spans="1:2" x14ac:dyDescent="0.25">
      <c r="A1435" s="2"/>
      <c r="B1435" s="1"/>
    </row>
    <row r="1436" spans="1:2" x14ac:dyDescent="0.25">
      <c r="A1436" s="2"/>
      <c r="B1436" s="1"/>
    </row>
    <row r="1437" spans="1:2" x14ac:dyDescent="0.25">
      <c r="A1437" s="2"/>
      <c r="B1437" s="1"/>
    </row>
    <row r="1438" spans="1:2" x14ac:dyDescent="0.25">
      <c r="A1438" s="2"/>
      <c r="B1438" s="1"/>
    </row>
    <row r="1439" spans="1:2" x14ac:dyDescent="0.25">
      <c r="A1439" s="2"/>
      <c r="B1439" s="1"/>
    </row>
    <row r="1440" spans="1:2" x14ac:dyDescent="0.25">
      <c r="A1440" s="2"/>
      <c r="B1440" s="1"/>
    </row>
    <row r="1441" spans="1:2" x14ac:dyDescent="0.25">
      <c r="A1441" s="2"/>
      <c r="B1441" s="1"/>
    </row>
    <row r="1442" spans="1:2" x14ac:dyDescent="0.25">
      <c r="A1442" s="2"/>
      <c r="B1442" s="1"/>
    </row>
    <row r="1443" spans="1:2" x14ac:dyDescent="0.25">
      <c r="A1443" s="2"/>
      <c r="B1443" s="1"/>
    </row>
    <row r="1444" spans="1:2" x14ac:dyDescent="0.25">
      <c r="A1444" s="2"/>
      <c r="B1444" s="1"/>
    </row>
    <row r="1445" spans="1:2" x14ac:dyDescent="0.25">
      <c r="A1445" s="2"/>
      <c r="B1445" s="1"/>
    </row>
    <row r="1446" spans="1:2" x14ac:dyDescent="0.25">
      <c r="A1446" s="2"/>
      <c r="B1446" s="1"/>
    </row>
    <row r="1447" spans="1:2" x14ac:dyDescent="0.25">
      <c r="A1447" s="2"/>
      <c r="B1447" s="1"/>
    </row>
    <row r="1448" spans="1:2" x14ac:dyDescent="0.25">
      <c r="A1448" s="2"/>
      <c r="B1448" s="1"/>
    </row>
    <row r="1449" spans="1:2" x14ac:dyDescent="0.25">
      <c r="A1449" s="2"/>
      <c r="B1449" s="1"/>
    </row>
    <row r="1450" spans="1:2" x14ac:dyDescent="0.25">
      <c r="A1450" s="2"/>
      <c r="B1450" s="1"/>
    </row>
    <row r="1451" spans="1:2" x14ac:dyDescent="0.25">
      <c r="A1451" s="2"/>
      <c r="B1451" s="1"/>
    </row>
    <row r="1452" spans="1:2" x14ac:dyDescent="0.25">
      <c r="A1452" s="2"/>
      <c r="B1452" s="1"/>
    </row>
    <row r="1453" spans="1:2" x14ac:dyDescent="0.25">
      <c r="A1453" s="2"/>
      <c r="B1453" s="1"/>
    </row>
    <row r="1454" spans="1:2" x14ac:dyDescent="0.25">
      <c r="A1454" s="2"/>
      <c r="B1454" s="1"/>
    </row>
    <row r="1455" spans="1:2" x14ac:dyDescent="0.25">
      <c r="A1455" s="2"/>
      <c r="B1455" s="1"/>
    </row>
    <row r="1456" spans="1:2" x14ac:dyDescent="0.25">
      <c r="A1456" s="2"/>
      <c r="B1456" s="1"/>
    </row>
    <row r="1457" spans="1:2" x14ac:dyDescent="0.25">
      <c r="A1457" s="2"/>
      <c r="B1457" s="1"/>
    </row>
    <row r="1458" spans="1:2" x14ac:dyDescent="0.25">
      <c r="A1458" s="2"/>
      <c r="B1458" s="1"/>
    </row>
    <row r="1459" spans="1:2" x14ac:dyDescent="0.25">
      <c r="A1459" s="2"/>
      <c r="B1459" s="1"/>
    </row>
    <row r="1460" spans="1:2" x14ac:dyDescent="0.25">
      <c r="A1460" s="2"/>
      <c r="B1460" s="1"/>
    </row>
    <row r="1461" spans="1:2" x14ac:dyDescent="0.25">
      <c r="A1461" s="2"/>
      <c r="B1461" s="1"/>
    </row>
    <row r="1462" spans="1:2" x14ac:dyDescent="0.25">
      <c r="A1462" s="2"/>
      <c r="B1462" s="1"/>
    </row>
    <row r="1463" spans="1:2" x14ac:dyDescent="0.25">
      <c r="A1463" s="2"/>
      <c r="B1463" s="1"/>
    </row>
    <row r="1464" spans="1:2" x14ac:dyDescent="0.25">
      <c r="A1464" s="2"/>
      <c r="B1464" s="1"/>
    </row>
    <row r="1465" spans="1:2" x14ac:dyDescent="0.25">
      <c r="A1465" s="2"/>
      <c r="B1465" s="1"/>
    </row>
    <row r="1466" spans="1:2" x14ac:dyDescent="0.25">
      <c r="A1466" s="2"/>
      <c r="B1466" s="1"/>
    </row>
    <row r="1467" spans="1:2" x14ac:dyDescent="0.25">
      <c r="A1467" s="2"/>
      <c r="B1467" s="1"/>
    </row>
    <row r="1468" spans="1:2" x14ac:dyDescent="0.25">
      <c r="A1468" s="2"/>
      <c r="B1468" s="1"/>
    </row>
    <row r="1469" spans="1:2" x14ac:dyDescent="0.25">
      <c r="A1469" s="2"/>
      <c r="B1469" s="1"/>
    </row>
    <row r="1470" spans="1:2" x14ac:dyDescent="0.25">
      <c r="A1470" s="2"/>
      <c r="B1470" s="1"/>
    </row>
    <row r="1471" spans="1:2" x14ac:dyDescent="0.25">
      <c r="A1471" s="2"/>
      <c r="B1471" s="1"/>
    </row>
    <row r="1472" spans="1:2" x14ac:dyDescent="0.25">
      <c r="A1472" s="2"/>
      <c r="B1472" s="1"/>
    </row>
    <row r="1473" spans="1:2" x14ac:dyDescent="0.25">
      <c r="A1473" s="2"/>
      <c r="B1473" s="1"/>
    </row>
    <row r="1474" spans="1:2" x14ac:dyDescent="0.25">
      <c r="A1474" s="2"/>
      <c r="B1474" s="1"/>
    </row>
    <row r="1475" spans="1:2" x14ac:dyDescent="0.25">
      <c r="A1475" s="2"/>
      <c r="B1475" s="1"/>
    </row>
    <row r="1476" spans="1:2" x14ac:dyDescent="0.25">
      <c r="A1476" s="2"/>
      <c r="B1476" s="1"/>
    </row>
    <row r="1477" spans="1:2" x14ac:dyDescent="0.25">
      <c r="A1477" s="2"/>
      <c r="B1477" s="1"/>
    </row>
    <row r="1478" spans="1:2" x14ac:dyDescent="0.25">
      <c r="A1478" s="2"/>
      <c r="B1478" s="1"/>
    </row>
    <row r="1479" spans="1:2" x14ac:dyDescent="0.25">
      <c r="A1479" s="2"/>
      <c r="B1479" s="1"/>
    </row>
    <row r="1480" spans="1:2" x14ac:dyDescent="0.25">
      <c r="A1480" s="2"/>
      <c r="B1480" s="1"/>
    </row>
    <row r="1481" spans="1:2" x14ac:dyDescent="0.25">
      <c r="A1481" s="2"/>
      <c r="B1481" s="1"/>
    </row>
    <row r="1482" spans="1:2" x14ac:dyDescent="0.25">
      <c r="A1482" s="2"/>
      <c r="B1482" s="1"/>
    </row>
    <row r="1483" spans="1:2" x14ac:dyDescent="0.25">
      <c r="A1483" s="2"/>
      <c r="B1483" s="1"/>
    </row>
    <row r="1484" spans="1:2" x14ac:dyDescent="0.25">
      <c r="A1484" s="2"/>
      <c r="B1484" s="1"/>
    </row>
    <row r="1485" spans="1:2" x14ac:dyDescent="0.25">
      <c r="A1485" s="2"/>
      <c r="B1485" s="1"/>
    </row>
    <row r="1486" spans="1:2" x14ac:dyDescent="0.25">
      <c r="A1486" s="2"/>
      <c r="B1486" s="1"/>
    </row>
    <row r="1487" spans="1:2" x14ac:dyDescent="0.25">
      <c r="A1487" s="2"/>
      <c r="B1487" s="1"/>
    </row>
    <row r="1488" spans="1:2" x14ac:dyDescent="0.25">
      <c r="A1488" s="2"/>
      <c r="B1488" s="1"/>
    </row>
    <row r="1489" spans="1:2" x14ac:dyDescent="0.25">
      <c r="A1489" s="2"/>
      <c r="B1489" s="1"/>
    </row>
    <row r="1490" spans="1:2" x14ac:dyDescent="0.25">
      <c r="A1490" s="2"/>
      <c r="B1490" s="1"/>
    </row>
    <row r="1491" spans="1:2" x14ac:dyDescent="0.25">
      <c r="A1491" s="2"/>
      <c r="B1491" s="1"/>
    </row>
    <row r="1492" spans="1:2" x14ac:dyDescent="0.25">
      <c r="A1492" s="2"/>
      <c r="B1492" s="1"/>
    </row>
    <row r="1493" spans="1:2" x14ac:dyDescent="0.25">
      <c r="A1493" s="2"/>
      <c r="B1493" s="1"/>
    </row>
    <row r="1494" spans="1:2" x14ac:dyDescent="0.25">
      <c r="A1494" s="2"/>
      <c r="B1494" s="1"/>
    </row>
    <row r="1495" spans="1:2" x14ac:dyDescent="0.25">
      <c r="A1495" s="2"/>
      <c r="B1495" s="1"/>
    </row>
    <row r="1496" spans="1:2" x14ac:dyDescent="0.25">
      <c r="A1496" s="2"/>
      <c r="B1496" s="1"/>
    </row>
    <row r="1497" spans="1:2" x14ac:dyDescent="0.25">
      <c r="A1497" s="2"/>
      <c r="B1497" s="1"/>
    </row>
    <row r="1498" spans="1:2" x14ac:dyDescent="0.25">
      <c r="A1498" s="2"/>
      <c r="B1498" s="1"/>
    </row>
    <row r="1499" spans="1:2" x14ac:dyDescent="0.25">
      <c r="A1499" s="2"/>
      <c r="B1499" s="1"/>
    </row>
    <row r="1500" spans="1:2" x14ac:dyDescent="0.25">
      <c r="A1500" s="2"/>
      <c r="B1500" s="1"/>
    </row>
    <row r="1501" spans="1:2" x14ac:dyDescent="0.25">
      <c r="A1501" s="2"/>
      <c r="B1501" s="1"/>
    </row>
    <row r="1502" spans="1:2" x14ac:dyDescent="0.25">
      <c r="A1502" s="2"/>
      <c r="B1502" s="1"/>
    </row>
    <row r="1503" spans="1:2" x14ac:dyDescent="0.25">
      <c r="A1503" s="2"/>
      <c r="B1503" s="1"/>
    </row>
    <row r="1504" spans="1:2" x14ac:dyDescent="0.25">
      <c r="A1504" s="2"/>
      <c r="B1504" s="1"/>
    </row>
    <row r="1505" spans="1:2" x14ac:dyDescent="0.25">
      <c r="A1505" s="2"/>
      <c r="B1505" s="1"/>
    </row>
    <row r="1506" spans="1:2" x14ac:dyDescent="0.25">
      <c r="A1506" s="2"/>
      <c r="B1506" s="1"/>
    </row>
    <row r="1507" spans="1:2" x14ac:dyDescent="0.25">
      <c r="A1507" s="2"/>
      <c r="B1507" s="1"/>
    </row>
    <row r="1508" spans="1:2" x14ac:dyDescent="0.25">
      <c r="A1508" s="2"/>
      <c r="B1508" s="1"/>
    </row>
    <row r="1509" spans="1:2" x14ac:dyDescent="0.25">
      <c r="A1509" s="2"/>
      <c r="B1509" s="1"/>
    </row>
    <row r="1510" spans="1:2" x14ac:dyDescent="0.25">
      <c r="A1510" s="2"/>
      <c r="B1510" s="1"/>
    </row>
    <row r="1511" spans="1:2" x14ac:dyDescent="0.25">
      <c r="A1511" s="2"/>
      <c r="B1511" s="1"/>
    </row>
    <row r="1512" spans="1:2" x14ac:dyDescent="0.25">
      <c r="A1512" s="2"/>
      <c r="B1512" s="1"/>
    </row>
    <row r="1513" spans="1:2" x14ac:dyDescent="0.25">
      <c r="A1513" s="2"/>
      <c r="B1513" s="1"/>
    </row>
    <row r="1514" spans="1:2" x14ac:dyDescent="0.25">
      <c r="A1514" s="2"/>
      <c r="B1514" s="1"/>
    </row>
    <row r="1515" spans="1:2" x14ac:dyDescent="0.25">
      <c r="A1515" s="2"/>
      <c r="B1515" s="1"/>
    </row>
    <row r="1516" spans="1:2" x14ac:dyDescent="0.25">
      <c r="A1516" s="2"/>
      <c r="B1516" s="1"/>
    </row>
    <row r="1517" spans="1:2" x14ac:dyDescent="0.25">
      <c r="A1517" s="2"/>
      <c r="B1517" s="1"/>
    </row>
    <row r="1518" spans="1:2" x14ac:dyDescent="0.25">
      <c r="A1518" s="2"/>
      <c r="B1518" s="1"/>
    </row>
    <row r="1519" spans="1:2" x14ac:dyDescent="0.25">
      <c r="A1519" s="2"/>
      <c r="B1519" s="1"/>
    </row>
    <row r="1520" spans="1:2" x14ac:dyDescent="0.25">
      <c r="A1520" s="2"/>
      <c r="B1520" s="1"/>
    </row>
    <row r="1521" spans="1:2" x14ac:dyDescent="0.25">
      <c r="A1521" s="2"/>
      <c r="B1521" s="1"/>
    </row>
    <row r="1522" spans="1:2" x14ac:dyDescent="0.25">
      <c r="A1522" s="2"/>
      <c r="B1522" s="1"/>
    </row>
    <row r="1523" spans="1:2" x14ac:dyDescent="0.25">
      <c r="A1523" s="2"/>
      <c r="B1523" s="1"/>
    </row>
    <row r="1524" spans="1:2" x14ac:dyDescent="0.25">
      <c r="A1524" s="2"/>
      <c r="B1524" s="1"/>
    </row>
    <row r="1525" spans="1:2" x14ac:dyDescent="0.25">
      <c r="A1525" s="2"/>
      <c r="B1525" s="1"/>
    </row>
    <row r="1526" spans="1:2" x14ac:dyDescent="0.25">
      <c r="A1526" s="2"/>
      <c r="B1526" s="1"/>
    </row>
    <row r="1527" spans="1:2" x14ac:dyDescent="0.25">
      <c r="A1527" s="2"/>
      <c r="B1527" s="1"/>
    </row>
    <row r="1528" spans="1:2" x14ac:dyDescent="0.25">
      <c r="A1528" s="2"/>
      <c r="B1528" s="1"/>
    </row>
    <row r="1529" spans="1:2" x14ac:dyDescent="0.25">
      <c r="A1529" s="2"/>
      <c r="B1529" s="1"/>
    </row>
    <row r="1530" spans="1:2" x14ac:dyDescent="0.25">
      <c r="A1530" s="2"/>
      <c r="B1530" s="1"/>
    </row>
    <row r="1531" spans="1:2" x14ac:dyDescent="0.25">
      <c r="A1531" s="2"/>
      <c r="B1531" s="1"/>
    </row>
    <row r="1532" spans="1:2" x14ac:dyDescent="0.25">
      <c r="A1532" s="2"/>
      <c r="B1532" s="1"/>
    </row>
    <row r="1533" spans="1:2" x14ac:dyDescent="0.25">
      <c r="A1533" s="2"/>
      <c r="B1533" s="1"/>
    </row>
    <row r="1534" spans="1:2" x14ac:dyDescent="0.25">
      <c r="A1534" s="2"/>
      <c r="B1534" s="1"/>
    </row>
    <row r="1535" spans="1:2" x14ac:dyDescent="0.25">
      <c r="A1535" s="2"/>
      <c r="B1535" s="1"/>
    </row>
    <row r="1536" spans="1:2" x14ac:dyDescent="0.25">
      <c r="A1536" s="2"/>
      <c r="B1536" s="1"/>
    </row>
    <row r="1537" spans="1:2" x14ac:dyDescent="0.25">
      <c r="A1537" s="2"/>
      <c r="B1537" s="1"/>
    </row>
    <row r="1538" spans="1:2" x14ac:dyDescent="0.25">
      <c r="A1538" s="2"/>
      <c r="B1538" s="1"/>
    </row>
    <row r="1539" spans="1:2" x14ac:dyDescent="0.25">
      <c r="A1539" s="2"/>
      <c r="B1539" s="1"/>
    </row>
    <row r="1540" spans="1:2" x14ac:dyDescent="0.25">
      <c r="A1540" s="2"/>
      <c r="B1540" s="1"/>
    </row>
    <row r="1541" spans="1:2" x14ac:dyDescent="0.25">
      <c r="A1541" s="2"/>
      <c r="B1541" s="1"/>
    </row>
    <row r="1542" spans="1:2" x14ac:dyDescent="0.25">
      <c r="A1542" s="2"/>
      <c r="B1542" s="1"/>
    </row>
    <row r="1543" spans="1:2" x14ac:dyDescent="0.25">
      <c r="A1543" s="2"/>
      <c r="B1543" s="1"/>
    </row>
    <row r="1544" spans="1:2" x14ac:dyDescent="0.25">
      <c r="A1544" s="2"/>
      <c r="B1544" s="1"/>
    </row>
    <row r="1545" spans="1:2" x14ac:dyDescent="0.25">
      <c r="A1545" s="2"/>
      <c r="B1545" s="1"/>
    </row>
    <row r="1546" spans="1:2" x14ac:dyDescent="0.25">
      <c r="A1546" s="2"/>
      <c r="B1546" s="1"/>
    </row>
    <row r="1547" spans="1:2" x14ac:dyDescent="0.25">
      <c r="A1547" s="2"/>
      <c r="B1547" s="1"/>
    </row>
    <row r="1548" spans="1:2" x14ac:dyDescent="0.25">
      <c r="A1548" s="2"/>
      <c r="B1548" s="1"/>
    </row>
    <row r="1549" spans="1:2" x14ac:dyDescent="0.25">
      <c r="A1549" s="2"/>
      <c r="B1549" s="1"/>
    </row>
    <row r="1550" spans="1:2" x14ac:dyDescent="0.25">
      <c r="A1550" s="2"/>
      <c r="B1550" s="1"/>
    </row>
    <row r="1551" spans="1:2" x14ac:dyDescent="0.25">
      <c r="A1551" s="2"/>
      <c r="B1551" s="1"/>
    </row>
    <row r="1552" spans="1:2" x14ac:dyDescent="0.25">
      <c r="A1552" s="2"/>
      <c r="B1552" s="1"/>
    </row>
    <row r="1553" spans="1:2" x14ac:dyDescent="0.25">
      <c r="A1553" s="2"/>
      <c r="B1553" s="1"/>
    </row>
    <row r="1554" spans="1:2" x14ac:dyDescent="0.25">
      <c r="A1554" s="2"/>
      <c r="B1554" s="1"/>
    </row>
    <row r="1555" spans="1:2" x14ac:dyDescent="0.25">
      <c r="A1555" s="2"/>
      <c r="B1555" s="1"/>
    </row>
    <row r="1556" spans="1:2" x14ac:dyDescent="0.25">
      <c r="A1556" s="2"/>
      <c r="B1556" s="1"/>
    </row>
    <row r="1557" spans="1:2" x14ac:dyDescent="0.25">
      <c r="A1557" s="2"/>
      <c r="B1557" s="1"/>
    </row>
    <row r="1558" spans="1:2" x14ac:dyDescent="0.25">
      <c r="A1558" s="2"/>
      <c r="B1558" s="1"/>
    </row>
    <row r="1559" spans="1:2" x14ac:dyDescent="0.25">
      <c r="A1559" s="2"/>
      <c r="B1559" s="1"/>
    </row>
    <row r="1560" spans="1:2" x14ac:dyDescent="0.25">
      <c r="A1560" s="2"/>
      <c r="B1560" s="1"/>
    </row>
    <row r="1561" spans="1:2" x14ac:dyDescent="0.25">
      <c r="A1561" s="2"/>
      <c r="B1561" s="1"/>
    </row>
    <row r="1562" spans="1:2" x14ac:dyDescent="0.25">
      <c r="A1562" s="2"/>
      <c r="B1562" s="1"/>
    </row>
    <row r="1563" spans="1:2" x14ac:dyDescent="0.25">
      <c r="A1563" s="2"/>
      <c r="B1563" s="1"/>
    </row>
    <row r="1564" spans="1:2" x14ac:dyDescent="0.25">
      <c r="A1564" s="2"/>
      <c r="B1564" s="1"/>
    </row>
    <row r="1565" spans="1:2" x14ac:dyDescent="0.25">
      <c r="A1565" s="2"/>
      <c r="B1565" s="1"/>
    </row>
    <row r="1566" spans="1:2" x14ac:dyDescent="0.25">
      <c r="A1566" s="2"/>
      <c r="B1566" s="1"/>
    </row>
    <row r="1567" spans="1:2" x14ac:dyDescent="0.25">
      <c r="A1567" s="2"/>
      <c r="B1567" s="1"/>
    </row>
    <row r="1568" spans="1:2" x14ac:dyDescent="0.25">
      <c r="A1568" s="2"/>
      <c r="B1568" s="1"/>
    </row>
    <row r="1569" spans="1:2" x14ac:dyDescent="0.25">
      <c r="A1569" s="2"/>
      <c r="B1569" s="1"/>
    </row>
    <row r="1570" spans="1:2" x14ac:dyDescent="0.25">
      <c r="A1570" s="2"/>
      <c r="B1570" s="1"/>
    </row>
    <row r="1571" spans="1:2" x14ac:dyDescent="0.25">
      <c r="A1571" s="2"/>
      <c r="B1571" s="1"/>
    </row>
    <row r="1572" spans="1:2" x14ac:dyDescent="0.25">
      <c r="A1572" s="2"/>
      <c r="B1572" s="1"/>
    </row>
    <row r="1573" spans="1:2" x14ac:dyDescent="0.25">
      <c r="A1573" s="2"/>
      <c r="B1573" s="1"/>
    </row>
    <row r="1574" spans="1:2" x14ac:dyDescent="0.25">
      <c r="A1574" s="2"/>
      <c r="B1574" s="1"/>
    </row>
    <row r="1575" spans="1:2" x14ac:dyDescent="0.25">
      <c r="A1575" s="2"/>
      <c r="B1575" s="1"/>
    </row>
    <row r="1576" spans="1:2" x14ac:dyDescent="0.25">
      <c r="A1576" s="2"/>
      <c r="B1576" s="1"/>
    </row>
    <row r="1577" spans="1:2" x14ac:dyDescent="0.25">
      <c r="A1577" s="2"/>
      <c r="B1577" s="1"/>
    </row>
    <row r="1578" spans="1:2" x14ac:dyDescent="0.25">
      <c r="A1578" s="2"/>
      <c r="B1578" s="1"/>
    </row>
    <row r="1579" spans="1:2" x14ac:dyDescent="0.25">
      <c r="A1579" s="2"/>
      <c r="B1579" s="1"/>
    </row>
    <row r="1580" spans="1:2" x14ac:dyDescent="0.25">
      <c r="A1580" s="2"/>
      <c r="B1580" s="1"/>
    </row>
    <row r="1581" spans="1:2" x14ac:dyDescent="0.25">
      <c r="A1581" s="2"/>
      <c r="B1581" s="1"/>
    </row>
    <row r="1582" spans="1:2" x14ac:dyDescent="0.25">
      <c r="A1582" s="2"/>
      <c r="B1582" s="1"/>
    </row>
    <row r="1583" spans="1:2" x14ac:dyDescent="0.25">
      <c r="A1583" s="2"/>
      <c r="B1583" s="1"/>
    </row>
    <row r="1584" spans="1:2" x14ac:dyDescent="0.25">
      <c r="A1584" s="2"/>
      <c r="B1584" s="1"/>
    </row>
    <row r="1585" spans="1:2" x14ac:dyDescent="0.25">
      <c r="A1585" s="2"/>
      <c r="B1585" s="1"/>
    </row>
    <row r="1586" spans="1:2" x14ac:dyDescent="0.25">
      <c r="A1586" s="2"/>
      <c r="B1586" s="1"/>
    </row>
    <row r="1587" spans="1:2" x14ac:dyDescent="0.25">
      <c r="A1587" s="2"/>
      <c r="B1587" s="1"/>
    </row>
    <row r="1588" spans="1:2" x14ac:dyDescent="0.25">
      <c r="A1588" s="2"/>
      <c r="B1588" s="1"/>
    </row>
    <row r="1589" spans="1:2" x14ac:dyDescent="0.25">
      <c r="A1589" s="2"/>
      <c r="B1589" s="1"/>
    </row>
    <row r="1590" spans="1:2" x14ac:dyDescent="0.25">
      <c r="A1590" s="2"/>
      <c r="B1590" s="1"/>
    </row>
    <row r="1591" spans="1:2" x14ac:dyDescent="0.25">
      <c r="A1591" s="2"/>
      <c r="B1591" s="1"/>
    </row>
    <row r="1592" spans="1:2" x14ac:dyDescent="0.25">
      <c r="A1592" s="2"/>
      <c r="B1592" s="1"/>
    </row>
    <row r="1593" spans="1:2" x14ac:dyDescent="0.25">
      <c r="A1593" s="2"/>
      <c r="B1593" s="1"/>
    </row>
    <row r="1594" spans="1:2" x14ac:dyDescent="0.25">
      <c r="A1594" s="2"/>
      <c r="B1594" s="1"/>
    </row>
    <row r="1595" spans="1:2" x14ac:dyDescent="0.25">
      <c r="A1595" s="2"/>
      <c r="B1595" s="1"/>
    </row>
    <row r="1596" spans="1:2" x14ac:dyDescent="0.25">
      <c r="A1596" s="2"/>
      <c r="B1596" s="1"/>
    </row>
    <row r="1597" spans="1:2" x14ac:dyDescent="0.25">
      <c r="A1597" s="2"/>
      <c r="B1597" s="1"/>
    </row>
    <row r="1598" spans="1:2" x14ac:dyDescent="0.25">
      <c r="A1598" s="2"/>
      <c r="B1598" s="1"/>
    </row>
    <row r="1599" spans="1:2" x14ac:dyDescent="0.25">
      <c r="A1599" s="2"/>
      <c r="B1599" s="1"/>
    </row>
    <row r="1600" spans="1:2" x14ac:dyDescent="0.25">
      <c r="A1600" s="2"/>
      <c r="B1600" s="1"/>
    </row>
    <row r="1601" spans="1:2" x14ac:dyDescent="0.25">
      <c r="A1601" s="2"/>
      <c r="B1601" s="1"/>
    </row>
    <row r="1602" spans="1:2" x14ac:dyDescent="0.25">
      <c r="A1602" s="2"/>
      <c r="B1602" s="1"/>
    </row>
    <row r="1603" spans="1:2" x14ac:dyDescent="0.25">
      <c r="A1603" s="2"/>
      <c r="B1603" s="1"/>
    </row>
    <row r="1604" spans="1:2" x14ac:dyDescent="0.25">
      <c r="A1604" s="2"/>
      <c r="B1604" s="1"/>
    </row>
    <row r="1605" spans="1:2" x14ac:dyDescent="0.25">
      <c r="A1605" s="2"/>
      <c r="B1605" s="1"/>
    </row>
    <row r="1606" spans="1:2" x14ac:dyDescent="0.25">
      <c r="A1606" s="2"/>
      <c r="B1606" s="1"/>
    </row>
    <row r="1607" spans="1:2" x14ac:dyDescent="0.25">
      <c r="A1607" s="2"/>
      <c r="B1607" s="1"/>
    </row>
    <row r="1608" spans="1:2" x14ac:dyDescent="0.25">
      <c r="A1608" s="2"/>
      <c r="B1608" s="1"/>
    </row>
    <row r="1609" spans="1:2" x14ac:dyDescent="0.25">
      <c r="A1609" s="2"/>
      <c r="B1609" s="1"/>
    </row>
    <row r="1610" spans="1:2" x14ac:dyDescent="0.25">
      <c r="A1610" s="2"/>
      <c r="B1610" s="1"/>
    </row>
    <row r="1611" spans="1:2" x14ac:dyDescent="0.25">
      <c r="A1611" s="2"/>
      <c r="B1611" s="1"/>
    </row>
    <row r="1612" spans="1:2" x14ac:dyDescent="0.25">
      <c r="A1612" s="2"/>
      <c r="B1612" s="1"/>
    </row>
    <row r="1613" spans="1:2" x14ac:dyDescent="0.25">
      <c r="A1613" s="2"/>
      <c r="B1613" s="1"/>
    </row>
    <row r="1614" spans="1:2" x14ac:dyDescent="0.25">
      <c r="A1614" s="2"/>
      <c r="B1614" s="1"/>
    </row>
    <row r="1615" spans="1:2" x14ac:dyDescent="0.25">
      <c r="A1615" s="2"/>
      <c r="B1615" s="1"/>
    </row>
    <row r="1616" spans="1:2" x14ac:dyDescent="0.25">
      <c r="A1616" s="2"/>
      <c r="B1616" s="1"/>
    </row>
    <row r="1617" spans="1:2" x14ac:dyDescent="0.25">
      <c r="A1617" s="2"/>
      <c r="B1617" s="1"/>
    </row>
    <row r="1618" spans="1:2" x14ac:dyDescent="0.25">
      <c r="A1618" s="2"/>
      <c r="B1618" s="1"/>
    </row>
    <row r="1619" spans="1:2" x14ac:dyDescent="0.25">
      <c r="A1619" s="2"/>
      <c r="B1619" s="1"/>
    </row>
    <row r="1620" spans="1:2" x14ac:dyDescent="0.25">
      <c r="A1620" s="2"/>
      <c r="B1620" s="1"/>
    </row>
    <row r="1621" spans="1:2" x14ac:dyDescent="0.25">
      <c r="A1621" s="2"/>
      <c r="B1621" s="1"/>
    </row>
    <row r="1622" spans="1:2" x14ac:dyDescent="0.25">
      <c r="A1622" s="2"/>
      <c r="B1622" s="1"/>
    </row>
    <row r="1623" spans="1:2" x14ac:dyDescent="0.25">
      <c r="A1623" s="2"/>
      <c r="B1623" s="1"/>
    </row>
    <row r="1624" spans="1:2" x14ac:dyDescent="0.25">
      <c r="A1624" s="2"/>
      <c r="B1624" s="1"/>
    </row>
    <row r="1625" spans="1:2" x14ac:dyDescent="0.25">
      <c r="A1625" s="2"/>
      <c r="B1625" s="1"/>
    </row>
    <row r="1626" spans="1:2" x14ac:dyDescent="0.25">
      <c r="A1626" s="2"/>
      <c r="B1626" s="1"/>
    </row>
    <row r="1627" spans="1:2" x14ac:dyDescent="0.25">
      <c r="A1627" s="2"/>
      <c r="B1627" s="1"/>
    </row>
    <row r="1628" spans="1:2" x14ac:dyDescent="0.25">
      <c r="A1628" s="2"/>
      <c r="B1628" s="1"/>
    </row>
    <row r="1629" spans="1:2" x14ac:dyDescent="0.25">
      <c r="A1629" s="2"/>
      <c r="B1629" s="1"/>
    </row>
    <row r="1630" spans="1:2" x14ac:dyDescent="0.25">
      <c r="A1630" s="2"/>
      <c r="B1630" s="1"/>
    </row>
    <row r="1631" spans="1:2" x14ac:dyDescent="0.25">
      <c r="A1631" s="2"/>
      <c r="B1631" s="1"/>
    </row>
    <row r="1632" spans="1:2" x14ac:dyDescent="0.25">
      <c r="A1632" s="2"/>
      <c r="B1632" s="1"/>
    </row>
    <row r="1633" spans="1:2" x14ac:dyDescent="0.25">
      <c r="A1633" s="2"/>
      <c r="B1633" s="1"/>
    </row>
    <row r="1634" spans="1:2" x14ac:dyDescent="0.25">
      <c r="A1634" s="2"/>
      <c r="B1634" s="1"/>
    </row>
    <row r="1635" spans="1:2" x14ac:dyDescent="0.25">
      <c r="A1635" s="2"/>
      <c r="B1635" s="1"/>
    </row>
    <row r="1636" spans="1:2" x14ac:dyDescent="0.25">
      <c r="A1636" s="2"/>
      <c r="B1636" s="1"/>
    </row>
    <row r="1637" spans="1:2" x14ac:dyDescent="0.25">
      <c r="A1637" s="2"/>
      <c r="B1637" s="1"/>
    </row>
    <row r="1638" spans="1:2" x14ac:dyDescent="0.25">
      <c r="A1638" s="2"/>
      <c r="B1638" s="1"/>
    </row>
    <row r="1639" spans="1:2" x14ac:dyDescent="0.25">
      <c r="A1639" s="2"/>
      <c r="B1639" s="1"/>
    </row>
    <row r="1640" spans="1:2" x14ac:dyDescent="0.25">
      <c r="A1640" s="2"/>
      <c r="B1640" s="1"/>
    </row>
    <row r="1641" spans="1:2" x14ac:dyDescent="0.25">
      <c r="A1641" s="2"/>
      <c r="B1641" s="1"/>
    </row>
    <row r="1642" spans="1:2" x14ac:dyDescent="0.25">
      <c r="A1642" s="2"/>
      <c r="B1642" s="1"/>
    </row>
    <row r="1643" spans="1:2" x14ac:dyDescent="0.25">
      <c r="A1643" s="2"/>
      <c r="B1643" s="1"/>
    </row>
    <row r="1644" spans="1:2" x14ac:dyDescent="0.25">
      <c r="A1644" s="2"/>
      <c r="B1644" s="1"/>
    </row>
    <row r="1645" spans="1:2" x14ac:dyDescent="0.25">
      <c r="A1645" s="2"/>
      <c r="B1645" s="1"/>
    </row>
    <row r="1646" spans="1:2" x14ac:dyDescent="0.25">
      <c r="A1646" s="2"/>
      <c r="B1646" s="1"/>
    </row>
    <row r="1647" spans="1:2" x14ac:dyDescent="0.25">
      <c r="A1647" s="2"/>
      <c r="B1647" s="1"/>
    </row>
    <row r="1648" spans="1:2" x14ac:dyDescent="0.25">
      <c r="A1648" s="2"/>
      <c r="B1648" s="1"/>
    </row>
    <row r="1649" spans="1:2" x14ac:dyDescent="0.25">
      <c r="A1649" s="2"/>
      <c r="B1649" s="1"/>
    </row>
    <row r="1650" spans="1:2" x14ac:dyDescent="0.25">
      <c r="A1650" s="2"/>
      <c r="B1650" s="1"/>
    </row>
    <row r="1651" spans="1:2" x14ac:dyDescent="0.25">
      <c r="A1651" s="2"/>
      <c r="B1651" s="1"/>
    </row>
    <row r="1652" spans="1:2" x14ac:dyDescent="0.25">
      <c r="A1652" s="2"/>
      <c r="B1652" s="1"/>
    </row>
    <row r="1653" spans="1:2" x14ac:dyDescent="0.25">
      <c r="A1653" s="2"/>
      <c r="B1653" s="1"/>
    </row>
    <row r="1654" spans="1:2" x14ac:dyDescent="0.25">
      <c r="A1654" s="2"/>
      <c r="B1654" s="1"/>
    </row>
    <row r="1655" spans="1:2" x14ac:dyDescent="0.25">
      <c r="A1655" s="2"/>
      <c r="B1655" s="1"/>
    </row>
    <row r="1656" spans="1:2" x14ac:dyDescent="0.25">
      <c r="A1656" s="2"/>
      <c r="B1656" s="1"/>
    </row>
    <row r="1657" spans="1:2" x14ac:dyDescent="0.25">
      <c r="A1657" s="2"/>
      <c r="B1657" s="1"/>
    </row>
    <row r="1658" spans="1:2" x14ac:dyDescent="0.25">
      <c r="A1658" s="2"/>
      <c r="B1658" s="1"/>
    </row>
    <row r="1659" spans="1:2" x14ac:dyDescent="0.25">
      <c r="A1659" s="2"/>
      <c r="B1659" s="1"/>
    </row>
    <row r="1660" spans="1:2" x14ac:dyDescent="0.25">
      <c r="A1660" s="2"/>
      <c r="B1660" s="1"/>
    </row>
    <row r="1661" spans="1:2" x14ac:dyDescent="0.25">
      <c r="A1661" s="2"/>
      <c r="B1661" s="1"/>
    </row>
    <row r="1662" spans="1:2" x14ac:dyDescent="0.25">
      <c r="A1662" s="2"/>
      <c r="B1662" s="1"/>
    </row>
    <row r="1663" spans="1:2" x14ac:dyDescent="0.25">
      <c r="A1663" s="2"/>
      <c r="B1663" s="1"/>
    </row>
    <row r="1664" spans="1:2" x14ac:dyDescent="0.25">
      <c r="A1664" s="2"/>
      <c r="B1664" s="1"/>
    </row>
    <row r="1665" spans="1:2" x14ac:dyDescent="0.25">
      <c r="A1665" s="2"/>
      <c r="B1665" s="1"/>
    </row>
    <row r="1666" spans="1:2" x14ac:dyDescent="0.25">
      <c r="A1666" s="2"/>
      <c r="B1666" s="1"/>
    </row>
    <row r="1667" spans="1:2" x14ac:dyDescent="0.25">
      <c r="A1667" s="2"/>
      <c r="B1667" s="1"/>
    </row>
    <row r="1668" spans="1:2" x14ac:dyDescent="0.25">
      <c r="A1668" s="2"/>
      <c r="B1668" s="1"/>
    </row>
    <row r="1669" spans="1:2" x14ac:dyDescent="0.25">
      <c r="A1669" s="2"/>
      <c r="B1669" s="1"/>
    </row>
    <row r="1670" spans="1:2" x14ac:dyDescent="0.25">
      <c r="A1670" s="2"/>
      <c r="B1670" s="1"/>
    </row>
    <row r="1671" spans="1:2" x14ac:dyDescent="0.25">
      <c r="A1671" s="2"/>
      <c r="B1671" s="1"/>
    </row>
    <row r="1672" spans="1:2" x14ac:dyDescent="0.25">
      <c r="A1672" s="2"/>
      <c r="B1672" s="1"/>
    </row>
    <row r="1673" spans="1:2" x14ac:dyDescent="0.25">
      <c r="A1673" s="2"/>
      <c r="B1673" s="1"/>
    </row>
    <row r="1674" spans="1:2" x14ac:dyDescent="0.25">
      <c r="A1674" s="2"/>
      <c r="B1674" s="1"/>
    </row>
    <row r="1675" spans="1:2" x14ac:dyDescent="0.25">
      <c r="A1675" s="2"/>
      <c r="B1675" s="1"/>
    </row>
    <row r="1676" spans="1:2" x14ac:dyDescent="0.25">
      <c r="A1676" s="2"/>
      <c r="B1676" s="1"/>
    </row>
    <row r="1677" spans="1:2" x14ac:dyDescent="0.25">
      <c r="A1677" s="2"/>
      <c r="B1677" s="1"/>
    </row>
    <row r="1678" spans="1:2" x14ac:dyDescent="0.25">
      <c r="A1678" s="2"/>
      <c r="B1678" s="1"/>
    </row>
    <row r="1679" spans="1:2" x14ac:dyDescent="0.25">
      <c r="A1679" s="2"/>
      <c r="B1679" s="1"/>
    </row>
    <row r="1680" spans="1:2" x14ac:dyDescent="0.25">
      <c r="A1680" s="2"/>
      <c r="B1680" s="1"/>
    </row>
    <row r="1681" spans="1:2" x14ac:dyDescent="0.25">
      <c r="A1681" s="2"/>
      <c r="B1681" s="1"/>
    </row>
    <row r="1682" spans="1:2" x14ac:dyDescent="0.25">
      <c r="A1682" s="2"/>
      <c r="B1682" s="1"/>
    </row>
    <row r="1683" spans="1:2" x14ac:dyDescent="0.25">
      <c r="A1683" s="2"/>
      <c r="B1683" s="1"/>
    </row>
    <row r="1684" spans="1:2" x14ac:dyDescent="0.25">
      <c r="A1684" s="2"/>
      <c r="B1684" s="1"/>
    </row>
    <row r="1685" spans="1:2" x14ac:dyDescent="0.25">
      <c r="A1685" s="2"/>
      <c r="B1685" s="1"/>
    </row>
    <row r="1686" spans="1:2" x14ac:dyDescent="0.25">
      <c r="A1686" s="2"/>
      <c r="B1686" s="1"/>
    </row>
    <row r="1687" spans="1:2" x14ac:dyDescent="0.25">
      <c r="A1687" s="2"/>
      <c r="B1687" s="1"/>
    </row>
    <row r="1688" spans="1:2" x14ac:dyDescent="0.25">
      <c r="A1688" s="2"/>
      <c r="B1688" s="1"/>
    </row>
    <row r="1689" spans="1:2" x14ac:dyDescent="0.25">
      <c r="A1689" s="2"/>
      <c r="B1689" s="1"/>
    </row>
    <row r="1690" spans="1:2" x14ac:dyDescent="0.25">
      <c r="A1690" s="2"/>
      <c r="B1690" s="1"/>
    </row>
    <row r="1691" spans="1:2" x14ac:dyDescent="0.25">
      <c r="A1691" s="2"/>
      <c r="B1691" s="1"/>
    </row>
    <row r="1692" spans="1:2" x14ac:dyDescent="0.25">
      <c r="A1692" s="2"/>
      <c r="B1692" s="1"/>
    </row>
    <row r="1693" spans="1:2" x14ac:dyDescent="0.25">
      <c r="A1693" s="2"/>
      <c r="B1693" s="1"/>
    </row>
    <row r="1694" spans="1:2" x14ac:dyDescent="0.25">
      <c r="A1694" s="2"/>
      <c r="B1694" s="1"/>
    </row>
    <row r="1695" spans="1:2" x14ac:dyDescent="0.25">
      <c r="A1695" s="2"/>
      <c r="B1695" s="1"/>
    </row>
    <row r="1696" spans="1:2" x14ac:dyDescent="0.25">
      <c r="A1696" s="2"/>
      <c r="B1696" s="1"/>
    </row>
    <row r="1697" spans="1:2" x14ac:dyDescent="0.25">
      <c r="A1697" s="2"/>
      <c r="B1697" s="1"/>
    </row>
    <row r="1698" spans="1:2" x14ac:dyDescent="0.25">
      <c r="A1698" s="2"/>
      <c r="B1698" s="1"/>
    </row>
    <row r="1699" spans="1:2" x14ac:dyDescent="0.25">
      <c r="A1699" s="2"/>
      <c r="B1699" s="1"/>
    </row>
    <row r="1700" spans="1:2" x14ac:dyDescent="0.25">
      <c r="A1700" s="2"/>
      <c r="B1700" s="1"/>
    </row>
    <row r="1701" spans="1:2" x14ac:dyDescent="0.25">
      <c r="A1701" s="2"/>
      <c r="B1701" s="1"/>
    </row>
    <row r="1702" spans="1:2" x14ac:dyDescent="0.25">
      <c r="A1702" s="2"/>
      <c r="B1702" s="1"/>
    </row>
    <row r="1703" spans="1:2" x14ac:dyDescent="0.25">
      <c r="A1703" s="2"/>
      <c r="B1703" s="1"/>
    </row>
    <row r="1704" spans="1:2" x14ac:dyDescent="0.25">
      <c r="A1704" s="2"/>
      <c r="B1704" s="1"/>
    </row>
    <row r="1705" spans="1:2" x14ac:dyDescent="0.25">
      <c r="A1705" s="2"/>
      <c r="B1705" s="1"/>
    </row>
    <row r="1706" spans="1:2" x14ac:dyDescent="0.25">
      <c r="A1706" s="2"/>
      <c r="B1706" s="1"/>
    </row>
    <row r="1707" spans="1:2" x14ac:dyDescent="0.25">
      <c r="A1707" s="2"/>
      <c r="B1707" s="1"/>
    </row>
    <row r="1708" spans="1:2" x14ac:dyDescent="0.25">
      <c r="A1708" s="2"/>
      <c r="B1708" s="1"/>
    </row>
    <row r="1709" spans="1:2" x14ac:dyDescent="0.25">
      <c r="A1709" s="2"/>
      <c r="B1709" s="1"/>
    </row>
    <row r="1710" spans="1:2" x14ac:dyDescent="0.25">
      <c r="A1710" s="2"/>
      <c r="B1710" s="1"/>
    </row>
    <row r="1711" spans="1:2" x14ac:dyDescent="0.25">
      <c r="A1711" s="2"/>
      <c r="B1711" s="1"/>
    </row>
    <row r="1712" spans="1:2" x14ac:dyDescent="0.25">
      <c r="A1712" s="2"/>
      <c r="B1712" s="1"/>
    </row>
    <row r="1713" spans="1:2" x14ac:dyDescent="0.25">
      <c r="A1713" s="2"/>
      <c r="B1713" s="1"/>
    </row>
    <row r="1714" spans="1:2" x14ac:dyDescent="0.25">
      <c r="A1714" s="2"/>
      <c r="B1714" s="1"/>
    </row>
    <row r="1715" spans="1:2" x14ac:dyDescent="0.25">
      <c r="A1715" s="2"/>
      <c r="B1715" s="1"/>
    </row>
    <row r="1716" spans="1:2" x14ac:dyDescent="0.25">
      <c r="A1716" s="2"/>
      <c r="B1716" s="1"/>
    </row>
    <row r="1717" spans="1:2" x14ac:dyDescent="0.25">
      <c r="A1717" s="2"/>
      <c r="B1717" s="1"/>
    </row>
    <row r="1718" spans="1:2" x14ac:dyDescent="0.25">
      <c r="A1718" s="2"/>
      <c r="B1718" s="1"/>
    </row>
    <row r="1719" spans="1:2" x14ac:dyDescent="0.25">
      <c r="A1719" s="2"/>
      <c r="B1719" s="1"/>
    </row>
    <row r="1720" spans="1:2" x14ac:dyDescent="0.25">
      <c r="A1720" s="2"/>
      <c r="B1720" s="1"/>
    </row>
    <row r="1721" spans="1:2" x14ac:dyDescent="0.25">
      <c r="A1721" s="2"/>
      <c r="B1721" s="1"/>
    </row>
    <row r="1722" spans="1:2" x14ac:dyDescent="0.25">
      <c r="A1722" s="2"/>
      <c r="B1722" s="1"/>
    </row>
    <row r="1723" spans="1:2" x14ac:dyDescent="0.25">
      <c r="A1723" s="2"/>
      <c r="B1723" s="1"/>
    </row>
    <row r="1724" spans="1:2" x14ac:dyDescent="0.25">
      <c r="A1724" s="2"/>
      <c r="B1724" s="1"/>
    </row>
    <row r="1725" spans="1:2" x14ac:dyDescent="0.25">
      <c r="A1725" s="2"/>
      <c r="B1725" s="1"/>
    </row>
    <row r="1726" spans="1:2" x14ac:dyDescent="0.25">
      <c r="A1726" s="2"/>
      <c r="B1726" s="1"/>
    </row>
    <row r="1727" spans="1:2" x14ac:dyDescent="0.25">
      <c r="A1727" s="2"/>
      <c r="B1727" s="1"/>
    </row>
    <row r="1728" spans="1:2" x14ac:dyDescent="0.25">
      <c r="A1728" s="2"/>
      <c r="B1728" s="1"/>
    </row>
    <row r="1729" spans="1:2" x14ac:dyDescent="0.25">
      <c r="A1729" s="2"/>
      <c r="B1729" s="1"/>
    </row>
    <row r="1730" spans="1:2" x14ac:dyDescent="0.25">
      <c r="A1730" s="2"/>
      <c r="B1730" s="1"/>
    </row>
    <row r="1731" spans="1:2" x14ac:dyDescent="0.25">
      <c r="A1731" s="2"/>
      <c r="B1731" s="1"/>
    </row>
    <row r="1732" spans="1:2" x14ac:dyDescent="0.25">
      <c r="A1732" s="2"/>
      <c r="B1732" s="1"/>
    </row>
    <row r="1733" spans="1:2" x14ac:dyDescent="0.25">
      <c r="A1733" s="2"/>
      <c r="B1733" s="1"/>
    </row>
    <row r="1734" spans="1:2" x14ac:dyDescent="0.25">
      <c r="A1734" s="2"/>
      <c r="B1734" s="1"/>
    </row>
    <row r="1735" spans="1:2" x14ac:dyDescent="0.25">
      <c r="A1735" s="2"/>
      <c r="B1735" s="1"/>
    </row>
    <row r="1736" spans="1:2" x14ac:dyDescent="0.25">
      <c r="A1736" s="2"/>
      <c r="B1736" s="1"/>
    </row>
    <row r="1737" spans="1:2" x14ac:dyDescent="0.25">
      <c r="A1737" s="2"/>
      <c r="B1737" s="1"/>
    </row>
    <row r="1738" spans="1:2" x14ac:dyDescent="0.25">
      <c r="A1738" s="2"/>
      <c r="B1738" s="1"/>
    </row>
    <row r="1739" spans="1:2" x14ac:dyDescent="0.25">
      <c r="A1739" s="2"/>
      <c r="B1739" s="1"/>
    </row>
    <row r="1740" spans="1:2" x14ac:dyDescent="0.25">
      <c r="A1740" s="2"/>
      <c r="B1740" s="1"/>
    </row>
    <row r="1741" spans="1:2" x14ac:dyDescent="0.25">
      <c r="A1741" s="2"/>
      <c r="B1741" s="1"/>
    </row>
    <row r="1742" spans="1:2" x14ac:dyDescent="0.25">
      <c r="A1742" s="2"/>
      <c r="B1742" s="1"/>
    </row>
    <row r="1743" spans="1:2" x14ac:dyDescent="0.25">
      <c r="A1743" s="2"/>
      <c r="B1743" s="1"/>
    </row>
    <row r="1744" spans="1:2" x14ac:dyDescent="0.25">
      <c r="A1744" s="2"/>
      <c r="B1744" s="1"/>
    </row>
    <row r="1745" spans="1:2" x14ac:dyDescent="0.25">
      <c r="A1745" s="2"/>
      <c r="B1745" s="1"/>
    </row>
    <row r="1746" spans="1:2" x14ac:dyDescent="0.25">
      <c r="A1746" s="2"/>
      <c r="B1746" s="1"/>
    </row>
    <row r="1747" spans="1:2" x14ac:dyDescent="0.25">
      <c r="A1747" s="2"/>
      <c r="B1747" s="1"/>
    </row>
    <row r="1748" spans="1:2" x14ac:dyDescent="0.25">
      <c r="A1748" s="2"/>
      <c r="B1748" s="1"/>
    </row>
    <row r="1749" spans="1:2" x14ac:dyDescent="0.25">
      <c r="A1749" s="2"/>
      <c r="B1749" s="1"/>
    </row>
    <row r="1750" spans="1:2" x14ac:dyDescent="0.25">
      <c r="A1750" s="2"/>
      <c r="B1750" s="1"/>
    </row>
    <row r="1751" spans="1:2" x14ac:dyDescent="0.25">
      <c r="A1751" s="2"/>
      <c r="B1751" s="1"/>
    </row>
    <row r="1752" spans="1:2" x14ac:dyDescent="0.25">
      <c r="A1752" s="2"/>
      <c r="B1752" s="1"/>
    </row>
    <row r="1753" spans="1:2" x14ac:dyDescent="0.25">
      <c r="A1753" s="2"/>
      <c r="B1753" s="1"/>
    </row>
    <row r="1754" spans="1:2" x14ac:dyDescent="0.25">
      <c r="A1754" s="2"/>
      <c r="B1754" s="1"/>
    </row>
    <row r="1755" spans="1:2" x14ac:dyDescent="0.25">
      <c r="A1755" s="2"/>
      <c r="B1755" s="1"/>
    </row>
    <row r="1756" spans="1:2" x14ac:dyDescent="0.25">
      <c r="A1756" s="2"/>
      <c r="B1756" s="1"/>
    </row>
    <row r="1757" spans="1:2" x14ac:dyDescent="0.25">
      <c r="A1757" s="2"/>
      <c r="B1757" s="1"/>
    </row>
    <row r="1758" spans="1:2" x14ac:dyDescent="0.25">
      <c r="A1758" s="2"/>
      <c r="B1758" s="1"/>
    </row>
    <row r="1759" spans="1:2" x14ac:dyDescent="0.25">
      <c r="A1759" s="2"/>
      <c r="B1759" s="1"/>
    </row>
    <row r="1760" spans="1:2" x14ac:dyDescent="0.25">
      <c r="A1760" s="2"/>
      <c r="B1760" s="1"/>
    </row>
    <row r="1761" spans="1:2" x14ac:dyDescent="0.25">
      <c r="A1761" s="2"/>
      <c r="B1761" s="1"/>
    </row>
    <row r="1762" spans="1:2" x14ac:dyDescent="0.25">
      <c r="A1762" s="2"/>
      <c r="B1762" s="1"/>
    </row>
    <row r="1763" spans="1:2" x14ac:dyDescent="0.25">
      <c r="A1763" s="2"/>
      <c r="B1763" s="1"/>
    </row>
    <row r="1764" spans="1:2" x14ac:dyDescent="0.25">
      <c r="A1764" s="2"/>
      <c r="B1764" s="1"/>
    </row>
    <row r="1765" spans="1:2" x14ac:dyDescent="0.25">
      <c r="A1765" s="2"/>
      <c r="B1765" s="1"/>
    </row>
    <row r="1766" spans="1:2" x14ac:dyDescent="0.25">
      <c r="A1766" s="2"/>
      <c r="B1766" s="1"/>
    </row>
    <row r="1767" spans="1:2" x14ac:dyDescent="0.25">
      <c r="A1767" s="2"/>
      <c r="B1767" s="1"/>
    </row>
    <row r="1768" spans="1:2" x14ac:dyDescent="0.25">
      <c r="A1768" s="2"/>
      <c r="B1768" s="1"/>
    </row>
    <row r="1769" spans="1:2" x14ac:dyDescent="0.25">
      <c r="A1769" s="2"/>
      <c r="B1769" s="1"/>
    </row>
    <row r="1770" spans="1:2" x14ac:dyDescent="0.25">
      <c r="A1770" s="2"/>
      <c r="B1770" s="1"/>
    </row>
    <row r="1771" spans="1:2" x14ac:dyDescent="0.25">
      <c r="A1771" s="2"/>
      <c r="B1771" s="1"/>
    </row>
    <row r="1772" spans="1:2" x14ac:dyDescent="0.25">
      <c r="A1772" s="2"/>
      <c r="B1772" s="1"/>
    </row>
    <row r="1773" spans="1:2" x14ac:dyDescent="0.25">
      <c r="A1773" s="2"/>
      <c r="B1773" s="1"/>
    </row>
    <row r="1774" spans="1:2" x14ac:dyDescent="0.25">
      <c r="A1774" s="2"/>
      <c r="B1774" s="1"/>
    </row>
    <row r="1775" spans="1:2" x14ac:dyDescent="0.25">
      <c r="A1775" s="2"/>
      <c r="B1775" s="1"/>
    </row>
    <row r="1776" spans="1:2" x14ac:dyDescent="0.25">
      <c r="A1776" s="2"/>
      <c r="B1776" s="1"/>
    </row>
    <row r="1777" spans="1:2" x14ac:dyDescent="0.25">
      <c r="A1777" s="2"/>
      <c r="B1777" s="1"/>
    </row>
    <row r="1778" spans="1:2" x14ac:dyDescent="0.25">
      <c r="A1778" s="2"/>
      <c r="B1778" s="1"/>
    </row>
    <row r="1779" spans="1:2" x14ac:dyDescent="0.25">
      <c r="A1779" s="2"/>
      <c r="B1779" s="1"/>
    </row>
    <row r="1780" spans="1:2" x14ac:dyDescent="0.25">
      <c r="A1780" s="2"/>
      <c r="B1780" s="1"/>
    </row>
    <row r="1781" spans="1:2" x14ac:dyDescent="0.25">
      <c r="A1781" s="2"/>
      <c r="B1781" s="1"/>
    </row>
    <row r="1782" spans="1:2" x14ac:dyDescent="0.25">
      <c r="A1782" s="2"/>
      <c r="B1782" s="1"/>
    </row>
    <row r="1783" spans="1:2" x14ac:dyDescent="0.25">
      <c r="A1783" s="2"/>
      <c r="B1783" s="1"/>
    </row>
    <row r="1784" spans="1:2" x14ac:dyDescent="0.25">
      <c r="A1784" s="2"/>
      <c r="B1784" s="1"/>
    </row>
    <row r="1785" spans="1:2" x14ac:dyDescent="0.25">
      <c r="A1785" s="2"/>
      <c r="B1785" s="1"/>
    </row>
    <row r="1786" spans="1:2" x14ac:dyDescent="0.25">
      <c r="A1786" s="2"/>
      <c r="B1786" s="1"/>
    </row>
    <row r="1787" spans="1:2" x14ac:dyDescent="0.25">
      <c r="A1787" s="2"/>
      <c r="B1787" s="1"/>
    </row>
    <row r="1788" spans="1:2" x14ac:dyDescent="0.25">
      <c r="A1788" s="2"/>
      <c r="B1788" s="1"/>
    </row>
    <row r="1789" spans="1:2" x14ac:dyDescent="0.25">
      <c r="A1789" s="2"/>
      <c r="B1789" s="1"/>
    </row>
    <row r="1790" spans="1:2" x14ac:dyDescent="0.25">
      <c r="A1790" s="2"/>
      <c r="B1790" s="1"/>
    </row>
    <row r="1791" spans="1:2" x14ac:dyDescent="0.25">
      <c r="A1791" s="2"/>
      <c r="B1791" s="1"/>
    </row>
    <row r="1792" spans="1:2" x14ac:dyDescent="0.25">
      <c r="A1792" s="2"/>
      <c r="B1792" s="1"/>
    </row>
    <row r="1793" spans="1:2" x14ac:dyDescent="0.25">
      <c r="A1793" s="2"/>
      <c r="B1793" s="1"/>
    </row>
    <row r="1794" spans="1:2" x14ac:dyDescent="0.25">
      <c r="A1794" s="2"/>
      <c r="B1794" s="1"/>
    </row>
    <row r="1795" spans="1:2" x14ac:dyDescent="0.25">
      <c r="A1795" s="2"/>
      <c r="B1795" s="1"/>
    </row>
    <row r="1796" spans="1:2" x14ac:dyDescent="0.25">
      <c r="A1796" s="2"/>
      <c r="B1796" s="1"/>
    </row>
  </sheetData>
  <sheetProtection selectLockedCells="1" selectUn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CA13-51BB-4365-83CF-1932DF2D65FA}">
  <dimension ref="A1:G2984"/>
  <sheetViews>
    <sheetView workbookViewId="0">
      <selection activeCell="J8" sqref="J8"/>
    </sheetView>
  </sheetViews>
  <sheetFormatPr defaultRowHeight="15" x14ac:dyDescent="0.25"/>
  <cols>
    <col min="1" max="1" width="18.42578125" bestFit="1" customWidth="1"/>
    <col min="2" max="2" width="12.5703125" bestFit="1" customWidth="1"/>
    <col min="3" max="3" width="11.7109375" bestFit="1" customWidth="1"/>
    <col min="4" max="4" width="21.42578125" bestFit="1" customWidth="1"/>
    <col min="5" max="5" width="15" bestFit="1" customWidth="1"/>
    <col min="6" max="6" width="19" bestFit="1" customWidth="1"/>
    <col min="7" max="7" width="33" bestFit="1" customWidth="1"/>
  </cols>
  <sheetData>
    <row r="1" spans="1:7" x14ac:dyDescent="0.25">
      <c r="A1" t="s">
        <v>14</v>
      </c>
      <c r="B1" t="s">
        <v>365</v>
      </c>
      <c r="C1" t="s">
        <v>366</v>
      </c>
      <c r="D1" t="s">
        <v>367</v>
      </c>
      <c r="E1" t="s">
        <v>368</v>
      </c>
      <c r="F1" t="s">
        <v>369</v>
      </c>
      <c r="G1" t="s">
        <v>370</v>
      </c>
    </row>
    <row r="2" spans="1:7" x14ac:dyDescent="0.25">
      <c r="A2" s="1" t="s">
        <v>21</v>
      </c>
      <c r="B2" s="2">
        <v>45458</v>
      </c>
      <c r="C2" s="2">
        <v>45488</v>
      </c>
      <c r="D2" s="1" t="s">
        <v>371</v>
      </c>
      <c r="E2">
        <v>150000</v>
      </c>
      <c r="F2" s="1" t="s">
        <v>372</v>
      </c>
      <c r="G2" s="1" t="s">
        <v>373</v>
      </c>
    </row>
    <row r="3" spans="1:7" x14ac:dyDescent="0.25">
      <c r="A3" s="1" t="s">
        <v>27</v>
      </c>
      <c r="B3" s="2">
        <v>45566</v>
      </c>
      <c r="C3" s="2">
        <v>45596</v>
      </c>
      <c r="D3" s="1" t="s">
        <v>374</v>
      </c>
      <c r="E3">
        <v>200000</v>
      </c>
      <c r="F3" s="1" t="s">
        <v>375</v>
      </c>
      <c r="G3" s="1" t="s">
        <v>376</v>
      </c>
    </row>
    <row r="4" spans="1:7" x14ac:dyDescent="0.25">
      <c r="A4" s="1" t="s">
        <v>31</v>
      </c>
      <c r="B4" s="2">
        <v>45651</v>
      </c>
      <c r="C4" s="2">
        <v>45667</v>
      </c>
      <c r="D4" s="1" t="s">
        <v>377</v>
      </c>
      <c r="E4">
        <v>250000</v>
      </c>
      <c r="F4" s="1" t="s">
        <v>382</v>
      </c>
      <c r="G4" s="1" t="s">
        <v>198</v>
      </c>
    </row>
    <row r="5" spans="1:7" x14ac:dyDescent="0.25">
      <c r="A5" s="1" t="s">
        <v>37</v>
      </c>
      <c r="B5" s="2">
        <v>45717</v>
      </c>
      <c r="C5" s="2">
        <v>45747</v>
      </c>
      <c r="D5" s="1" t="s">
        <v>378</v>
      </c>
      <c r="E5">
        <v>180000</v>
      </c>
      <c r="F5" s="1" t="s">
        <v>383</v>
      </c>
      <c r="G5" s="1" t="s">
        <v>379</v>
      </c>
    </row>
    <row r="6" spans="1:7" x14ac:dyDescent="0.25">
      <c r="A6" s="1"/>
      <c r="B6" s="2"/>
      <c r="C6" s="2"/>
      <c r="D6" s="1"/>
      <c r="F6" s="1"/>
      <c r="G6" s="1"/>
    </row>
    <row r="7" spans="1:7" x14ac:dyDescent="0.25">
      <c r="A7" s="1"/>
      <c r="B7" s="2"/>
      <c r="C7" s="2"/>
      <c r="D7" s="1"/>
      <c r="F7" s="1"/>
      <c r="G7" s="1"/>
    </row>
    <row r="8" spans="1:7" x14ac:dyDescent="0.25">
      <c r="A8" s="1"/>
      <c r="B8" s="2"/>
      <c r="C8" s="2"/>
      <c r="D8" s="1"/>
      <c r="F8" s="1"/>
      <c r="G8" s="1"/>
    </row>
    <row r="9" spans="1:7" x14ac:dyDescent="0.25">
      <c r="A9" s="1"/>
      <c r="B9" s="2"/>
      <c r="C9" s="2"/>
      <c r="D9" s="1"/>
      <c r="F9" s="1"/>
      <c r="G9" s="1"/>
    </row>
    <row r="10" spans="1:7" x14ac:dyDescent="0.25">
      <c r="A10" s="1"/>
      <c r="B10" s="2"/>
      <c r="C10" s="2"/>
      <c r="D10" s="1"/>
      <c r="F10" s="1"/>
      <c r="G10" s="1"/>
    </row>
    <row r="11" spans="1:7" x14ac:dyDescent="0.25">
      <c r="A11" s="1"/>
      <c r="B11" s="2"/>
      <c r="C11" s="2"/>
      <c r="D11" s="1"/>
      <c r="F11" s="1"/>
      <c r="G11" s="1"/>
    </row>
    <row r="12" spans="1:7" x14ac:dyDescent="0.25">
      <c r="A12" s="1"/>
      <c r="B12" s="2"/>
      <c r="C12" s="2"/>
      <c r="D12" s="1"/>
      <c r="F12" s="1"/>
      <c r="G12" s="1"/>
    </row>
    <row r="13" spans="1:7" x14ac:dyDescent="0.25">
      <c r="A13" s="1"/>
      <c r="B13" s="2"/>
      <c r="C13" s="2"/>
      <c r="D13" s="1"/>
      <c r="F13" s="1"/>
      <c r="G13" s="1"/>
    </row>
    <row r="14" spans="1:7" x14ac:dyDescent="0.25">
      <c r="A14" s="1"/>
      <c r="B14" s="2"/>
      <c r="C14" s="2"/>
      <c r="D14" s="1"/>
      <c r="F14" s="1"/>
      <c r="G14" s="1"/>
    </row>
    <row r="15" spans="1:7" x14ac:dyDescent="0.25">
      <c r="A15" s="1"/>
      <c r="B15" s="2"/>
      <c r="C15" s="2"/>
      <c r="D15" s="1"/>
      <c r="F15" s="1"/>
      <c r="G15" s="1"/>
    </row>
    <row r="16" spans="1:7" x14ac:dyDescent="0.25">
      <c r="A16" s="1"/>
      <c r="B16" s="2"/>
      <c r="C16" s="2"/>
      <c r="D16" s="1"/>
      <c r="F16" s="1"/>
      <c r="G16" s="1"/>
    </row>
    <row r="17" spans="1:7" x14ac:dyDescent="0.25">
      <c r="A17" s="1"/>
      <c r="B17" s="2"/>
      <c r="C17" s="2"/>
      <c r="D17" s="1"/>
      <c r="F17" s="1"/>
      <c r="G17" s="1"/>
    </row>
    <row r="18" spans="1:7" x14ac:dyDescent="0.25">
      <c r="A18" s="1"/>
      <c r="B18" s="2"/>
      <c r="C18" s="2"/>
      <c r="D18" s="1"/>
      <c r="F18" s="1"/>
      <c r="G18" s="1"/>
    </row>
    <row r="19" spans="1:7" x14ac:dyDescent="0.25">
      <c r="A19" s="1"/>
      <c r="B19" s="2"/>
      <c r="C19" s="2"/>
      <c r="D19" s="1"/>
      <c r="F19" s="1"/>
      <c r="G19" s="1"/>
    </row>
    <row r="20" spans="1:7" x14ac:dyDescent="0.25">
      <c r="A20" s="1"/>
      <c r="B20" s="2"/>
      <c r="C20" s="2"/>
      <c r="D20" s="1"/>
      <c r="F20" s="1"/>
      <c r="G20" s="1"/>
    </row>
    <row r="21" spans="1:7" x14ac:dyDescent="0.25">
      <c r="A21" s="1"/>
      <c r="B21" s="2"/>
      <c r="C21" s="2"/>
      <c r="D21" s="1"/>
      <c r="F21" s="1"/>
      <c r="G21" s="1"/>
    </row>
    <row r="22" spans="1:7" x14ac:dyDescent="0.25">
      <c r="A22" s="1"/>
      <c r="B22" s="2"/>
      <c r="C22" s="2"/>
      <c r="D22" s="1"/>
      <c r="F22" s="1"/>
      <c r="G22" s="1"/>
    </row>
    <row r="23" spans="1:7" x14ac:dyDescent="0.25">
      <c r="A23" s="1"/>
      <c r="B23" s="2"/>
      <c r="C23" s="2"/>
      <c r="D23" s="1"/>
      <c r="F23" s="1"/>
      <c r="G23" s="1"/>
    </row>
    <row r="24" spans="1:7" x14ac:dyDescent="0.25">
      <c r="A24" s="1"/>
      <c r="B24" s="2"/>
      <c r="C24" s="2"/>
      <c r="D24" s="1"/>
      <c r="F24" s="1"/>
      <c r="G24" s="1"/>
    </row>
    <row r="25" spans="1:7" x14ac:dyDescent="0.25">
      <c r="A25" s="1"/>
      <c r="B25" s="2"/>
      <c r="C25" s="2"/>
      <c r="D25" s="1"/>
      <c r="F25" s="1"/>
      <c r="G25" s="1"/>
    </row>
    <row r="26" spans="1:7" x14ac:dyDescent="0.25">
      <c r="A26" s="1"/>
      <c r="B26" s="2"/>
      <c r="C26" s="2"/>
      <c r="D26" s="1"/>
      <c r="F26" s="1"/>
      <c r="G26" s="1"/>
    </row>
    <row r="27" spans="1:7" x14ac:dyDescent="0.25">
      <c r="A27" s="1"/>
      <c r="B27" s="2"/>
      <c r="C27" s="2"/>
      <c r="D27" s="1"/>
      <c r="F27" s="1"/>
      <c r="G27" s="1"/>
    </row>
    <row r="28" spans="1:7" x14ac:dyDescent="0.25">
      <c r="A28" s="1"/>
      <c r="B28" s="2"/>
      <c r="C28" s="2"/>
      <c r="D28" s="1"/>
      <c r="F28" s="1"/>
      <c r="G28" s="1"/>
    </row>
    <row r="29" spans="1:7" x14ac:dyDescent="0.25">
      <c r="A29" s="1"/>
      <c r="B29" s="2"/>
      <c r="C29" s="2"/>
      <c r="D29" s="1"/>
      <c r="F29" s="1"/>
      <c r="G29" s="1"/>
    </row>
    <row r="30" spans="1:7" x14ac:dyDescent="0.25">
      <c r="A30" s="1"/>
      <c r="B30" s="2"/>
      <c r="C30" s="2"/>
      <c r="D30" s="1"/>
      <c r="F30" s="1"/>
      <c r="G30" s="1"/>
    </row>
    <row r="31" spans="1:7" x14ac:dyDescent="0.25">
      <c r="A31" s="1"/>
      <c r="B31" s="2"/>
      <c r="C31" s="2"/>
      <c r="D31" s="1"/>
      <c r="F31" s="1"/>
      <c r="G31" s="1"/>
    </row>
    <row r="32" spans="1:7" x14ac:dyDescent="0.25">
      <c r="A32" s="1"/>
      <c r="B32" s="2"/>
      <c r="C32" s="2"/>
      <c r="D32" s="1"/>
      <c r="F32" s="1"/>
      <c r="G32" s="1"/>
    </row>
    <row r="33" spans="1:7" x14ac:dyDescent="0.25">
      <c r="A33" s="1"/>
      <c r="B33" s="2"/>
      <c r="C33" s="2"/>
      <c r="D33" s="1"/>
      <c r="F33" s="1"/>
      <c r="G33" s="1"/>
    </row>
    <row r="34" spans="1:7" x14ac:dyDescent="0.25">
      <c r="A34" s="1"/>
      <c r="B34" s="2"/>
      <c r="C34" s="2"/>
      <c r="D34" s="1"/>
      <c r="F34" s="1"/>
      <c r="G34" s="1"/>
    </row>
    <row r="35" spans="1:7" x14ac:dyDescent="0.25">
      <c r="A35" s="1"/>
      <c r="B35" s="2"/>
      <c r="C35" s="2"/>
      <c r="D35" s="1"/>
      <c r="F35" s="1"/>
      <c r="G35" s="1"/>
    </row>
    <row r="36" spans="1:7" x14ac:dyDescent="0.25">
      <c r="A36" s="1"/>
      <c r="B36" s="2"/>
      <c r="C36" s="2"/>
      <c r="D36" s="1"/>
      <c r="F36" s="1"/>
      <c r="G36" s="1"/>
    </row>
    <row r="37" spans="1:7" x14ac:dyDescent="0.25">
      <c r="A37" s="1"/>
      <c r="B37" s="2"/>
      <c r="C37" s="2"/>
      <c r="D37" s="1"/>
      <c r="F37" s="1"/>
      <c r="G37" s="1"/>
    </row>
    <row r="38" spans="1:7" x14ac:dyDescent="0.25">
      <c r="A38" s="1"/>
      <c r="B38" s="2"/>
      <c r="C38" s="2"/>
      <c r="D38" s="1"/>
      <c r="F38" s="1"/>
      <c r="G38" s="1"/>
    </row>
    <row r="39" spans="1:7" x14ac:dyDescent="0.25">
      <c r="A39" s="1"/>
      <c r="B39" s="2"/>
      <c r="C39" s="2"/>
      <c r="D39" s="1"/>
      <c r="F39" s="1"/>
      <c r="G39" s="1"/>
    </row>
    <row r="40" spans="1:7" x14ac:dyDescent="0.25">
      <c r="A40" s="1"/>
      <c r="B40" s="2"/>
      <c r="C40" s="2"/>
      <c r="D40" s="1"/>
      <c r="F40" s="1"/>
      <c r="G40" s="1"/>
    </row>
    <row r="41" spans="1:7" x14ac:dyDescent="0.25">
      <c r="A41" s="1"/>
      <c r="B41" s="2"/>
      <c r="C41" s="2"/>
      <c r="D41" s="1"/>
      <c r="F41" s="1"/>
      <c r="G41" s="1"/>
    </row>
    <row r="42" spans="1:7" x14ac:dyDescent="0.25">
      <c r="A42" s="1"/>
      <c r="B42" s="2"/>
      <c r="C42" s="2"/>
      <c r="D42" s="1"/>
      <c r="F42" s="1"/>
      <c r="G42" s="1"/>
    </row>
    <row r="43" spans="1:7" x14ac:dyDescent="0.25">
      <c r="A43" s="1"/>
      <c r="B43" s="2"/>
      <c r="C43" s="2"/>
      <c r="D43" s="1"/>
      <c r="F43" s="1"/>
      <c r="G43" s="1"/>
    </row>
    <row r="44" spans="1:7" x14ac:dyDescent="0.25">
      <c r="A44" s="1"/>
      <c r="B44" s="2"/>
      <c r="C44" s="2"/>
      <c r="D44" s="1"/>
      <c r="F44" s="1"/>
      <c r="G44" s="1"/>
    </row>
    <row r="45" spans="1:7" x14ac:dyDescent="0.25">
      <c r="A45" s="1"/>
      <c r="B45" s="2"/>
      <c r="C45" s="2"/>
      <c r="D45" s="1"/>
      <c r="F45" s="1"/>
      <c r="G45" s="1"/>
    </row>
    <row r="46" spans="1:7" x14ac:dyDescent="0.25">
      <c r="A46" s="1"/>
      <c r="B46" s="2"/>
      <c r="C46" s="2"/>
      <c r="D46" s="1"/>
      <c r="F46" s="1"/>
      <c r="G46" s="1"/>
    </row>
    <row r="47" spans="1:7" x14ac:dyDescent="0.25">
      <c r="A47" s="1"/>
      <c r="B47" s="2"/>
      <c r="C47" s="2"/>
      <c r="D47" s="1"/>
      <c r="F47" s="1"/>
      <c r="G47" s="1"/>
    </row>
    <row r="48" spans="1:7" x14ac:dyDescent="0.25">
      <c r="A48" s="1"/>
      <c r="B48" s="2"/>
      <c r="C48" s="2"/>
      <c r="D48" s="1"/>
      <c r="F48" s="1"/>
      <c r="G48" s="1"/>
    </row>
    <row r="49" spans="1:7" x14ac:dyDescent="0.25">
      <c r="A49" s="1"/>
      <c r="B49" s="2"/>
      <c r="C49" s="2"/>
      <c r="D49" s="1"/>
      <c r="F49" s="1"/>
      <c r="G49" s="1"/>
    </row>
    <row r="50" spans="1:7" x14ac:dyDescent="0.25">
      <c r="A50" s="1"/>
      <c r="B50" s="2"/>
      <c r="C50" s="2"/>
      <c r="D50" s="1"/>
      <c r="F50" s="1"/>
      <c r="G50" s="1"/>
    </row>
    <row r="51" spans="1:7" x14ac:dyDescent="0.25">
      <c r="A51" s="1"/>
      <c r="B51" s="2"/>
      <c r="C51" s="2"/>
      <c r="D51" s="1"/>
      <c r="F51" s="1"/>
      <c r="G51" s="1"/>
    </row>
    <row r="52" spans="1:7" x14ac:dyDescent="0.25">
      <c r="A52" s="1"/>
      <c r="B52" s="2"/>
      <c r="C52" s="2"/>
      <c r="D52" s="1"/>
      <c r="F52" s="1"/>
      <c r="G52" s="1"/>
    </row>
    <row r="53" spans="1:7" x14ac:dyDescent="0.25">
      <c r="A53" s="1"/>
      <c r="B53" s="2"/>
      <c r="C53" s="2"/>
      <c r="D53" s="1"/>
      <c r="F53" s="1"/>
      <c r="G53" s="1"/>
    </row>
    <row r="54" spans="1:7" x14ac:dyDescent="0.25">
      <c r="A54" s="1"/>
      <c r="B54" s="2"/>
      <c r="C54" s="2"/>
      <c r="D54" s="1"/>
      <c r="F54" s="1"/>
      <c r="G54" s="1"/>
    </row>
    <row r="55" spans="1:7" x14ac:dyDescent="0.25">
      <c r="A55" s="1"/>
      <c r="B55" s="2"/>
      <c r="C55" s="2"/>
      <c r="D55" s="1"/>
      <c r="F55" s="1"/>
      <c r="G55" s="1"/>
    </row>
    <row r="56" spans="1:7" x14ac:dyDescent="0.25">
      <c r="A56" s="1"/>
      <c r="B56" s="2"/>
      <c r="C56" s="2"/>
      <c r="D56" s="1"/>
      <c r="F56" s="1"/>
      <c r="G56" s="1"/>
    </row>
    <row r="57" spans="1:7" x14ac:dyDescent="0.25">
      <c r="A57" s="1"/>
      <c r="B57" s="2"/>
      <c r="C57" s="2"/>
      <c r="D57" s="1"/>
      <c r="F57" s="1"/>
      <c r="G57" s="1"/>
    </row>
    <row r="58" spans="1:7" x14ac:dyDescent="0.25">
      <c r="A58" s="1"/>
      <c r="B58" s="2"/>
      <c r="C58" s="2"/>
      <c r="D58" s="1"/>
      <c r="F58" s="1"/>
      <c r="G58" s="1"/>
    </row>
    <row r="59" spans="1:7" x14ac:dyDescent="0.25">
      <c r="A59" s="1"/>
      <c r="B59" s="2"/>
      <c r="C59" s="2"/>
      <c r="D59" s="1"/>
      <c r="F59" s="1"/>
      <c r="G59" s="1"/>
    </row>
    <row r="60" spans="1:7" x14ac:dyDescent="0.25">
      <c r="A60" s="1"/>
      <c r="B60" s="2"/>
      <c r="C60" s="2"/>
      <c r="D60" s="1"/>
      <c r="F60" s="1"/>
      <c r="G60" s="1"/>
    </row>
    <row r="61" spans="1:7" x14ac:dyDescent="0.25">
      <c r="A61" s="1"/>
      <c r="B61" s="2"/>
      <c r="C61" s="2"/>
      <c r="D61" s="1"/>
      <c r="F61" s="1"/>
      <c r="G61" s="1"/>
    </row>
    <row r="62" spans="1:7" x14ac:dyDescent="0.25">
      <c r="A62" s="1"/>
      <c r="B62" s="2"/>
      <c r="C62" s="2"/>
      <c r="D62" s="1"/>
      <c r="F62" s="1"/>
      <c r="G62" s="1"/>
    </row>
    <row r="63" spans="1:7" x14ac:dyDescent="0.25">
      <c r="A63" s="1"/>
      <c r="B63" s="2"/>
      <c r="C63" s="2"/>
      <c r="D63" s="1"/>
      <c r="F63" s="1"/>
      <c r="G63" s="1"/>
    </row>
    <row r="64" spans="1:7" x14ac:dyDescent="0.25">
      <c r="A64" s="1"/>
      <c r="B64" s="2"/>
      <c r="C64" s="2"/>
      <c r="D64" s="1"/>
      <c r="F64" s="1"/>
      <c r="G64" s="1"/>
    </row>
    <row r="65" spans="1:7" x14ac:dyDescent="0.25">
      <c r="A65" s="1"/>
      <c r="B65" s="2"/>
      <c r="C65" s="2"/>
      <c r="D65" s="1"/>
      <c r="F65" s="1"/>
      <c r="G65" s="1"/>
    </row>
    <row r="66" spans="1:7" x14ac:dyDescent="0.25">
      <c r="A66" s="1"/>
      <c r="B66" s="2"/>
      <c r="C66" s="2"/>
      <c r="D66" s="1"/>
      <c r="F66" s="1"/>
      <c r="G66" s="1"/>
    </row>
    <row r="67" spans="1:7" x14ac:dyDescent="0.25">
      <c r="A67" s="1"/>
      <c r="B67" s="2"/>
      <c r="C67" s="2"/>
      <c r="D67" s="1"/>
      <c r="F67" s="1"/>
      <c r="G67" s="1"/>
    </row>
    <row r="68" spans="1:7" x14ac:dyDescent="0.25">
      <c r="A68" s="1"/>
      <c r="B68" s="2"/>
      <c r="C68" s="2"/>
      <c r="D68" s="1"/>
      <c r="F68" s="1"/>
      <c r="G68" s="1"/>
    </row>
    <row r="69" spans="1:7" x14ac:dyDescent="0.25">
      <c r="A69" s="1"/>
      <c r="B69" s="2"/>
      <c r="C69" s="2"/>
      <c r="D69" s="1"/>
      <c r="F69" s="1"/>
      <c r="G69" s="1"/>
    </row>
    <row r="70" spans="1:7" x14ac:dyDescent="0.25">
      <c r="A70" s="1"/>
      <c r="B70" s="2"/>
      <c r="C70" s="2"/>
      <c r="D70" s="1"/>
      <c r="F70" s="1"/>
      <c r="G70" s="1"/>
    </row>
    <row r="71" spans="1:7" x14ac:dyDescent="0.25">
      <c r="A71" s="1"/>
      <c r="B71" s="2"/>
      <c r="C71" s="2"/>
      <c r="D71" s="1"/>
      <c r="F71" s="1"/>
      <c r="G71" s="1"/>
    </row>
    <row r="72" spans="1:7" x14ac:dyDescent="0.25">
      <c r="A72" s="1"/>
      <c r="B72" s="2"/>
      <c r="C72" s="2"/>
      <c r="D72" s="1"/>
      <c r="F72" s="1"/>
      <c r="G72" s="1"/>
    </row>
    <row r="73" spans="1:7" x14ac:dyDescent="0.25">
      <c r="A73" s="1"/>
      <c r="B73" s="2"/>
      <c r="C73" s="2"/>
      <c r="D73" s="1"/>
      <c r="F73" s="1"/>
      <c r="G73" s="1"/>
    </row>
    <row r="74" spans="1:7" x14ac:dyDescent="0.25">
      <c r="A74" s="1"/>
      <c r="B74" s="2"/>
      <c r="C74" s="2"/>
      <c r="D74" s="1"/>
      <c r="F74" s="1"/>
      <c r="G74" s="1"/>
    </row>
    <row r="75" spans="1:7" x14ac:dyDescent="0.25">
      <c r="A75" s="1"/>
      <c r="B75" s="2"/>
      <c r="C75" s="2"/>
      <c r="D75" s="1"/>
      <c r="F75" s="1"/>
      <c r="G75" s="1"/>
    </row>
    <row r="76" spans="1:7" x14ac:dyDescent="0.25">
      <c r="A76" s="1"/>
      <c r="B76" s="2"/>
      <c r="C76" s="2"/>
      <c r="D76" s="1"/>
      <c r="F76" s="1"/>
      <c r="G76" s="1"/>
    </row>
    <row r="77" spans="1:7" x14ac:dyDescent="0.25">
      <c r="A77" s="1"/>
      <c r="B77" s="2"/>
      <c r="C77" s="2"/>
      <c r="D77" s="1"/>
      <c r="F77" s="1"/>
      <c r="G77" s="1"/>
    </row>
    <row r="78" spans="1:7" x14ac:dyDescent="0.25">
      <c r="A78" s="1"/>
      <c r="B78" s="2"/>
      <c r="C78" s="2"/>
      <c r="D78" s="1"/>
      <c r="F78" s="1"/>
      <c r="G78" s="1"/>
    </row>
    <row r="79" spans="1:7" x14ac:dyDescent="0.25">
      <c r="A79" s="1"/>
      <c r="B79" s="2"/>
      <c r="C79" s="2"/>
      <c r="D79" s="1"/>
      <c r="F79" s="1"/>
      <c r="G79" s="1"/>
    </row>
    <row r="80" spans="1:7" x14ac:dyDescent="0.25">
      <c r="A80" s="1"/>
      <c r="B80" s="2"/>
      <c r="C80" s="2"/>
      <c r="D80" s="1"/>
      <c r="F80" s="1"/>
      <c r="G80" s="1"/>
    </row>
    <row r="81" spans="1:7" x14ac:dyDescent="0.25">
      <c r="A81" s="1"/>
      <c r="B81" s="2"/>
      <c r="C81" s="2"/>
      <c r="D81" s="1"/>
      <c r="F81" s="1"/>
      <c r="G81" s="1"/>
    </row>
    <row r="82" spans="1:7" x14ac:dyDescent="0.25">
      <c r="A82" s="1"/>
      <c r="B82" s="2"/>
      <c r="C82" s="2"/>
      <c r="D82" s="1"/>
      <c r="F82" s="1"/>
      <c r="G82" s="1"/>
    </row>
    <row r="83" spans="1:7" x14ac:dyDescent="0.25">
      <c r="A83" s="1"/>
      <c r="B83" s="2"/>
      <c r="C83" s="2"/>
      <c r="D83" s="1"/>
      <c r="F83" s="1"/>
      <c r="G83" s="1"/>
    </row>
    <row r="84" spans="1:7" x14ac:dyDescent="0.25">
      <c r="A84" s="1"/>
      <c r="B84" s="2"/>
      <c r="C84" s="2"/>
      <c r="D84" s="1"/>
      <c r="F84" s="1"/>
      <c r="G84" s="1"/>
    </row>
    <row r="85" spans="1:7" x14ac:dyDescent="0.25">
      <c r="A85" s="1"/>
      <c r="B85" s="2"/>
      <c r="C85" s="2"/>
      <c r="D85" s="1"/>
      <c r="F85" s="1"/>
      <c r="G85" s="1"/>
    </row>
    <row r="86" spans="1:7" x14ac:dyDescent="0.25">
      <c r="A86" s="1"/>
      <c r="B86" s="2"/>
      <c r="C86" s="2"/>
      <c r="D86" s="1"/>
      <c r="F86" s="1"/>
      <c r="G86" s="1"/>
    </row>
    <row r="87" spans="1:7" x14ac:dyDescent="0.25">
      <c r="A87" s="1"/>
      <c r="B87" s="2"/>
      <c r="C87" s="2"/>
      <c r="D87" s="1"/>
      <c r="F87" s="1"/>
      <c r="G87" s="1"/>
    </row>
    <row r="88" spans="1:7" x14ac:dyDescent="0.25">
      <c r="A88" s="1"/>
      <c r="B88" s="2"/>
      <c r="C88" s="2"/>
      <c r="D88" s="1"/>
      <c r="F88" s="1"/>
      <c r="G88" s="1"/>
    </row>
    <row r="89" spans="1:7" x14ac:dyDescent="0.25">
      <c r="A89" s="1"/>
      <c r="B89" s="2"/>
      <c r="C89" s="2"/>
      <c r="D89" s="1"/>
      <c r="F89" s="1"/>
      <c r="G89" s="1"/>
    </row>
    <row r="90" spans="1:7" x14ac:dyDescent="0.25">
      <c r="A90" s="1"/>
      <c r="B90" s="2"/>
      <c r="C90" s="2"/>
      <c r="D90" s="1"/>
      <c r="F90" s="1"/>
      <c r="G90" s="1"/>
    </row>
    <row r="91" spans="1:7" x14ac:dyDescent="0.25">
      <c r="A91" s="1"/>
      <c r="B91" s="2"/>
      <c r="C91" s="2"/>
      <c r="D91" s="1"/>
      <c r="F91" s="1"/>
      <c r="G91" s="1"/>
    </row>
    <row r="92" spans="1:7" x14ac:dyDescent="0.25">
      <c r="A92" s="1"/>
      <c r="B92" s="2"/>
      <c r="C92" s="2"/>
      <c r="D92" s="1"/>
      <c r="F92" s="1"/>
      <c r="G92" s="1"/>
    </row>
    <row r="93" spans="1:7" x14ac:dyDescent="0.25">
      <c r="A93" s="1"/>
      <c r="B93" s="2"/>
      <c r="C93" s="2"/>
      <c r="D93" s="1"/>
      <c r="F93" s="1"/>
      <c r="G93" s="1"/>
    </row>
    <row r="94" spans="1:7" x14ac:dyDescent="0.25">
      <c r="A94" s="1"/>
      <c r="B94" s="2"/>
      <c r="C94" s="2"/>
      <c r="D94" s="1"/>
      <c r="F94" s="1"/>
      <c r="G94" s="1"/>
    </row>
    <row r="95" spans="1:7" x14ac:dyDescent="0.25">
      <c r="A95" s="1"/>
      <c r="B95" s="2"/>
      <c r="C95" s="2"/>
      <c r="D95" s="1"/>
      <c r="F95" s="1"/>
      <c r="G95" s="1"/>
    </row>
    <row r="96" spans="1:7" x14ac:dyDescent="0.25">
      <c r="A96" s="1"/>
      <c r="B96" s="2"/>
      <c r="C96" s="2"/>
      <c r="D96" s="1"/>
      <c r="F96" s="1"/>
      <c r="G96" s="1"/>
    </row>
    <row r="97" spans="1:7" x14ac:dyDescent="0.25">
      <c r="A97" s="1"/>
      <c r="B97" s="2"/>
      <c r="C97" s="2"/>
      <c r="D97" s="1"/>
      <c r="F97" s="1"/>
      <c r="G97" s="1"/>
    </row>
    <row r="98" spans="1:7" x14ac:dyDescent="0.25">
      <c r="A98" s="1"/>
      <c r="B98" s="2"/>
      <c r="C98" s="2"/>
      <c r="D98" s="1"/>
      <c r="F98" s="1"/>
      <c r="G98" s="1"/>
    </row>
    <row r="99" spans="1:7" x14ac:dyDescent="0.25">
      <c r="A99" s="1"/>
      <c r="B99" s="2"/>
      <c r="C99" s="2"/>
      <c r="D99" s="1"/>
      <c r="F99" s="1"/>
      <c r="G99" s="1"/>
    </row>
    <row r="100" spans="1:7" x14ac:dyDescent="0.25">
      <c r="A100" s="1"/>
      <c r="B100" s="2"/>
      <c r="C100" s="2"/>
      <c r="D100" s="1"/>
      <c r="F100" s="1"/>
      <c r="G100" s="1"/>
    </row>
    <row r="101" spans="1:7" x14ac:dyDescent="0.25">
      <c r="A101" s="1"/>
      <c r="B101" s="2"/>
      <c r="C101" s="2"/>
      <c r="D101" s="1"/>
      <c r="F101" s="1"/>
      <c r="G101" s="1"/>
    </row>
    <row r="102" spans="1:7" x14ac:dyDescent="0.25">
      <c r="A102" s="1"/>
      <c r="B102" s="2"/>
      <c r="C102" s="2"/>
      <c r="D102" s="1"/>
      <c r="F102" s="1"/>
      <c r="G102" s="1"/>
    </row>
    <row r="103" spans="1:7" x14ac:dyDescent="0.25">
      <c r="A103" s="1"/>
      <c r="B103" s="2"/>
      <c r="C103" s="2"/>
      <c r="D103" s="1"/>
      <c r="F103" s="1"/>
      <c r="G103" s="1"/>
    </row>
    <row r="104" spans="1:7" x14ac:dyDescent="0.25">
      <c r="A104" s="1"/>
      <c r="B104" s="2"/>
      <c r="C104" s="2"/>
      <c r="D104" s="1"/>
      <c r="F104" s="1"/>
      <c r="G104" s="1"/>
    </row>
    <row r="105" spans="1:7" x14ac:dyDescent="0.25">
      <c r="A105" s="1"/>
      <c r="B105" s="2"/>
      <c r="C105" s="2"/>
      <c r="D105" s="1"/>
      <c r="F105" s="1"/>
      <c r="G105" s="1"/>
    </row>
    <row r="106" spans="1:7" x14ac:dyDescent="0.25">
      <c r="A106" s="1"/>
      <c r="B106" s="2"/>
      <c r="C106" s="2"/>
      <c r="D106" s="1"/>
      <c r="F106" s="1"/>
      <c r="G106" s="1"/>
    </row>
    <row r="107" spans="1:7" x14ac:dyDescent="0.25">
      <c r="A107" s="1"/>
      <c r="B107" s="2"/>
      <c r="C107" s="2"/>
      <c r="D107" s="1"/>
      <c r="F107" s="1"/>
      <c r="G107" s="1"/>
    </row>
    <row r="108" spans="1:7" x14ac:dyDescent="0.25">
      <c r="A108" s="1"/>
      <c r="B108" s="2"/>
      <c r="C108" s="2"/>
      <c r="D108" s="1"/>
      <c r="F108" s="1"/>
      <c r="G108" s="1"/>
    </row>
    <row r="109" spans="1:7" x14ac:dyDescent="0.25">
      <c r="A109" s="1"/>
      <c r="B109" s="2"/>
      <c r="C109" s="2"/>
      <c r="D109" s="1"/>
      <c r="F109" s="1"/>
      <c r="G109" s="1"/>
    </row>
    <row r="110" spans="1:7" x14ac:dyDescent="0.25">
      <c r="A110" s="1"/>
      <c r="B110" s="2"/>
      <c r="C110" s="2"/>
      <c r="D110" s="1"/>
      <c r="F110" s="1"/>
      <c r="G110" s="1"/>
    </row>
    <row r="111" spans="1:7" x14ac:dyDescent="0.25">
      <c r="A111" s="1"/>
      <c r="B111" s="2"/>
      <c r="C111" s="2"/>
      <c r="D111" s="1"/>
      <c r="F111" s="1"/>
      <c r="G111" s="1"/>
    </row>
    <row r="112" spans="1:7" x14ac:dyDescent="0.25">
      <c r="A112" s="1"/>
      <c r="B112" s="2"/>
      <c r="C112" s="2"/>
      <c r="D112" s="1"/>
      <c r="F112" s="1"/>
      <c r="G112" s="1"/>
    </row>
    <row r="113" spans="1:7" x14ac:dyDescent="0.25">
      <c r="A113" s="1"/>
      <c r="B113" s="2"/>
      <c r="C113" s="2"/>
      <c r="D113" s="1"/>
      <c r="F113" s="1"/>
      <c r="G113" s="1"/>
    </row>
    <row r="114" spans="1:7" x14ac:dyDescent="0.25">
      <c r="A114" s="1"/>
      <c r="B114" s="2"/>
      <c r="C114" s="2"/>
      <c r="D114" s="1"/>
      <c r="F114" s="1"/>
      <c r="G114" s="1"/>
    </row>
    <row r="115" spans="1:7" x14ac:dyDescent="0.25">
      <c r="A115" s="1"/>
      <c r="B115" s="2"/>
      <c r="C115" s="2"/>
      <c r="D115" s="1"/>
      <c r="F115" s="1"/>
      <c r="G115" s="1"/>
    </row>
    <row r="116" spans="1:7" x14ac:dyDescent="0.25">
      <c r="A116" s="1"/>
      <c r="B116" s="2"/>
      <c r="C116" s="2"/>
      <c r="D116" s="1"/>
      <c r="F116" s="1"/>
      <c r="G116" s="1"/>
    </row>
    <row r="117" spans="1:7" x14ac:dyDescent="0.25">
      <c r="A117" s="1"/>
      <c r="B117" s="2"/>
      <c r="C117" s="2"/>
      <c r="D117" s="1"/>
      <c r="F117" s="1"/>
      <c r="G117" s="1"/>
    </row>
    <row r="118" spans="1:7" x14ac:dyDescent="0.25">
      <c r="A118" s="1"/>
      <c r="B118" s="2"/>
      <c r="C118" s="2"/>
      <c r="D118" s="1"/>
      <c r="F118" s="1"/>
      <c r="G118" s="1"/>
    </row>
    <row r="119" spans="1:7" x14ac:dyDescent="0.25">
      <c r="A119" s="1"/>
      <c r="B119" s="2"/>
      <c r="C119" s="2"/>
      <c r="D119" s="1"/>
      <c r="F119" s="1"/>
      <c r="G119" s="1"/>
    </row>
    <row r="120" spans="1:7" x14ac:dyDescent="0.25">
      <c r="A120" s="1"/>
      <c r="B120" s="2"/>
      <c r="C120" s="2"/>
      <c r="D120" s="1"/>
      <c r="F120" s="1"/>
      <c r="G120" s="1"/>
    </row>
    <row r="121" spans="1:7" x14ac:dyDescent="0.25">
      <c r="A121" s="1"/>
      <c r="B121" s="2"/>
      <c r="C121" s="2"/>
      <c r="D121" s="1"/>
      <c r="F121" s="1"/>
      <c r="G121" s="1"/>
    </row>
    <row r="122" spans="1:7" x14ac:dyDescent="0.25">
      <c r="A122" s="1"/>
      <c r="B122" s="2"/>
      <c r="C122" s="2"/>
      <c r="D122" s="1"/>
      <c r="F122" s="1"/>
      <c r="G122" s="1"/>
    </row>
    <row r="123" spans="1:7" x14ac:dyDescent="0.25">
      <c r="A123" s="1"/>
      <c r="B123" s="2"/>
      <c r="C123" s="2"/>
      <c r="D123" s="1"/>
      <c r="F123" s="1"/>
      <c r="G123" s="1"/>
    </row>
    <row r="124" spans="1:7" x14ac:dyDescent="0.25">
      <c r="A124" s="1"/>
      <c r="B124" s="2"/>
      <c r="C124" s="2"/>
      <c r="D124" s="1"/>
      <c r="F124" s="1"/>
      <c r="G124" s="1"/>
    </row>
    <row r="125" spans="1:7" x14ac:dyDescent="0.25">
      <c r="A125" s="1"/>
      <c r="B125" s="2"/>
      <c r="C125" s="2"/>
      <c r="D125" s="1"/>
      <c r="F125" s="1"/>
      <c r="G125" s="1"/>
    </row>
    <row r="126" spans="1:7" x14ac:dyDescent="0.25">
      <c r="A126" s="1"/>
      <c r="B126" s="2"/>
      <c r="C126" s="2"/>
      <c r="D126" s="1"/>
      <c r="F126" s="1"/>
      <c r="G126" s="1"/>
    </row>
    <row r="127" spans="1:7" x14ac:dyDescent="0.25">
      <c r="A127" s="1"/>
      <c r="B127" s="2"/>
      <c r="C127" s="2"/>
      <c r="D127" s="1"/>
      <c r="F127" s="1"/>
      <c r="G127" s="1"/>
    </row>
    <row r="128" spans="1:7" x14ac:dyDescent="0.25">
      <c r="A128" s="1"/>
      <c r="B128" s="2"/>
      <c r="C128" s="2"/>
      <c r="D128" s="1"/>
      <c r="F128" s="1"/>
      <c r="G128" s="1"/>
    </row>
    <row r="129" spans="1:7" x14ac:dyDescent="0.25">
      <c r="A129" s="1"/>
      <c r="B129" s="2"/>
      <c r="C129" s="2"/>
      <c r="D129" s="1"/>
      <c r="F129" s="1"/>
      <c r="G129" s="1"/>
    </row>
    <row r="130" spans="1:7" x14ac:dyDescent="0.25">
      <c r="A130" s="1"/>
      <c r="B130" s="2"/>
      <c r="C130" s="2"/>
      <c r="D130" s="1"/>
      <c r="F130" s="1"/>
      <c r="G130" s="1"/>
    </row>
    <row r="131" spans="1:7" x14ac:dyDescent="0.25">
      <c r="A131" s="1"/>
      <c r="B131" s="2"/>
      <c r="C131" s="2"/>
      <c r="D131" s="1"/>
      <c r="F131" s="1"/>
      <c r="G131" s="1"/>
    </row>
    <row r="132" spans="1:7" x14ac:dyDescent="0.25">
      <c r="A132" s="1"/>
      <c r="B132" s="2"/>
      <c r="C132" s="2"/>
      <c r="D132" s="1"/>
      <c r="F132" s="1"/>
      <c r="G132" s="1"/>
    </row>
    <row r="133" spans="1:7" x14ac:dyDescent="0.25">
      <c r="A133" s="1"/>
      <c r="B133" s="2"/>
      <c r="C133" s="2"/>
      <c r="D133" s="1"/>
      <c r="F133" s="1"/>
      <c r="G133" s="1"/>
    </row>
    <row r="134" spans="1:7" x14ac:dyDescent="0.25">
      <c r="A134" s="1"/>
      <c r="B134" s="2"/>
      <c r="C134" s="2"/>
      <c r="D134" s="1"/>
      <c r="F134" s="1"/>
      <c r="G134" s="1"/>
    </row>
    <row r="135" spans="1:7" x14ac:dyDescent="0.25">
      <c r="A135" s="1"/>
      <c r="B135" s="2"/>
      <c r="C135" s="2"/>
      <c r="D135" s="1"/>
      <c r="F135" s="1"/>
      <c r="G135" s="1"/>
    </row>
    <row r="136" spans="1:7" x14ac:dyDescent="0.25">
      <c r="A136" s="1"/>
      <c r="B136" s="2"/>
      <c r="C136" s="2"/>
      <c r="D136" s="1"/>
      <c r="F136" s="1"/>
      <c r="G136" s="1"/>
    </row>
    <row r="137" spans="1:7" x14ac:dyDescent="0.25">
      <c r="A137" s="1"/>
      <c r="B137" s="2"/>
      <c r="C137" s="2"/>
      <c r="D137" s="1"/>
      <c r="F137" s="1"/>
      <c r="G137" s="1"/>
    </row>
    <row r="138" spans="1:7" x14ac:dyDescent="0.25">
      <c r="A138" s="1"/>
      <c r="B138" s="2"/>
      <c r="C138" s="2"/>
      <c r="D138" s="1"/>
      <c r="F138" s="1"/>
      <c r="G138" s="1"/>
    </row>
    <row r="139" spans="1:7" x14ac:dyDescent="0.25">
      <c r="A139" s="1"/>
      <c r="B139" s="2"/>
      <c r="C139" s="2"/>
      <c r="D139" s="1"/>
      <c r="F139" s="1"/>
      <c r="G139" s="1"/>
    </row>
    <row r="140" spans="1:7" x14ac:dyDescent="0.25">
      <c r="A140" s="1"/>
      <c r="B140" s="2"/>
      <c r="C140" s="2"/>
      <c r="D140" s="1"/>
      <c r="F140" s="1"/>
      <c r="G140" s="1"/>
    </row>
    <row r="141" spans="1:7" x14ac:dyDescent="0.25">
      <c r="A141" s="1"/>
      <c r="B141" s="2"/>
      <c r="C141" s="2"/>
      <c r="D141" s="1"/>
      <c r="F141" s="1"/>
      <c r="G141" s="1"/>
    </row>
    <row r="142" spans="1:7" x14ac:dyDescent="0.25">
      <c r="A142" s="1"/>
      <c r="B142" s="2"/>
      <c r="C142" s="2"/>
      <c r="D142" s="1"/>
      <c r="F142" s="1"/>
      <c r="G142" s="1"/>
    </row>
    <row r="143" spans="1:7" x14ac:dyDescent="0.25">
      <c r="A143" s="1"/>
      <c r="B143" s="2"/>
      <c r="C143" s="2"/>
      <c r="D143" s="1"/>
      <c r="F143" s="1"/>
      <c r="G143" s="1"/>
    </row>
    <row r="144" spans="1:7" x14ac:dyDescent="0.25">
      <c r="A144" s="1"/>
      <c r="B144" s="2"/>
      <c r="C144" s="2"/>
      <c r="D144" s="1"/>
      <c r="F144" s="1"/>
      <c r="G144" s="1"/>
    </row>
    <row r="145" spans="1:7" x14ac:dyDescent="0.25">
      <c r="A145" s="1"/>
      <c r="B145" s="2"/>
      <c r="C145" s="2"/>
      <c r="D145" s="1"/>
      <c r="F145" s="1"/>
      <c r="G145" s="1"/>
    </row>
    <row r="146" spans="1:7" x14ac:dyDescent="0.25">
      <c r="A146" s="1"/>
      <c r="B146" s="2"/>
      <c r="C146" s="2"/>
      <c r="D146" s="1"/>
      <c r="F146" s="1"/>
      <c r="G146" s="1"/>
    </row>
    <row r="147" spans="1:7" x14ac:dyDescent="0.25">
      <c r="A147" s="1"/>
      <c r="B147" s="2"/>
      <c r="C147" s="2"/>
      <c r="D147" s="1"/>
      <c r="F147" s="1"/>
      <c r="G147" s="1"/>
    </row>
    <row r="148" spans="1:7" x14ac:dyDescent="0.25">
      <c r="A148" s="1"/>
      <c r="B148" s="2"/>
      <c r="C148" s="2"/>
      <c r="D148" s="1"/>
      <c r="F148" s="1"/>
      <c r="G148" s="1"/>
    </row>
    <row r="149" spans="1:7" x14ac:dyDescent="0.25">
      <c r="A149" s="1"/>
      <c r="B149" s="2"/>
      <c r="C149" s="2"/>
      <c r="D149" s="1"/>
      <c r="F149" s="1"/>
      <c r="G149" s="1"/>
    </row>
    <row r="150" spans="1:7" x14ac:dyDescent="0.25">
      <c r="A150" s="1"/>
      <c r="B150" s="2"/>
      <c r="C150" s="2"/>
      <c r="D150" s="1"/>
      <c r="F150" s="1"/>
      <c r="G150" s="1"/>
    </row>
    <row r="151" spans="1:7" x14ac:dyDescent="0.25">
      <c r="A151" s="1"/>
      <c r="B151" s="2"/>
      <c r="C151" s="2"/>
      <c r="D151" s="1"/>
      <c r="F151" s="1"/>
      <c r="G151" s="1"/>
    </row>
    <row r="152" spans="1:7" x14ac:dyDescent="0.25">
      <c r="A152" s="1"/>
      <c r="B152" s="2"/>
      <c r="C152" s="2"/>
      <c r="D152" s="1"/>
      <c r="F152" s="1"/>
      <c r="G152" s="1"/>
    </row>
    <row r="153" spans="1:7" x14ac:dyDescent="0.25">
      <c r="A153" s="1"/>
      <c r="B153" s="2"/>
      <c r="C153" s="2"/>
      <c r="D153" s="1"/>
      <c r="F153" s="1"/>
      <c r="G153" s="1"/>
    </row>
    <row r="154" spans="1:7" x14ac:dyDescent="0.25">
      <c r="A154" s="1"/>
      <c r="B154" s="2"/>
      <c r="C154" s="2"/>
      <c r="D154" s="1"/>
      <c r="F154" s="1"/>
      <c r="G154" s="1"/>
    </row>
    <row r="155" spans="1:7" x14ac:dyDescent="0.25">
      <c r="A155" s="1"/>
      <c r="B155" s="2"/>
      <c r="C155" s="2"/>
      <c r="D155" s="1"/>
      <c r="F155" s="1"/>
      <c r="G155" s="1"/>
    </row>
    <row r="156" spans="1:7" x14ac:dyDescent="0.25">
      <c r="A156" s="1"/>
      <c r="B156" s="2"/>
      <c r="C156" s="2"/>
      <c r="D156" s="1"/>
      <c r="F156" s="1"/>
      <c r="G156" s="1"/>
    </row>
    <row r="157" spans="1:7" x14ac:dyDescent="0.25">
      <c r="A157" s="1"/>
      <c r="B157" s="2"/>
      <c r="C157" s="2"/>
      <c r="D157" s="1"/>
      <c r="F157" s="1"/>
      <c r="G157" s="1"/>
    </row>
    <row r="158" spans="1:7" x14ac:dyDescent="0.25">
      <c r="A158" s="1"/>
      <c r="B158" s="2"/>
      <c r="C158" s="2"/>
      <c r="D158" s="1"/>
      <c r="F158" s="1"/>
      <c r="G158" s="1"/>
    </row>
    <row r="159" spans="1:7" x14ac:dyDescent="0.25">
      <c r="A159" s="1"/>
      <c r="B159" s="2"/>
      <c r="C159" s="2"/>
      <c r="D159" s="1"/>
      <c r="F159" s="1"/>
      <c r="G159" s="1"/>
    </row>
    <row r="160" spans="1:7" x14ac:dyDescent="0.25">
      <c r="A160" s="1"/>
      <c r="B160" s="2"/>
      <c r="C160" s="2"/>
      <c r="D160" s="1"/>
      <c r="F160" s="1"/>
      <c r="G160" s="1"/>
    </row>
    <row r="161" spans="1:7" x14ac:dyDescent="0.25">
      <c r="A161" s="1"/>
      <c r="B161" s="2"/>
      <c r="C161" s="2"/>
      <c r="D161" s="1"/>
      <c r="F161" s="1"/>
      <c r="G161" s="1"/>
    </row>
    <row r="162" spans="1:7" x14ac:dyDescent="0.25">
      <c r="A162" s="1"/>
      <c r="B162" s="2"/>
      <c r="C162" s="2"/>
      <c r="D162" s="1"/>
      <c r="F162" s="1"/>
      <c r="G162" s="1"/>
    </row>
    <row r="163" spans="1:7" x14ac:dyDescent="0.25">
      <c r="A163" s="1"/>
      <c r="B163" s="2"/>
      <c r="C163" s="2"/>
      <c r="D163" s="1"/>
      <c r="F163" s="1"/>
      <c r="G163" s="1"/>
    </row>
    <row r="164" spans="1:7" x14ac:dyDescent="0.25">
      <c r="A164" s="1"/>
      <c r="B164" s="2"/>
      <c r="C164" s="2"/>
      <c r="D164" s="1"/>
      <c r="F164" s="1"/>
      <c r="G164" s="1"/>
    </row>
    <row r="165" spans="1:7" x14ac:dyDescent="0.25">
      <c r="A165" s="1"/>
      <c r="B165" s="2"/>
      <c r="C165" s="2"/>
      <c r="D165" s="1"/>
      <c r="F165" s="1"/>
      <c r="G165" s="1"/>
    </row>
    <row r="166" spans="1:7" x14ac:dyDescent="0.25">
      <c r="A166" s="1"/>
      <c r="B166" s="2"/>
      <c r="C166" s="2"/>
      <c r="D166" s="1"/>
      <c r="F166" s="1"/>
      <c r="G166" s="1"/>
    </row>
    <row r="167" spans="1:7" x14ac:dyDescent="0.25">
      <c r="A167" s="1"/>
      <c r="B167" s="2"/>
      <c r="C167" s="2"/>
      <c r="D167" s="1"/>
      <c r="F167" s="1"/>
      <c r="G167" s="1"/>
    </row>
    <row r="168" spans="1:7" x14ac:dyDescent="0.25">
      <c r="A168" s="1"/>
      <c r="B168" s="2"/>
      <c r="C168" s="2"/>
      <c r="D168" s="1"/>
      <c r="F168" s="1"/>
      <c r="G168" s="1"/>
    </row>
    <row r="169" spans="1:7" x14ac:dyDescent="0.25">
      <c r="A169" s="1"/>
      <c r="B169" s="2"/>
      <c r="C169" s="2"/>
      <c r="D169" s="1"/>
      <c r="F169" s="1"/>
      <c r="G169" s="1"/>
    </row>
    <row r="170" spans="1:7" x14ac:dyDescent="0.25">
      <c r="A170" s="1"/>
      <c r="B170" s="2"/>
      <c r="C170" s="2"/>
      <c r="D170" s="1"/>
      <c r="F170" s="1"/>
      <c r="G170" s="1"/>
    </row>
    <row r="171" spans="1:7" x14ac:dyDescent="0.25">
      <c r="A171" s="1"/>
      <c r="B171" s="2"/>
      <c r="C171" s="2"/>
      <c r="D171" s="1"/>
      <c r="F171" s="1"/>
      <c r="G171" s="1"/>
    </row>
    <row r="172" spans="1:7" x14ac:dyDescent="0.25">
      <c r="A172" s="1"/>
      <c r="B172" s="2"/>
      <c r="C172" s="2"/>
      <c r="D172" s="1"/>
      <c r="F172" s="1"/>
      <c r="G172" s="1"/>
    </row>
    <row r="173" spans="1:7" x14ac:dyDescent="0.25">
      <c r="A173" s="1"/>
      <c r="B173" s="2"/>
      <c r="C173" s="2"/>
      <c r="D173" s="1"/>
      <c r="F173" s="1"/>
      <c r="G173" s="1"/>
    </row>
    <row r="174" spans="1:7" x14ac:dyDescent="0.25">
      <c r="A174" s="1"/>
      <c r="B174" s="2"/>
      <c r="C174" s="2"/>
      <c r="D174" s="1"/>
      <c r="F174" s="1"/>
      <c r="G174" s="1"/>
    </row>
    <row r="175" spans="1:7" x14ac:dyDescent="0.25">
      <c r="A175" s="1"/>
      <c r="B175" s="2"/>
      <c r="C175" s="2"/>
      <c r="D175" s="1"/>
      <c r="F175" s="1"/>
      <c r="G175" s="1"/>
    </row>
    <row r="176" spans="1:7" x14ac:dyDescent="0.25">
      <c r="A176" s="1"/>
      <c r="B176" s="2"/>
      <c r="C176" s="2"/>
      <c r="D176" s="1"/>
      <c r="F176" s="1"/>
      <c r="G176" s="1"/>
    </row>
    <row r="177" spans="1:7" x14ac:dyDescent="0.25">
      <c r="A177" s="1"/>
      <c r="B177" s="2"/>
      <c r="C177" s="2"/>
      <c r="D177" s="1"/>
      <c r="F177" s="1"/>
      <c r="G177" s="1"/>
    </row>
    <row r="178" spans="1:7" x14ac:dyDescent="0.25">
      <c r="A178" s="1"/>
      <c r="B178" s="2"/>
      <c r="C178" s="2"/>
      <c r="D178" s="1"/>
      <c r="F178" s="1"/>
      <c r="G178" s="1"/>
    </row>
    <row r="179" spans="1:7" x14ac:dyDescent="0.25">
      <c r="A179" s="1"/>
      <c r="B179" s="2"/>
      <c r="C179" s="2"/>
      <c r="D179" s="1"/>
      <c r="F179" s="1"/>
      <c r="G179" s="1"/>
    </row>
    <row r="180" spans="1:7" x14ac:dyDescent="0.25">
      <c r="A180" s="1"/>
      <c r="B180" s="2"/>
      <c r="C180" s="2"/>
      <c r="D180" s="1"/>
      <c r="F180" s="1"/>
      <c r="G180" s="1"/>
    </row>
    <row r="181" spans="1:7" x14ac:dyDescent="0.25">
      <c r="A181" s="1"/>
      <c r="B181" s="2"/>
      <c r="C181" s="2"/>
      <c r="D181" s="1"/>
      <c r="F181" s="1"/>
      <c r="G181" s="1"/>
    </row>
    <row r="182" spans="1:7" x14ac:dyDescent="0.25">
      <c r="A182" s="1"/>
      <c r="B182" s="2"/>
      <c r="C182" s="2"/>
      <c r="D182" s="1"/>
      <c r="F182" s="1"/>
      <c r="G182" s="1"/>
    </row>
    <row r="183" spans="1:7" x14ac:dyDescent="0.25">
      <c r="A183" s="1"/>
      <c r="B183" s="2"/>
      <c r="C183" s="2"/>
      <c r="D183" s="1"/>
      <c r="F183" s="1"/>
      <c r="G183" s="1"/>
    </row>
    <row r="184" spans="1:7" x14ac:dyDescent="0.25">
      <c r="A184" s="1"/>
      <c r="B184" s="2"/>
      <c r="C184" s="2"/>
      <c r="D184" s="1"/>
      <c r="F184" s="1"/>
      <c r="G184" s="1"/>
    </row>
    <row r="185" spans="1:7" x14ac:dyDescent="0.25">
      <c r="A185" s="1"/>
      <c r="B185" s="2"/>
      <c r="C185" s="2"/>
      <c r="D185" s="1"/>
      <c r="F185" s="1"/>
      <c r="G185" s="1"/>
    </row>
    <row r="186" spans="1:7" x14ac:dyDescent="0.25">
      <c r="A186" s="1"/>
      <c r="B186" s="2"/>
      <c r="C186" s="2"/>
      <c r="D186" s="1"/>
      <c r="F186" s="1"/>
      <c r="G186" s="1"/>
    </row>
    <row r="187" spans="1:7" x14ac:dyDescent="0.25">
      <c r="A187" s="1"/>
      <c r="B187" s="2"/>
      <c r="C187" s="2"/>
      <c r="D187" s="1"/>
      <c r="F187" s="1"/>
      <c r="G187" s="1"/>
    </row>
    <row r="188" spans="1:7" x14ac:dyDescent="0.25">
      <c r="A188" s="1"/>
      <c r="B188" s="2"/>
      <c r="C188" s="2"/>
      <c r="D188" s="1"/>
      <c r="F188" s="1"/>
      <c r="G188" s="1"/>
    </row>
    <row r="189" spans="1:7" x14ac:dyDescent="0.25">
      <c r="A189" s="1"/>
      <c r="B189" s="2"/>
      <c r="C189" s="2"/>
      <c r="D189" s="1"/>
      <c r="F189" s="1"/>
      <c r="G189" s="1"/>
    </row>
    <row r="190" spans="1:7" x14ac:dyDescent="0.25">
      <c r="A190" s="1"/>
      <c r="B190" s="2"/>
      <c r="C190" s="2"/>
      <c r="D190" s="1"/>
      <c r="F190" s="1"/>
      <c r="G190" s="1"/>
    </row>
    <row r="191" spans="1:7" x14ac:dyDescent="0.25">
      <c r="A191" s="1"/>
      <c r="B191" s="2"/>
      <c r="C191" s="2"/>
      <c r="D191" s="1"/>
      <c r="F191" s="1"/>
      <c r="G191" s="1"/>
    </row>
    <row r="192" spans="1:7" x14ac:dyDescent="0.25">
      <c r="A192" s="1"/>
      <c r="B192" s="2"/>
      <c r="C192" s="2"/>
      <c r="D192" s="1"/>
      <c r="F192" s="1"/>
      <c r="G192" s="1"/>
    </row>
    <row r="193" spans="1:7" x14ac:dyDescent="0.25">
      <c r="A193" s="1"/>
      <c r="B193" s="2"/>
      <c r="C193" s="2"/>
      <c r="D193" s="1"/>
      <c r="F193" s="1"/>
      <c r="G193" s="1"/>
    </row>
    <row r="194" spans="1:7" x14ac:dyDescent="0.25">
      <c r="A194" s="1"/>
      <c r="B194" s="2"/>
      <c r="C194" s="2"/>
      <c r="D194" s="1"/>
      <c r="F194" s="1"/>
      <c r="G194" s="1"/>
    </row>
    <row r="195" spans="1:7" x14ac:dyDescent="0.25">
      <c r="A195" s="1"/>
      <c r="B195" s="2"/>
      <c r="C195" s="2"/>
      <c r="D195" s="1"/>
      <c r="F195" s="1"/>
      <c r="G195" s="1"/>
    </row>
    <row r="196" spans="1:7" x14ac:dyDescent="0.25">
      <c r="A196" s="1"/>
      <c r="B196" s="2"/>
      <c r="C196" s="2"/>
      <c r="D196" s="1"/>
      <c r="F196" s="1"/>
      <c r="G196" s="1"/>
    </row>
    <row r="197" spans="1:7" x14ac:dyDescent="0.25">
      <c r="A197" s="1"/>
      <c r="B197" s="2"/>
      <c r="C197" s="2"/>
      <c r="D197" s="1"/>
      <c r="F197" s="1"/>
      <c r="G197" s="1"/>
    </row>
    <row r="198" spans="1:7" x14ac:dyDescent="0.25">
      <c r="A198" s="1"/>
      <c r="B198" s="2"/>
      <c r="C198" s="2"/>
      <c r="D198" s="1"/>
      <c r="F198" s="1"/>
      <c r="G198" s="1"/>
    </row>
    <row r="199" spans="1:7" x14ac:dyDescent="0.25">
      <c r="A199" s="1"/>
      <c r="B199" s="2"/>
      <c r="C199" s="2"/>
      <c r="D199" s="1"/>
      <c r="F199" s="1"/>
      <c r="G199" s="1"/>
    </row>
    <row r="200" spans="1:7" x14ac:dyDescent="0.25">
      <c r="A200" s="1"/>
      <c r="B200" s="2"/>
      <c r="C200" s="2"/>
      <c r="D200" s="1"/>
      <c r="F200" s="1"/>
      <c r="G200" s="1"/>
    </row>
    <row r="201" spans="1:7" x14ac:dyDescent="0.25">
      <c r="A201" s="1"/>
      <c r="B201" s="2"/>
      <c r="C201" s="2"/>
      <c r="D201" s="1"/>
      <c r="F201" s="1"/>
      <c r="G201" s="1"/>
    </row>
    <row r="202" spans="1:7" x14ac:dyDescent="0.25">
      <c r="A202" s="1"/>
      <c r="B202" s="2"/>
      <c r="C202" s="2"/>
      <c r="D202" s="1"/>
      <c r="F202" s="1"/>
      <c r="G202" s="1"/>
    </row>
    <row r="203" spans="1:7" x14ac:dyDescent="0.25">
      <c r="A203" s="1"/>
      <c r="B203" s="2"/>
      <c r="C203" s="2"/>
      <c r="D203" s="1"/>
      <c r="F203" s="1"/>
      <c r="G203" s="1"/>
    </row>
    <row r="204" spans="1:7" x14ac:dyDescent="0.25">
      <c r="A204" s="1"/>
      <c r="B204" s="2"/>
      <c r="C204" s="2"/>
      <c r="D204" s="1"/>
      <c r="F204" s="1"/>
      <c r="G204" s="1"/>
    </row>
    <row r="205" spans="1:7" x14ac:dyDescent="0.25">
      <c r="A205" s="1"/>
      <c r="B205" s="2"/>
      <c r="C205" s="2"/>
      <c r="D205" s="1"/>
      <c r="F205" s="1"/>
      <c r="G205" s="1"/>
    </row>
    <row r="206" spans="1:7" x14ac:dyDescent="0.25">
      <c r="A206" s="1"/>
      <c r="B206" s="2"/>
      <c r="C206" s="2"/>
      <c r="D206" s="1"/>
      <c r="F206" s="1"/>
      <c r="G206" s="1"/>
    </row>
    <row r="207" spans="1:7" x14ac:dyDescent="0.25">
      <c r="A207" s="1"/>
      <c r="B207" s="2"/>
      <c r="C207" s="2"/>
      <c r="D207" s="1"/>
      <c r="F207" s="1"/>
      <c r="G207" s="1"/>
    </row>
    <row r="208" spans="1:7" x14ac:dyDescent="0.25">
      <c r="A208" s="1"/>
      <c r="B208" s="2"/>
      <c r="C208" s="2"/>
      <c r="D208" s="1"/>
      <c r="F208" s="1"/>
      <c r="G208" s="1"/>
    </row>
    <row r="209" spans="1:7" x14ac:dyDescent="0.25">
      <c r="A209" s="1"/>
      <c r="B209" s="2"/>
      <c r="C209" s="2"/>
      <c r="D209" s="1"/>
      <c r="F209" s="1"/>
      <c r="G209" s="1"/>
    </row>
    <row r="210" spans="1:7" x14ac:dyDescent="0.25">
      <c r="A210" s="1"/>
      <c r="B210" s="2"/>
      <c r="C210" s="2"/>
      <c r="D210" s="1"/>
      <c r="F210" s="1"/>
      <c r="G210" s="1"/>
    </row>
    <row r="211" spans="1:7" x14ac:dyDescent="0.25">
      <c r="A211" s="1"/>
      <c r="B211" s="2"/>
      <c r="C211" s="2"/>
      <c r="D211" s="1"/>
      <c r="F211" s="1"/>
      <c r="G211" s="1"/>
    </row>
    <row r="212" spans="1:7" x14ac:dyDescent="0.25">
      <c r="A212" s="1"/>
      <c r="B212" s="2"/>
      <c r="C212" s="2"/>
      <c r="D212" s="1"/>
      <c r="F212" s="1"/>
      <c r="G212" s="1"/>
    </row>
    <row r="213" spans="1:7" x14ac:dyDescent="0.25">
      <c r="A213" s="1"/>
      <c r="B213" s="2"/>
      <c r="C213" s="2"/>
      <c r="D213" s="1"/>
      <c r="F213" s="1"/>
      <c r="G213" s="1"/>
    </row>
    <row r="214" spans="1:7" x14ac:dyDescent="0.25">
      <c r="A214" s="1"/>
      <c r="B214" s="2"/>
      <c r="C214" s="2"/>
      <c r="D214" s="1"/>
      <c r="F214" s="1"/>
      <c r="G214" s="1"/>
    </row>
    <row r="215" spans="1:7" x14ac:dyDescent="0.25">
      <c r="A215" s="1"/>
      <c r="B215" s="2"/>
      <c r="C215" s="2"/>
      <c r="D215" s="1"/>
      <c r="F215" s="1"/>
      <c r="G215" s="1"/>
    </row>
    <row r="216" spans="1:7" x14ac:dyDescent="0.25">
      <c r="A216" s="1"/>
      <c r="B216" s="2"/>
      <c r="C216" s="2"/>
      <c r="D216" s="1"/>
      <c r="F216" s="1"/>
      <c r="G216" s="1"/>
    </row>
    <row r="217" spans="1:7" x14ac:dyDescent="0.25">
      <c r="A217" s="1"/>
      <c r="B217" s="2"/>
      <c r="C217" s="2"/>
      <c r="D217" s="1"/>
      <c r="F217" s="1"/>
      <c r="G217" s="1"/>
    </row>
    <row r="218" spans="1:7" x14ac:dyDescent="0.25">
      <c r="A218" s="1"/>
      <c r="B218" s="2"/>
      <c r="C218" s="2"/>
      <c r="D218" s="1"/>
      <c r="F218" s="1"/>
      <c r="G218" s="1"/>
    </row>
    <row r="219" spans="1:7" x14ac:dyDescent="0.25">
      <c r="A219" s="1"/>
      <c r="B219" s="2"/>
      <c r="C219" s="2"/>
      <c r="D219" s="1"/>
      <c r="F219" s="1"/>
      <c r="G219" s="1"/>
    </row>
    <row r="220" spans="1:7" x14ac:dyDescent="0.25">
      <c r="A220" s="1"/>
      <c r="B220" s="2"/>
      <c r="C220" s="2"/>
      <c r="D220" s="1"/>
      <c r="F220" s="1"/>
      <c r="G220" s="1"/>
    </row>
    <row r="221" spans="1:7" x14ac:dyDescent="0.25">
      <c r="A221" s="1"/>
      <c r="B221" s="2"/>
      <c r="C221" s="2"/>
      <c r="D221" s="1"/>
      <c r="F221" s="1"/>
      <c r="G221" s="1"/>
    </row>
    <row r="222" spans="1:7" x14ac:dyDescent="0.25">
      <c r="A222" s="1"/>
      <c r="B222" s="2"/>
      <c r="C222" s="2"/>
      <c r="D222" s="1"/>
      <c r="F222" s="1"/>
      <c r="G222" s="1"/>
    </row>
    <row r="223" spans="1:7" x14ac:dyDescent="0.25">
      <c r="A223" s="1"/>
      <c r="B223" s="2"/>
      <c r="C223" s="2"/>
      <c r="D223" s="1"/>
      <c r="F223" s="1"/>
      <c r="G223" s="1"/>
    </row>
    <row r="224" spans="1:7" x14ac:dyDescent="0.25">
      <c r="A224" s="1"/>
      <c r="B224" s="2"/>
      <c r="C224" s="2"/>
      <c r="D224" s="1"/>
      <c r="F224" s="1"/>
      <c r="G224" s="1"/>
    </row>
    <row r="225" spans="1:7" x14ac:dyDescent="0.25">
      <c r="A225" s="1"/>
      <c r="B225" s="2"/>
      <c r="C225" s="2"/>
      <c r="D225" s="1"/>
      <c r="F225" s="1"/>
      <c r="G225" s="1"/>
    </row>
    <row r="226" spans="1:7" x14ac:dyDescent="0.25">
      <c r="A226" s="1"/>
      <c r="B226" s="2"/>
      <c r="C226" s="2"/>
      <c r="D226" s="1"/>
      <c r="F226" s="1"/>
      <c r="G226" s="1"/>
    </row>
    <row r="227" spans="1:7" x14ac:dyDescent="0.25">
      <c r="A227" s="1"/>
      <c r="B227" s="2"/>
      <c r="C227" s="2"/>
      <c r="D227" s="1"/>
      <c r="F227" s="1"/>
      <c r="G227" s="1"/>
    </row>
    <row r="228" spans="1:7" x14ac:dyDescent="0.25">
      <c r="A228" s="1"/>
      <c r="B228" s="2"/>
      <c r="C228" s="2"/>
      <c r="D228" s="1"/>
      <c r="F228" s="1"/>
      <c r="G228" s="1"/>
    </row>
    <row r="229" spans="1:7" x14ac:dyDescent="0.25">
      <c r="A229" s="1"/>
      <c r="B229" s="2"/>
      <c r="C229" s="2"/>
      <c r="D229" s="1"/>
      <c r="F229" s="1"/>
      <c r="G229" s="1"/>
    </row>
    <row r="230" spans="1:7" x14ac:dyDescent="0.25">
      <c r="A230" s="1"/>
      <c r="B230" s="2"/>
      <c r="C230" s="2"/>
      <c r="D230" s="1"/>
      <c r="F230" s="1"/>
      <c r="G230" s="1"/>
    </row>
    <row r="231" spans="1:7" x14ac:dyDescent="0.25">
      <c r="A231" s="1"/>
      <c r="B231" s="2"/>
      <c r="C231" s="2"/>
      <c r="D231" s="1"/>
      <c r="F231" s="1"/>
      <c r="G231" s="1"/>
    </row>
    <row r="232" spans="1:7" x14ac:dyDescent="0.25">
      <c r="A232" s="1"/>
      <c r="B232" s="2"/>
      <c r="C232" s="2"/>
      <c r="D232" s="1"/>
      <c r="F232" s="1"/>
      <c r="G232" s="1"/>
    </row>
    <row r="233" spans="1:7" x14ac:dyDescent="0.25">
      <c r="A233" s="1"/>
      <c r="B233" s="2"/>
      <c r="C233" s="2"/>
      <c r="D233" s="1"/>
      <c r="F233" s="1"/>
      <c r="G233" s="1"/>
    </row>
    <row r="234" spans="1:7" x14ac:dyDescent="0.25">
      <c r="A234" s="1"/>
      <c r="B234" s="2"/>
      <c r="C234" s="2"/>
      <c r="D234" s="1"/>
      <c r="F234" s="1"/>
      <c r="G234" s="1"/>
    </row>
    <row r="235" spans="1:7" x14ac:dyDescent="0.25">
      <c r="A235" s="1"/>
      <c r="B235" s="2"/>
      <c r="C235" s="2"/>
      <c r="D235" s="1"/>
      <c r="F235" s="1"/>
      <c r="G235" s="1"/>
    </row>
    <row r="236" spans="1:7" x14ac:dyDescent="0.25">
      <c r="A236" s="1"/>
      <c r="B236" s="2"/>
      <c r="C236" s="2"/>
      <c r="D236" s="1"/>
      <c r="F236" s="1"/>
      <c r="G236" s="1"/>
    </row>
    <row r="237" spans="1:7" x14ac:dyDescent="0.25">
      <c r="A237" s="1"/>
      <c r="B237" s="2"/>
      <c r="C237" s="2"/>
      <c r="D237" s="1"/>
      <c r="F237" s="1"/>
      <c r="G237" s="1"/>
    </row>
    <row r="238" spans="1:7" x14ac:dyDescent="0.25">
      <c r="A238" s="1"/>
      <c r="B238" s="2"/>
      <c r="C238" s="2"/>
      <c r="D238" s="1"/>
      <c r="F238" s="1"/>
      <c r="G238" s="1"/>
    </row>
    <row r="239" spans="1:7" x14ac:dyDescent="0.25">
      <c r="A239" s="1"/>
      <c r="B239" s="2"/>
      <c r="C239" s="2"/>
      <c r="D239" s="1"/>
      <c r="F239" s="1"/>
      <c r="G239" s="1"/>
    </row>
    <row r="240" spans="1:7" x14ac:dyDescent="0.25">
      <c r="A240" s="1"/>
      <c r="B240" s="2"/>
      <c r="C240" s="2"/>
      <c r="D240" s="1"/>
      <c r="F240" s="1"/>
      <c r="G240" s="1"/>
    </row>
    <row r="241" spans="1:7" x14ac:dyDescent="0.25">
      <c r="A241" s="1"/>
      <c r="B241" s="2"/>
      <c r="C241" s="2"/>
      <c r="D241" s="1"/>
      <c r="F241" s="1"/>
      <c r="G241" s="1"/>
    </row>
    <row r="242" spans="1:7" x14ac:dyDescent="0.25">
      <c r="A242" s="1"/>
      <c r="B242" s="2"/>
      <c r="C242" s="2"/>
      <c r="D242" s="1"/>
      <c r="F242" s="1"/>
      <c r="G242" s="1"/>
    </row>
    <row r="243" spans="1:7" x14ac:dyDescent="0.25">
      <c r="A243" s="1"/>
      <c r="B243" s="2"/>
      <c r="C243" s="2"/>
      <c r="D243" s="1"/>
      <c r="F243" s="1"/>
      <c r="G243" s="1"/>
    </row>
    <row r="244" spans="1:7" x14ac:dyDescent="0.25">
      <c r="A244" s="1"/>
      <c r="B244" s="2"/>
      <c r="C244" s="2"/>
      <c r="D244" s="1"/>
      <c r="F244" s="1"/>
      <c r="G244" s="1"/>
    </row>
    <row r="245" spans="1:7" x14ac:dyDescent="0.25">
      <c r="A245" s="1"/>
      <c r="B245" s="2"/>
      <c r="C245" s="2"/>
      <c r="D245" s="1"/>
      <c r="F245" s="1"/>
      <c r="G245" s="1"/>
    </row>
    <row r="246" spans="1:7" x14ac:dyDescent="0.25">
      <c r="A246" s="1"/>
      <c r="B246" s="2"/>
      <c r="C246" s="2"/>
      <c r="D246" s="1"/>
      <c r="F246" s="1"/>
      <c r="G246" s="1"/>
    </row>
    <row r="247" spans="1:7" x14ac:dyDescent="0.25">
      <c r="A247" s="1"/>
      <c r="B247" s="2"/>
      <c r="C247" s="2"/>
      <c r="D247" s="1"/>
      <c r="F247" s="1"/>
      <c r="G247" s="1"/>
    </row>
    <row r="248" spans="1:7" x14ac:dyDescent="0.25">
      <c r="A248" s="1"/>
      <c r="B248" s="2"/>
      <c r="C248" s="2"/>
      <c r="D248" s="1"/>
      <c r="F248" s="1"/>
      <c r="G248" s="1"/>
    </row>
    <row r="249" spans="1:7" x14ac:dyDescent="0.25">
      <c r="A249" s="1"/>
      <c r="B249" s="2"/>
      <c r="C249" s="2"/>
      <c r="D249" s="1"/>
      <c r="F249" s="1"/>
      <c r="G249" s="1"/>
    </row>
    <row r="250" spans="1:7" x14ac:dyDescent="0.25">
      <c r="A250" s="1"/>
      <c r="B250" s="2"/>
      <c r="C250" s="2"/>
      <c r="D250" s="1"/>
      <c r="F250" s="1"/>
      <c r="G250" s="1"/>
    </row>
    <row r="251" spans="1:7" x14ac:dyDescent="0.25">
      <c r="A251" s="1"/>
      <c r="B251" s="2"/>
      <c r="C251" s="2"/>
      <c r="D251" s="1"/>
      <c r="F251" s="1"/>
      <c r="G251" s="1"/>
    </row>
    <row r="252" spans="1:7" x14ac:dyDescent="0.25">
      <c r="A252" s="1"/>
      <c r="B252" s="2"/>
      <c r="C252" s="2"/>
      <c r="D252" s="1"/>
      <c r="F252" s="1"/>
      <c r="G252" s="1"/>
    </row>
    <row r="253" spans="1:7" x14ac:dyDescent="0.25">
      <c r="A253" s="1"/>
      <c r="B253" s="2"/>
      <c r="C253" s="2"/>
      <c r="D253" s="1"/>
      <c r="F253" s="1"/>
      <c r="G253" s="1"/>
    </row>
    <row r="254" spans="1:7" x14ac:dyDescent="0.25">
      <c r="A254" s="1"/>
      <c r="B254" s="2"/>
      <c r="C254" s="2"/>
      <c r="D254" s="1"/>
      <c r="F254" s="1"/>
      <c r="G254" s="1"/>
    </row>
    <row r="255" spans="1:7" x14ac:dyDescent="0.25">
      <c r="A255" s="1"/>
      <c r="B255" s="2"/>
      <c r="C255" s="2"/>
      <c r="D255" s="1"/>
      <c r="F255" s="1"/>
      <c r="G255" s="1"/>
    </row>
    <row r="256" spans="1:7" x14ac:dyDescent="0.25">
      <c r="A256" s="1"/>
      <c r="B256" s="2"/>
      <c r="C256" s="2"/>
      <c r="D256" s="1"/>
      <c r="F256" s="1"/>
      <c r="G256" s="1"/>
    </row>
    <row r="257" spans="1:7" x14ac:dyDescent="0.25">
      <c r="A257" s="1"/>
      <c r="B257" s="2"/>
      <c r="C257" s="2"/>
      <c r="D257" s="1"/>
      <c r="F257" s="1"/>
      <c r="G257" s="1"/>
    </row>
    <row r="258" spans="1:7" x14ac:dyDescent="0.25">
      <c r="A258" s="1"/>
      <c r="B258" s="2"/>
      <c r="C258" s="2"/>
      <c r="D258" s="1"/>
      <c r="F258" s="1"/>
      <c r="G258" s="1"/>
    </row>
    <row r="259" spans="1:7" x14ac:dyDescent="0.25">
      <c r="A259" s="1"/>
      <c r="B259" s="2"/>
      <c r="C259" s="2"/>
      <c r="D259" s="1"/>
      <c r="F259" s="1"/>
      <c r="G259" s="1"/>
    </row>
    <row r="260" spans="1:7" x14ac:dyDescent="0.25">
      <c r="A260" s="1"/>
      <c r="B260" s="2"/>
      <c r="C260" s="2"/>
      <c r="D260" s="1"/>
      <c r="F260" s="1"/>
      <c r="G260" s="1"/>
    </row>
    <row r="261" spans="1:7" x14ac:dyDescent="0.25">
      <c r="A261" s="1"/>
      <c r="B261" s="2"/>
      <c r="C261" s="2"/>
      <c r="D261" s="1"/>
      <c r="F261" s="1"/>
      <c r="G261" s="1"/>
    </row>
    <row r="262" spans="1:7" x14ac:dyDescent="0.25">
      <c r="A262" s="1"/>
      <c r="B262" s="2"/>
      <c r="C262" s="2"/>
      <c r="D262" s="1"/>
      <c r="F262" s="1"/>
      <c r="G262" s="1"/>
    </row>
    <row r="263" spans="1:7" x14ac:dyDescent="0.25">
      <c r="A263" s="1"/>
      <c r="B263" s="2"/>
      <c r="C263" s="2"/>
      <c r="D263" s="1"/>
      <c r="F263" s="1"/>
      <c r="G263" s="1"/>
    </row>
    <row r="264" spans="1:7" x14ac:dyDescent="0.25">
      <c r="A264" s="1"/>
      <c r="B264" s="2"/>
      <c r="C264" s="2"/>
      <c r="D264" s="1"/>
      <c r="F264" s="1"/>
      <c r="G264" s="1"/>
    </row>
    <row r="265" spans="1:7" x14ac:dyDescent="0.25">
      <c r="A265" s="1"/>
      <c r="B265" s="2"/>
      <c r="C265" s="2"/>
      <c r="D265" s="1"/>
      <c r="F265" s="1"/>
      <c r="G265" s="1"/>
    </row>
    <row r="266" spans="1:7" x14ac:dyDescent="0.25">
      <c r="A266" s="1"/>
      <c r="B266" s="2"/>
      <c r="C266" s="2"/>
      <c r="D266" s="1"/>
      <c r="F266" s="1"/>
      <c r="G266" s="1"/>
    </row>
    <row r="267" spans="1:7" x14ac:dyDescent="0.25">
      <c r="A267" s="1"/>
      <c r="B267" s="2"/>
      <c r="C267" s="2"/>
      <c r="D267" s="1"/>
      <c r="F267" s="1"/>
      <c r="G267" s="1"/>
    </row>
    <row r="268" spans="1:7" x14ac:dyDescent="0.25">
      <c r="A268" s="1"/>
      <c r="B268" s="2"/>
      <c r="C268" s="2"/>
      <c r="D268" s="1"/>
      <c r="F268" s="1"/>
      <c r="G268" s="1"/>
    </row>
    <row r="269" spans="1:7" x14ac:dyDescent="0.25">
      <c r="A269" s="1"/>
      <c r="B269" s="2"/>
      <c r="C269" s="2"/>
      <c r="D269" s="1"/>
      <c r="F269" s="1"/>
      <c r="G269" s="1"/>
    </row>
    <row r="270" spans="1:7" x14ac:dyDescent="0.25">
      <c r="A270" s="1"/>
      <c r="B270" s="2"/>
      <c r="C270" s="2"/>
      <c r="D270" s="1"/>
      <c r="F270" s="1"/>
      <c r="G270" s="1"/>
    </row>
    <row r="271" spans="1:7" x14ac:dyDescent="0.25">
      <c r="A271" s="1"/>
      <c r="B271" s="2"/>
      <c r="C271" s="2"/>
      <c r="D271" s="1"/>
      <c r="F271" s="1"/>
      <c r="G271" s="1"/>
    </row>
    <row r="272" spans="1:7" x14ac:dyDescent="0.25">
      <c r="A272" s="1"/>
      <c r="B272" s="2"/>
      <c r="C272" s="2"/>
      <c r="D272" s="1"/>
      <c r="F272" s="1"/>
      <c r="G272" s="1"/>
    </row>
    <row r="273" spans="1:7" x14ac:dyDescent="0.25">
      <c r="A273" s="1"/>
      <c r="B273" s="2"/>
      <c r="C273" s="2"/>
      <c r="D273" s="1"/>
      <c r="F273" s="1"/>
      <c r="G273" s="1"/>
    </row>
    <row r="274" spans="1:7" x14ac:dyDescent="0.25">
      <c r="A274" s="1"/>
      <c r="B274" s="2"/>
      <c r="C274" s="2"/>
      <c r="D274" s="1"/>
      <c r="F274" s="1"/>
      <c r="G274" s="1"/>
    </row>
    <row r="275" spans="1:7" x14ac:dyDescent="0.25">
      <c r="A275" s="1"/>
      <c r="B275" s="2"/>
      <c r="C275" s="2"/>
      <c r="D275" s="1"/>
      <c r="F275" s="1"/>
      <c r="G275" s="1"/>
    </row>
    <row r="276" spans="1:7" x14ac:dyDescent="0.25">
      <c r="A276" s="1"/>
      <c r="B276" s="2"/>
      <c r="C276" s="2"/>
      <c r="D276" s="1"/>
      <c r="F276" s="1"/>
      <c r="G276" s="1"/>
    </row>
    <row r="277" spans="1:7" x14ac:dyDescent="0.25">
      <c r="A277" s="1"/>
      <c r="B277" s="2"/>
      <c r="C277" s="2"/>
      <c r="D277" s="1"/>
      <c r="F277" s="1"/>
      <c r="G277" s="1"/>
    </row>
    <row r="278" spans="1:7" x14ac:dyDescent="0.25">
      <c r="A278" s="1"/>
      <c r="B278" s="2"/>
      <c r="C278" s="2"/>
      <c r="D278" s="1"/>
      <c r="F278" s="1"/>
      <c r="G278" s="1"/>
    </row>
    <row r="279" spans="1:7" x14ac:dyDescent="0.25">
      <c r="A279" s="1"/>
      <c r="B279" s="2"/>
      <c r="C279" s="2"/>
      <c r="D279" s="1"/>
      <c r="F279" s="1"/>
      <c r="G279" s="1"/>
    </row>
    <row r="280" spans="1:7" x14ac:dyDescent="0.25">
      <c r="A280" s="1"/>
      <c r="B280" s="2"/>
      <c r="C280" s="2"/>
      <c r="D280" s="1"/>
      <c r="F280" s="1"/>
      <c r="G280" s="1"/>
    </row>
    <row r="281" spans="1:7" x14ac:dyDescent="0.25">
      <c r="A281" s="1"/>
      <c r="B281" s="2"/>
      <c r="C281" s="2"/>
      <c r="D281" s="1"/>
      <c r="F281" s="1"/>
      <c r="G281" s="1"/>
    </row>
    <row r="282" spans="1:7" x14ac:dyDescent="0.25">
      <c r="A282" s="1"/>
      <c r="B282" s="2"/>
      <c r="C282" s="2"/>
      <c r="D282" s="1"/>
      <c r="F282" s="1"/>
      <c r="G282" s="1"/>
    </row>
    <row r="283" spans="1:7" x14ac:dyDescent="0.25">
      <c r="A283" s="1"/>
      <c r="B283" s="2"/>
      <c r="C283" s="2"/>
      <c r="D283" s="1"/>
      <c r="F283" s="1"/>
      <c r="G283" s="1"/>
    </row>
    <row r="284" spans="1:7" x14ac:dyDescent="0.25">
      <c r="A284" s="1"/>
      <c r="B284" s="2"/>
      <c r="C284" s="2"/>
      <c r="D284" s="1"/>
      <c r="F284" s="1"/>
      <c r="G284" s="1"/>
    </row>
    <row r="285" spans="1:7" x14ac:dyDescent="0.25">
      <c r="A285" s="1"/>
      <c r="B285" s="2"/>
      <c r="C285" s="2"/>
      <c r="D285" s="1"/>
      <c r="F285" s="1"/>
      <c r="G285" s="1"/>
    </row>
    <row r="286" spans="1:7" x14ac:dyDescent="0.25">
      <c r="A286" s="1"/>
      <c r="B286" s="2"/>
      <c r="C286" s="2"/>
      <c r="D286" s="1"/>
      <c r="F286" s="1"/>
      <c r="G286" s="1"/>
    </row>
    <row r="287" spans="1:7" x14ac:dyDescent="0.25">
      <c r="A287" s="1"/>
      <c r="B287" s="2"/>
      <c r="C287" s="2"/>
      <c r="D287" s="1"/>
      <c r="F287" s="1"/>
      <c r="G287" s="1"/>
    </row>
    <row r="288" spans="1:7" x14ac:dyDescent="0.25">
      <c r="A288" s="1"/>
      <c r="B288" s="2"/>
      <c r="C288" s="2"/>
      <c r="D288" s="1"/>
      <c r="F288" s="1"/>
      <c r="G288" s="1"/>
    </row>
    <row r="289" spans="1:7" x14ac:dyDescent="0.25">
      <c r="A289" s="1"/>
      <c r="B289" s="2"/>
      <c r="C289" s="2"/>
      <c r="D289" s="1"/>
      <c r="F289" s="1"/>
      <c r="G289" s="1"/>
    </row>
    <row r="290" spans="1:7" x14ac:dyDescent="0.25">
      <c r="A290" s="1"/>
      <c r="B290" s="2"/>
      <c r="C290" s="2"/>
      <c r="D290" s="1"/>
      <c r="F290" s="1"/>
      <c r="G290" s="1"/>
    </row>
    <row r="291" spans="1:7" x14ac:dyDescent="0.25">
      <c r="A291" s="1"/>
      <c r="B291" s="2"/>
      <c r="C291" s="2"/>
      <c r="D291" s="1"/>
      <c r="F291" s="1"/>
      <c r="G291" s="1"/>
    </row>
    <row r="292" spans="1:7" x14ac:dyDescent="0.25">
      <c r="A292" s="1"/>
      <c r="B292" s="2"/>
      <c r="C292" s="2"/>
      <c r="D292" s="1"/>
      <c r="F292" s="1"/>
      <c r="G292" s="1"/>
    </row>
    <row r="293" spans="1:7" x14ac:dyDescent="0.25">
      <c r="A293" s="1"/>
      <c r="B293" s="2"/>
      <c r="C293" s="2"/>
      <c r="D293" s="1"/>
      <c r="F293" s="1"/>
      <c r="G293" s="1"/>
    </row>
    <row r="294" spans="1:7" x14ac:dyDescent="0.25">
      <c r="A294" s="1"/>
      <c r="B294" s="2"/>
      <c r="C294" s="2"/>
      <c r="D294" s="1"/>
      <c r="F294" s="1"/>
      <c r="G294" s="1"/>
    </row>
    <row r="295" spans="1:7" x14ac:dyDescent="0.25">
      <c r="A295" s="1"/>
      <c r="B295" s="2"/>
      <c r="C295" s="2"/>
      <c r="D295" s="1"/>
      <c r="F295" s="1"/>
      <c r="G295" s="1"/>
    </row>
    <row r="296" spans="1:7" x14ac:dyDescent="0.25">
      <c r="A296" s="1"/>
      <c r="B296" s="2"/>
      <c r="C296" s="2"/>
      <c r="D296" s="1"/>
      <c r="F296" s="1"/>
      <c r="G296" s="1"/>
    </row>
    <row r="297" spans="1:7" x14ac:dyDescent="0.25">
      <c r="A297" s="1"/>
      <c r="B297" s="2"/>
      <c r="C297" s="2"/>
      <c r="D297" s="1"/>
      <c r="F297" s="1"/>
      <c r="G297" s="1"/>
    </row>
    <row r="298" spans="1:7" x14ac:dyDescent="0.25">
      <c r="A298" s="1"/>
      <c r="B298" s="2"/>
      <c r="C298" s="2"/>
      <c r="D298" s="1"/>
      <c r="F298" s="1"/>
      <c r="G298" s="1"/>
    </row>
    <row r="299" spans="1:7" x14ac:dyDescent="0.25">
      <c r="A299" s="1"/>
      <c r="B299" s="2"/>
      <c r="C299" s="2"/>
      <c r="D299" s="1"/>
      <c r="F299" s="1"/>
      <c r="G299" s="1"/>
    </row>
    <row r="300" spans="1:7" x14ac:dyDescent="0.25">
      <c r="A300" s="1"/>
      <c r="B300" s="2"/>
      <c r="C300" s="2"/>
      <c r="D300" s="1"/>
      <c r="F300" s="1"/>
      <c r="G300" s="1"/>
    </row>
    <row r="301" spans="1:7" x14ac:dyDescent="0.25">
      <c r="A301" s="1"/>
      <c r="B301" s="2"/>
      <c r="C301" s="2"/>
      <c r="D301" s="1"/>
      <c r="F301" s="1"/>
      <c r="G301" s="1"/>
    </row>
    <row r="302" spans="1:7" x14ac:dyDescent="0.25">
      <c r="A302" s="1"/>
      <c r="B302" s="2"/>
      <c r="C302" s="2"/>
      <c r="D302" s="1"/>
      <c r="F302" s="1"/>
      <c r="G302" s="1"/>
    </row>
    <row r="303" spans="1:7" x14ac:dyDescent="0.25">
      <c r="A303" s="1"/>
      <c r="B303" s="2"/>
      <c r="C303" s="2"/>
      <c r="D303" s="1"/>
      <c r="F303" s="1"/>
      <c r="G303" s="1"/>
    </row>
    <row r="304" spans="1:7" x14ac:dyDescent="0.25">
      <c r="A304" s="1"/>
      <c r="B304" s="2"/>
      <c r="C304" s="2"/>
      <c r="D304" s="1"/>
      <c r="F304" s="1"/>
      <c r="G304" s="1"/>
    </row>
    <row r="305" spans="1:7" x14ac:dyDescent="0.25">
      <c r="A305" s="1"/>
      <c r="B305" s="2"/>
      <c r="C305" s="2"/>
      <c r="D305" s="1"/>
      <c r="F305" s="1"/>
      <c r="G305" s="1"/>
    </row>
    <row r="306" spans="1:7" x14ac:dyDescent="0.25">
      <c r="A306" s="1"/>
      <c r="B306" s="2"/>
      <c r="C306" s="2"/>
      <c r="D306" s="1"/>
      <c r="F306" s="1"/>
      <c r="G306" s="1"/>
    </row>
    <row r="307" spans="1:7" x14ac:dyDescent="0.25">
      <c r="A307" s="1"/>
      <c r="B307" s="2"/>
      <c r="C307" s="2"/>
      <c r="D307" s="1"/>
      <c r="F307" s="1"/>
      <c r="G307" s="1"/>
    </row>
    <row r="308" spans="1:7" x14ac:dyDescent="0.25">
      <c r="A308" s="1"/>
      <c r="B308" s="2"/>
      <c r="C308" s="2"/>
      <c r="D308" s="1"/>
      <c r="F308" s="1"/>
      <c r="G308" s="1"/>
    </row>
    <row r="309" spans="1:7" x14ac:dyDescent="0.25">
      <c r="A309" s="1"/>
      <c r="B309" s="2"/>
      <c r="C309" s="2"/>
      <c r="D309" s="1"/>
      <c r="F309" s="1"/>
      <c r="G309" s="1"/>
    </row>
    <row r="310" spans="1:7" x14ac:dyDescent="0.25">
      <c r="A310" s="1"/>
      <c r="B310" s="2"/>
      <c r="C310" s="2"/>
      <c r="D310" s="1"/>
      <c r="F310" s="1"/>
      <c r="G310" s="1"/>
    </row>
    <row r="311" spans="1:7" x14ac:dyDescent="0.25">
      <c r="A311" s="1"/>
      <c r="B311" s="2"/>
      <c r="C311" s="2"/>
      <c r="D311" s="1"/>
      <c r="F311" s="1"/>
      <c r="G311" s="1"/>
    </row>
    <row r="312" spans="1:7" x14ac:dyDescent="0.25">
      <c r="A312" s="1"/>
      <c r="B312" s="2"/>
      <c r="C312" s="2"/>
      <c r="D312" s="1"/>
      <c r="F312" s="1"/>
      <c r="G312" s="1"/>
    </row>
    <row r="313" spans="1:7" x14ac:dyDescent="0.25">
      <c r="A313" s="1"/>
      <c r="B313" s="2"/>
      <c r="C313" s="2"/>
      <c r="D313" s="1"/>
      <c r="F313" s="1"/>
      <c r="G313" s="1"/>
    </row>
    <row r="314" spans="1:7" x14ac:dyDescent="0.25">
      <c r="A314" s="1"/>
      <c r="B314" s="2"/>
      <c r="C314" s="2"/>
      <c r="D314" s="1"/>
      <c r="F314" s="1"/>
      <c r="G314" s="1"/>
    </row>
    <row r="315" spans="1:7" x14ac:dyDescent="0.25">
      <c r="A315" s="1"/>
      <c r="B315" s="2"/>
      <c r="C315" s="2"/>
      <c r="D315" s="1"/>
      <c r="F315" s="1"/>
      <c r="G315" s="1"/>
    </row>
    <row r="316" spans="1:7" x14ac:dyDescent="0.25">
      <c r="A316" s="1"/>
      <c r="B316" s="2"/>
      <c r="C316" s="2"/>
      <c r="D316" s="1"/>
      <c r="F316" s="1"/>
      <c r="G316" s="1"/>
    </row>
    <row r="317" spans="1:7" x14ac:dyDescent="0.25">
      <c r="A317" s="1"/>
      <c r="B317" s="2"/>
      <c r="C317" s="2"/>
      <c r="D317" s="1"/>
      <c r="F317" s="1"/>
      <c r="G317" s="1"/>
    </row>
    <row r="318" spans="1:7" x14ac:dyDescent="0.25">
      <c r="A318" s="1"/>
      <c r="B318" s="2"/>
      <c r="C318" s="2"/>
      <c r="D318" s="1"/>
      <c r="F318" s="1"/>
      <c r="G318" s="1"/>
    </row>
    <row r="319" spans="1:7" x14ac:dyDescent="0.25">
      <c r="A319" s="1"/>
      <c r="B319" s="2"/>
      <c r="C319" s="2"/>
      <c r="D319" s="1"/>
      <c r="F319" s="1"/>
      <c r="G319" s="1"/>
    </row>
    <row r="320" spans="1:7" x14ac:dyDescent="0.25">
      <c r="A320" s="1"/>
      <c r="B320" s="2"/>
      <c r="C320" s="2"/>
      <c r="D320" s="1"/>
      <c r="F320" s="1"/>
      <c r="G320" s="1"/>
    </row>
    <row r="321" spans="1:7" x14ac:dyDescent="0.25">
      <c r="A321" s="1"/>
      <c r="B321" s="2"/>
      <c r="C321" s="2"/>
      <c r="D321" s="1"/>
      <c r="F321" s="1"/>
      <c r="G321" s="1"/>
    </row>
    <row r="322" spans="1:7" x14ac:dyDescent="0.25">
      <c r="A322" s="1"/>
      <c r="B322" s="2"/>
      <c r="C322" s="2"/>
      <c r="D322" s="1"/>
      <c r="F322" s="1"/>
      <c r="G322" s="1"/>
    </row>
    <row r="323" spans="1:7" x14ac:dyDescent="0.25">
      <c r="A323" s="1"/>
      <c r="B323" s="2"/>
      <c r="C323" s="2"/>
      <c r="D323" s="1"/>
      <c r="F323" s="1"/>
      <c r="G323" s="1"/>
    </row>
    <row r="324" spans="1:7" x14ac:dyDescent="0.25">
      <c r="A324" s="1"/>
      <c r="B324" s="2"/>
      <c r="C324" s="2"/>
      <c r="D324" s="1"/>
      <c r="F324" s="1"/>
      <c r="G324" s="1"/>
    </row>
    <row r="325" spans="1:7" x14ac:dyDescent="0.25">
      <c r="A325" s="1"/>
      <c r="B325" s="2"/>
      <c r="C325" s="2"/>
      <c r="D325" s="1"/>
      <c r="F325" s="1"/>
      <c r="G325" s="1"/>
    </row>
    <row r="326" spans="1:7" x14ac:dyDescent="0.25">
      <c r="A326" s="1"/>
      <c r="B326" s="2"/>
      <c r="C326" s="2"/>
      <c r="D326" s="1"/>
      <c r="F326" s="1"/>
      <c r="G326" s="1"/>
    </row>
    <row r="327" spans="1:7" x14ac:dyDescent="0.25">
      <c r="A327" s="1"/>
      <c r="B327" s="2"/>
      <c r="C327" s="2"/>
      <c r="D327" s="1"/>
      <c r="F327" s="1"/>
      <c r="G327" s="1"/>
    </row>
    <row r="328" spans="1:7" x14ac:dyDescent="0.25">
      <c r="A328" s="1"/>
      <c r="B328" s="2"/>
      <c r="C328" s="2"/>
      <c r="D328" s="1"/>
      <c r="F328" s="1"/>
      <c r="G328" s="1"/>
    </row>
    <row r="329" spans="1:7" x14ac:dyDescent="0.25">
      <c r="A329" s="1"/>
      <c r="B329" s="2"/>
      <c r="C329" s="2"/>
      <c r="D329" s="1"/>
      <c r="F329" s="1"/>
      <c r="G329" s="1"/>
    </row>
    <row r="330" spans="1:7" x14ac:dyDescent="0.25">
      <c r="A330" s="1"/>
      <c r="B330" s="2"/>
      <c r="C330" s="2"/>
      <c r="D330" s="1"/>
      <c r="F330" s="1"/>
      <c r="G330" s="1"/>
    </row>
    <row r="331" spans="1:7" x14ac:dyDescent="0.25">
      <c r="A331" s="1"/>
      <c r="B331" s="2"/>
      <c r="C331" s="2"/>
      <c r="D331" s="1"/>
      <c r="F331" s="1"/>
      <c r="G331" s="1"/>
    </row>
    <row r="332" spans="1:7" x14ac:dyDescent="0.25">
      <c r="A332" s="1"/>
      <c r="B332" s="2"/>
      <c r="C332" s="2"/>
      <c r="D332" s="1"/>
      <c r="F332" s="1"/>
      <c r="G332" s="1"/>
    </row>
    <row r="333" spans="1:7" x14ac:dyDescent="0.25">
      <c r="A333" s="1"/>
      <c r="B333" s="2"/>
      <c r="C333" s="2"/>
      <c r="D333" s="1"/>
      <c r="F333" s="1"/>
      <c r="G333" s="1"/>
    </row>
    <row r="334" spans="1:7" x14ac:dyDescent="0.25">
      <c r="A334" s="1"/>
      <c r="B334" s="2"/>
      <c r="C334" s="2"/>
      <c r="D334" s="1"/>
      <c r="F334" s="1"/>
      <c r="G334" s="1"/>
    </row>
    <row r="335" spans="1:7" x14ac:dyDescent="0.25">
      <c r="A335" s="1"/>
      <c r="B335" s="2"/>
      <c r="C335" s="2"/>
      <c r="D335" s="1"/>
      <c r="F335" s="1"/>
      <c r="G335" s="1"/>
    </row>
    <row r="336" spans="1:7" x14ac:dyDescent="0.25">
      <c r="A336" s="1"/>
      <c r="B336" s="2"/>
      <c r="C336" s="2"/>
      <c r="D336" s="1"/>
      <c r="F336" s="1"/>
      <c r="G336" s="1"/>
    </row>
    <row r="337" spans="1:7" x14ac:dyDescent="0.25">
      <c r="A337" s="1"/>
      <c r="B337" s="2"/>
      <c r="C337" s="2"/>
      <c r="D337" s="1"/>
      <c r="F337" s="1"/>
      <c r="G337" s="1"/>
    </row>
    <row r="338" spans="1:7" x14ac:dyDescent="0.25">
      <c r="A338" s="1"/>
      <c r="B338" s="2"/>
      <c r="C338" s="2"/>
      <c r="D338" s="1"/>
      <c r="F338" s="1"/>
      <c r="G338" s="1"/>
    </row>
    <row r="339" spans="1:7" x14ac:dyDescent="0.25">
      <c r="A339" s="1"/>
      <c r="B339" s="2"/>
      <c r="C339" s="2"/>
      <c r="D339" s="1"/>
      <c r="F339" s="1"/>
      <c r="G339" s="1"/>
    </row>
    <row r="340" spans="1:7" x14ac:dyDescent="0.25">
      <c r="A340" s="1"/>
      <c r="B340" s="2"/>
      <c r="C340" s="2"/>
      <c r="D340" s="1"/>
      <c r="F340" s="1"/>
      <c r="G340" s="1"/>
    </row>
    <row r="341" spans="1:7" x14ac:dyDescent="0.25">
      <c r="A341" s="1"/>
      <c r="B341" s="2"/>
      <c r="C341" s="2"/>
      <c r="D341" s="1"/>
      <c r="F341" s="1"/>
      <c r="G341" s="1"/>
    </row>
    <row r="342" spans="1:7" x14ac:dyDescent="0.25">
      <c r="A342" s="1"/>
      <c r="B342" s="2"/>
      <c r="C342" s="2"/>
      <c r="D342" s="1"/>
      <c r="F342" s="1"/>
      <c r="G342" s="1"/>
    </row>
    <row r="343" spans="1:7" x14ac:dyDescent="0.25">
      <c r="A343" s="1"/>
      <c r="B343" s="2"/>
      <c r="C343" s="2"/>
      <c r="D343" s="1"/>
      <c r="F343" s="1"/>
      <c r="G343" s="1"/>
    </row>
    <row r="344" spans="1:7" x14ac:dyDescent="0.25">
      <c r="A344" s="1"/>
      <c r="B344" s="2"/>
      <c r="C344" s="2"/>
      <c r="D344" s="1"/>
      <c r="F344" s="1"/>
      <c r="G344" s="1"/>
    </row>
    <row r="345" spans="1:7" x14ac:dyDescent="0.25">
      <c r="A345" s="1"/>
      <c r="B345" s="2"/>
      <c r="C345" s="2"/>
      <c r="D345" s="1"/>
      <c r="F345" s="1"/>
      <c r="G345" s="1"/>
    </row>
    <row r="346" spans="1:7" x14ac:dyDescent="0.25">
      <c r="A346" s="1"/>
      <c r="B346" s="2"/>
      <c r="C346" s="2"/>
      <c r="D346" s="1"/>
      <c r="F346" s="1"/>
      <c r="G346" s="1"/>
    </row>
    <row r="347" spans="1:7" x14ac:dyDescent="0.25">
      <c r="A347" s="1"/>
      <c r="B347" s="2"/>
      <c r="C347" s="2"/>
      <c r="D347" s="1"/>
      <c r="F347" s="1"/>
      <c r="G347" s="1"/>
    </row>
    <row r="348" spans="1:7" x14ac:dyDescent="0.25">
      <c r="A348" s="1"/>
      <c r="B348" s="2"/>
      <c r="C348" s="2"/>
      <c r="D348" s="1"/>
      <c r="F348" s="1"/>
      <c r="G348" s="1"/>
    </row>
    <row r="349" spans="1:7" x14ac:dyDescent="0.25">
      <c r="A349" s="1"/>
      <c r="B349" s="2"/>
      <c r="C349" s="2"/>
      <c r="D349" s="1"/>
      <c r="F349" s="1"/>
      <c r="G349" s="1"/>
    </row>
    <row r="350" spans="1:7" x14ac:dyDescent="0.25">
      <c r="A350" s="1"/>
      <c r="B350" s="2"/>
      <c r="C350" s="2"/>
      <c r="D350" s="1"/>
      <c r="F350" s="1"/>
      <c r="G350" s="1"/>
    </row>
    <row r="351" spans="1:7" x14ac:dyDescent="0.25">
      <c r="A351" s="1"/>
      <c r="B351" s="2"/>
      <c r="C351" s="2"/>
      <c r="D351" s="1"/>
      <c r="F351" s="1"/>
      <c r="G351" s="1"/>
    </row>
    <row r="352" spans="1:7" x14ac:dyDescent="0.25">
      <c r="A352" s="1"/>
      <c r="B352" s="2"/>
      <c r="C352" s="2"/>
      <c r="D352" s="1"/>
      <c r="F352" s="1"/>
      <c r="G352" s="1"/>
    </row>
    <row r="353" spans="1:7" x14ac:dyDescent="0.25">
      <c r="A353" s="1"/>
      <c r="B353" s="2"/>
      <c r="C353" s="2"/>
      <c r="D353" s="1"/>
      <c r="F353" s="1"/>
      <c r="G353" s="1"/>
    </row>
    <row r="354" spans="1:7" x14ac:dyDescent="0.25">
      <c r="A354" s="1"/>
      <c r="B354" s="2"/>
      <c r="C354" s="2"/>
      <c r="D354" s="1"/>
      <c r="F354" s="1"/>
      <c r="G354" s="1"/>
    </row>
    <row r="355" spans="1:7" x14ac:dyDescent="0.25">
      <c r="A355" s="1"/>
      <c r="B355" s="2"/>
      <c r="C355" s="2"/>
      <c r="D355" s="1"/>
      <c r="F355" s="1"/>
      <c r="G355" s="1"/>
    </row>
    <row r="356" spans="1:7" x14ac:dyDescent="0.25">
      <c r="A356" s="1"/>
      <c r="B356" s="2"/>
      <c r="C356" s="2"/>
      <c r="D356" s="1"/>
      <c r="F356" s="1"/>
      <c r="G356" s="1"/>
    </row>
    <row r="357" spans="1:7" x14ac:dyDescent="0.25">
      <c r="A357" s="1"/>
      <c r="B357" s="2"/>
      <c r="C357" s="2"/>
      <c r="D357" s="1"/>
      <c r="F357" s="1"/>
      <c r="G357" s="1"/>
    </row>
    <row r="358" spans="1:7" x14ac:dyDescent="0.25">
      <c r="A358" s="1"/>
      <c r="B358" s="2"/>
      <c r="C358" s="2"/>
      <c r="D358" s="1"/>
      <c r="F358" s="1"/>
      <c r="G358" s="1"/>
    </row>
    <row r="359" spans="1:7" x14ac:dyDescent="0.25">
      <c r="A359" s="1"/>
      <c r="B359" s="2"/>
      <c r="C359" s="2"/>
      <c r="D359" s="1"/>
      <c r="F359" s="1"/>
      <c r="G359" s="1"/>
    </row>
    <row r="360" spans="1:7" x14ac:dyDescent="0.25">
      <c r="A360" s="1"/>
      <c r="B360" s="2"/>
      <c r="C360" s="2"/>
      <c r="D360" s="1"/>
      <c r="F360" s="1"/>
      <c r="G360" s="1"/>
    </row>
    <row r="361" spans="1:7" x14ac:dyDescent="0.25">
      <c r="A361" s="1"/>
      <c r="B361" s="2"/>
      <c r="C361" s="2"/>
      <c r="D361" s="1"/>
      <c r="F361" s="1"/>
      <c r="G361" s="1"/>
    </row>
    <row r="362" spans="1:7" x14ac:dyDescent="0.25">
      <c r="A362" s="1"/>
      <c r="B362" s="2"/>
      <c r="C362" s="2"/>
      <c r="D362" s="1"/>
      <c r="F362" s="1"/>
      <c r="G362" s="1"/>
    </row>
    <row r="363" spans="1:7" x14ac:dyDescent="0.25">
      <c r="A363" s="1"/>
      <c r="B363" s="2"/>
      <c r="C363" s="2"/>
      <c r="D363" s="1"/>
      <c r="F363" s="1"/>
      <c r="G363" s="1"/>
    </row>
    <row r="364" spans="1:7" x14ac:dyDescent="0.25">
      <c r="A364" s="1"/>
      <c r="B364" s="2"/>
      <c r="C364" s="2"/>
      <c r="D364" s="1"/>
      <c r="F364" s="1"/>
      <c r="G364" s="1"/>
    </row>
    <row r="365" spans="1:7" x14ac:dyDescent="0.25">
      <c r="A365" s="1"/>
      <c r="B365" s="2"/>
      <c r="C365" s="2"/>
      <c r="D365" s="1"/>
      <c r="F365" s="1"/>
      <c r="G365" s="1"/>
    </row>
    <row r="366" spans="1:7" x14ac:dyDescent="0.25">
      <c r="A366" s="1"/>
      <c r="B366" s="2"/>
      <c r="C366" s="2"/>
      <c r="D366" s="1"/>
      <c r="F366" s="1"/>
      <c r="G366" s="1"/>
    </row>
    <row r="367" spans="1:7" x14ac:dyDescent="0.25">
      <c r="A367" s="1"/>
      <c r="B367" s="2"/>
      <c r="C367" s="2"/>
      <c r="D367" s="1"/>
      <c r="F367" s="1"/>
      <c r="G367" s="1"/>
    </row>
    <row r="368" spans="1:7" x14ac:dyDescent="0.25">
      <c r="A368" s="1"/>
      <c r="B368" s="2"/>
      <c r="C368" s="2"/>
      <c r="D368" s="1"/>
      <c r="F368" s="1"/>
      <c r="G368" s="1"/>
    </row>
    <row r="369" spans="1:7" x14ac:dyDescent="0.25">
      <c r="A369" s="1"/>
      <c r="B369" s="2"/>
      <c r="C369" s="2"/>
      <c r="D369" s="1"/>
      <c r="F369" s="1"/>
      <c r="G369" s="1"/>
    </row>
    <row r="370" spans="1:7" x14ac:dyDescent="0.25">
      <c r="A370" s="1"/>
      <c r="B370" s="2"/>
      <c r="C370" s="2"/>
      <c r="D370" s="1"/>
      <c r="F370" s="1"/>
      <c r="G370" s="1"/>
    </row>
    <row r="371" spans="1:7" x14ac:dyDescent="0.25">
      <c r="A371" s="1"/>
      <c r="B371" s="2"/>
      <c r="C371" s="2"/>
      <c r="D371" s="1"/>
      <c r="F371" s="1"/>
      <c r="G371" s="1"/>
    </row>
    <row r="372" spans="1:7" x14ac:dyDescent="0.25">
      <c r="A372" s="1"/>
      <c r="B372" s="2"/>
      <c r="C372" s="2"/>
      <c r="D372" s="1"/>
      <c r="F372" s="1"/>
      <c r="G372" s="1"/>
    </row>
    <row r="373" spans="1:7" x14ac:dyDescent="0.25">
      <c r="A373" s="1"/>
      <c r="B373" s="2"/>
      <c r="C373" s="2"/>
      <c r="D373" s="1"/>
      <c r="F373" s="1"/>
      <c r="G373" s="1"/>
    </row>
    <row r="374" spans="1:7" x14ac:dyDescent="0.25">
      <c r="A374" s="1"/>
      <c r="B374" s="2"/>
      <c r="C374" s="2"/>
      <c r="D374" s="1"/>
      <c r="F374" s="1"/>
      <c r="G374" s="1"/>
    </row>
    <row r="375" spans="1:7" x14ac:dyDescent="0.25">
      <c r="A375" s="1"/>
      <c r="B375" s="2"/>
      <c r="C375" s="2"/>
      <c r="D375" s="1"/>
      <c r="F375" s="1"/>
      <c r="G375" s="1"/>
    </row>
    <row r="376" spans="1:7" x14ac:dyDescent="0.25">
      <c r="A376" s="1"/>
      <c r="B376" s="2"/>
      <c r="C376" s="2"/>
      <c r="D376" s="1"/>
      <c r="F376" s="1"/>
      <c r="G376" s="1"/>
    </row>
    <row r="377" spans="1:7" x14ac:dyDescent="0.25">
      <c r="A377" s="1"/>
      <c r="B377" s="2"/>
      <c r="C377" s="2"/>
      <c r="D377" s="1"/>
      <c r="F377" s="1"/>
      <c r="G377" s="1"/>
    </row>
    <row r="378" spans="1:7" x14ac:dyDescent="0.25">
      <c r="A378" s="1"/>
      <c r="B378" s="2"/>
      <c r="C378" s="2"/>
      <c r="D378" s="1"/>
      <c r="F378" s="1"/>
      <c r="G378" s="1"/>
    </row>
    <row r="379" spans="1:7" x14ac:dyDescent="0.25">
      <c r="A379" s="1"/>
      <c r="B379" s="2"/>
      <c r="C379" s="2"/>
      <c r="D379" s="1"/>
      <c r="F379" s="1"/>
      <c r="G379" s="1"/>
    </row>
    <row r="380" spans="1:7" x14ac:dyDescent="0.25">
      <c r="A380" s="1"/>
      <c r="B380" s="2"/>
      <c r="C380" s="2"/>
      <c r="D380" s="1"/>
      <c r="F380" s="1"/>
      <c r="G380" s="1"/>
    </row>
    <row r="381" spans="1:7" x14ac:dyDescent="0.25">
      <c r="A381" s="1"/>
      <c r="B381" s="2"/>
      <c r="C381" s="2"/>
      <c r="D381" s="1"/>
      <c r="F381" s="1"/>
      <c r="G381" s="1"/>
    </row>
    <row r="382" spans="1:7" x14ac:dyDescent="0.25">
      <c r="A382" s="1"/>
      <c r="B382" s="2"/>
      <c r="C382" s="2"/>
      <c r="D382" s="1"/>
      <c r="F382" s="1"/>
      <c r="G382" s="1"/>
    </row>
    <row r="383" spans="1:7" x14ac:dyDescent="0.25">
      <c r="A383" s="1"/>
      <c r="B383" s="2"/>
      <c r="C383" s="2"/>
      <c r="D383" s="1"/>
      <c r="F383" s="1"/>
      <c r="G383" s="1"/>
    </row>
    <row r="384" spans="1:7" x14ac:dyDescent="0.25">
      <c r="A384" s="1"/>
      <c r="B384" s="2"/>
      <c r="C384" s="2"/>
      <c r="D384" s="1"/>
      <c r="F384" s="1"/>
      <c r="G384" s="1"/>
    </row>
    <row r="385" spans="1:7" x14ac:dyDescent="0.25">
      <c r="A385" s="1"/>
      <c r="B385" s="2"/>
      <c r="C385" s="2"/>
      <c r="D385" s="1"/>
      <c r="F385" s="1"/>
      <c r="G385" s="1"/>
    </row>
    <row r="386" spans="1:7" x14ac:dyDescent="0.25">
      <c r="A386" s="1"/>
      <c r="B386" s="2"/>
      <c r="C386" s="2"/>
      <c r="D386" s="1"/>
      <c r="F386" s="1"/>
      <c r="G386" s="1"/>
    </row>
    <row r="387" spans="1:7" x14ac:dyDescent="0.25">
      <c r="A387" s="1"/>
      <c r="B387" s="2"/>
      <c r="C387" s="2"/>
      <c r="D387" s="1"/>
      <c r="F387" s="1"/>
      <c r="G387" s="1"/>
    </row>
    <row r="388" spans="1:7" x14ac:dyDescent="0.25">
      <c r="A388" s="1"/>
      <c r="B388" s="2"/>
      <c r="C388" s="2"/>
      <c r="D388" s="1"/>
      <c r="F388" s="1"/>
      <c r="G388" s="1"/>
    </row>
    <row r="389" spans="1:7" x14ac:dyDescent="0.25">
      <c r="A389" s="1"/>
      <c r="B389" s="2"/>
      <c r="C389" s="2"/>
      <c r="D389" s="1"/>
      <c r="F389" s="1"/>
      <c r="G389" s="1"/>
    </row>
    <row r="390" spans="1:7" x14ac:dyDescent="0.25">
      <c r="A390" s="1"/>
      <c r="B390" s="2"/>
      <c r="C390" s="2"/>
      <c r="D390" s="1"/>
      <c r="F390" s="1"/>
      <c r="G390" s="1"/>
    </row>
    <row r="391" spans="1:7" x14ac:dyDescent="0.25">
      <c r="A391" s="1"/>
      <c r="B391" s="2"/>
      <c r="C391" s="2"/>
      <c r="D391" s="1"/>
      <c r="F391" s="1"/>
      <c r="G391" s="1"/>
    </row>
    <row r="392" spans="1:7" x14ac:dyDescent="0.25">
      <c r="A392" s="1"/>
      <c r="B392" s="2"/>
      <c r="C392" s="2"/>
      <c r="D392" s="1"/>
      <c r="F392" s="1"/>
      <c r="G392" s="1"/>
    </row>
    <row r="393" spans="1:7" x14ac:dyDescent="0.25">
      <c r="A393" s="1"/>
      <c r="B393" s="2"/>
      <c r="C393" s="2"/>
      <c r="D393" s="1"/>
      <c r="F393" s="1"/>
      <c r="G393" s="1"/>
    </row>
    <row r="394" spans="1:7" x14ac:dyDescent="0.25">
      <c r="A394" s="1"/>
      <c r="B394" s="2"/>
      <c r="C394" s="2"/>
      <c r="D394" s="1"/>
      <c r="F394" s="1"/>
      <c r="G394" s="1"/>
    </row>
    <row r="395" spans="1:7" x14ac:dyDescent="0.25">
      <c r="A395" s="1"/>
      <c r="B395" s="2"/>
      <c r="C395" s="2"/>
      <c r="D395" s="1"/>
      <c r="F395" s="1"/>
      <c r="G395" s="1"/>
    </row>
    <row r="396" spans="1:7" x14ac:dyDescent="0.25">
      <c r="A396" s="1"/>
      <c r="B396" s="2"/>
      <c r="C396" s="2"/>
      <c r="D396" s="1"/>
      <c r="F396" s="1"/>
      <c r="G396" s="1"/>
    </row>
    <row r="397" spans="1:7" x14ac:dyDescent="0.25">
      <c r="A397" s="1"/>
      <c r="B397" s="2"/>
      <c r="C397" s="2"/>
      <c r="D397" s="1"/>
      <c r="F397" s="1"/>
      <c r="G397" s="1"/>
    </row>
    <row r="398" spans="1:7" x14ac:dyDescent="0.25">
      <c r="A398" s="1"/>
      <c r="B398" s="2"/>
      <c r="C398" s="2"/>
      <c r="D398" s="1"/>
      <c r="F398" s="1"/>
      <c r="G398" s="1"/>
    </row>
    <row r="399" spans="1:7" x14ac:dyDescent="0.25">
      <c r="A399" s="1"/>
      <c r="B399" s="2"/>
      <c r="C399" s="2"/>
      <c r="D399" s="1"/>
      <c r="F399" s="1"/>
      <c r="G399" s="1"/>
    </row>
    <row r="400" spans="1:7" x14ac:dyDescent="0.25">
      <c r="A400" s="1"/>
      <c r="B400" s="2"/>
      <c r="C400" s="2"/>
      <c r="D400" s="1"/>
      <c r="F400" s="1"/>
      <c r="G400" s="1"/>
    </row>
    <row r="401" spans="1:7" x14ac:dyDescent="0.25">
      <c r="A401" s="1"/>
      <c r="B401" s="2"/>
      <c r="C401" s="2"/>
      <c r="D401" s="1"/>
      <c r="F401" s="1"/>
      <c r="G401" s="1"/>
    </row>
    <row r="402" spans="1:7" x14ac:dyDescent="0.25">
      <c r="A402" s="1"/>
      <c r="B402" s="2"/>
      <c r="C402" s="2"/>
      <c r="D402" s="1"/>
      <c r="F402" s="1"/>
      <c r="G402" s="1"/>
    </row>
    <row r="403" spans="1:7" x14ac:dyDescent="0.25">
      <c r="A403" s="1"/>
      <c r="B403" s="2"/>
      <c r="C403" s="2"/>
      <c r="D403" s="1"/>
      <c r="F403" s="1"/>
      <c r="G403" s="1"/>
    </row>
    <row r="404" spans="1:7" x14ac:dyDescent="0.25">
      <c r="A404" s="1"/>
      <c r="B404" s="2"/>
      <c r="C404" s="2"/>
      <c r="D404" s="1"/>
      <c r="F404" s="1"/>
      <c r="G404" s="1"/>
    </row>
    <row r="405" spans="1:7" x14ac:dyDescent="0.25">
      <c r="A405" s="1"/>
      <c r="B405" s="2"/>
      <c r="C405" s="2"/>
      <c r="D405" s="1"/>
      <c r="F405" s="1"/>
      <c r="G405" s="1"/>
    </row>
    <row r="406" spans="1:7" x14ac:dyDescent="0.25">
      <c r="A406" s="1"/>
      <c r="B406" s="2"/>
      <c r="C406" s="2"/>
      <c r="D406" s="1"/>
      <c r="F406" s="1"/>
      <c r="G406" s="1"/>
    </row>
    <row r="407" spans="1:7" x14ac:dyDescent="0.25">
      <c r="A407" s="1"/>
      <c r="B407" s="2"/>
      <c r="C407" s="2"/>
      <c r="D407" s="1"/>
      <c r="F407" s="1"/>
      <c r="G407" s="1"/>
    </row>
    <row r="408" spans="1:7" x14ac:dyDescent="0.25">
      <c r="A408" s="1"/>
      <c r="B408" s="2"/>
      <c r="C408" s="2"/>
      <c r="D408" s="1"/>
      <c r="F408" s="1"/>
      <c r="G408" s="1"/>
    </row>
    <row r="409" spans="1:7" x14ac:dyDescent="0.25">
      <c r="A409" s="1"/>
      <c r="B409" s="2"/>
      <c r="C409" s="2"/>
      <c r="D409" s="1"/>
      <c r="F409" s="1"/>
      <c r="G409" s="1"/>
    </row>
    <row r="410" spans="1:7" x14ac:dyDescent="0.25">
      <c r="A410" s="1"/>
      <c r="B410" s="2"/>
      <c r="C410" s="2"/>
      <c r="D410" s="1"/>
      <c r="F410" s="1"/>
      <c r="G410" s="1"/>
    </row>
    <row r="411" spans="1:7" x14ac:dyDescent="0.25">
      <c r="A411" s="1"/>
      <c r="B411" s="2"/>
      <c r="C411" s="2"/>
      <c r="D411" s="1"/>
      <c r="F411" s="1"/>
      <c r="G411" s="1"/>
    </row>
    <row r="412" spans="1:7" x14ac:dyDescent="0.25">
      <c r="A412" s="1"/>
      <c r="B412" s="2"/>
      <c r="C412" s="2"/>
      <c r="D412" s="1"/>
      <c r="F412" s="1"/>
      <c r="G412" s="1"/>
    </row>
    <row r="413" spans="1:7" x14ac:dyDescent="0.25">
      <c r="A413" s="1"/>
      <c r="B413" s="2"/>
      <c r="C413" s="2"/>
      <c r="D413" s="1"/>
      <c r="F413" s="1"/>
      <c r="G413" s="1"/>
    </row>
    <row r="414" spans="1:7" x14ac:dyDescent="0.25">
      <c r="A414" s="1"/>
      <c r="B414" s="2"/>
      <c r="C414" s="2"/>
      <c r="D414" s="1"/>
      <c r="F414" s="1"/>
      <c r="G414" s="1"/>
    </row>
    <row r="415" spans="1:7" x14ac:dyDescent="0.25">
      <c r="A415" s="1"/>
      <c r="B415" s="2"/>
      <c r="C415" s="2"/>
      <c r="D415" s="1"/>
      <c r="F415" s="1"/>
      <c r="G415" s="1"/>
    </row>
    <row r="416" spans="1:7" x14ac:dyDescent="0.25">
      <c r="A416" s="1"/>
      <c r="B416" s="2"/>
      <c r="C416" s="2"/>
      <c r="D416" s="1"/>
      <c r="F416" s="1"/>
      <c r="G416" s="1"/>
    </row>
    <row r="417" spans="1:7" x14ac:dyDescent="0.25">
      <c r="A417" s="1"/>
      <c r="B417" s="2"/>
      <c r="C417" s="2"/>
      <c r="D417" s="1"/>
      <c r="F417" s="1"/>
      <c r="G417" s="1"/>
    </row>
    <row r="418" spans="1:7" x14ac:dyDescent="0.25">
      <c r="A418" s="1"/>
      <c r="B418" s="2"/>
      <c r="C418" s="2"/>
      <c r="D418" s="1"/>
      <c r="F418" s="1"/>
      <c r="G418" s="1"/>
    </row>
    <row r="419" spans="1:7" x14ac:dyDescent="0.25">
      <c r="A419" s="1"/>
      <c r="B419" s="2"/>
      <c r="C419" s="2"/>
      <c r="D419" s="1"/>
      <c r="F419" s="1"/>
      <c r="G419" s="1"/>
    </row>
    <row r="420" spans="1:7" x14ac:dyDescent="0.25">
      <c r="A420" s="1"/>
      <c r="B420" s="2"/>
      <c r="C420" s="2"/>
      <c r="D420" s="1"/>
      <c r="F420" s="1"/>
      <c r="G420" s="1"/>
    </row>
    <row r="421" spans="1:7" x14ac:dyDescent="0.25">
      <c r="A421" s="1"/>
      <c r="B421" s="2"/>
      <c r="C421" s="2"/>
      <c r="D421" s="1"/>
      <c r="F421" s="1"/>
      <c r="G421" s="1"/>
    </row>
    <row r="422" spans="1:7" x14ac:dyDescent="0.25">
      <c r="A422" s="1"/>
      <c r="B422" s="2"/>
      <c r="C422" s="2"/>
      <c r="D422" s="1"/>
      <c r="F422" s="1"/>
      <c r="G422" s="1"/>
    </row>
    <row r="423" spans="1:7" x14ac:dyDescent="0.25">
      <c r="A423" s="1"/>
      <c r="B423" s="2"/>
      <c r="C423" s="2"/>
      <c r="D423" s="1"/>
      <c r="F423" s="1"/>
      <c r="G423" s="1"/>
    </row>
    <row r="424" spans="1:7" x14ac:dyDescent="0.25">
      <c r="A424" s="1"/>
      <c r="B424" s="2"/>
      <c r="C424" s="2"/>
      <c r="D424" s="1"/>
      <c r="F424" s="1"/>
      <c r="G424" s="1"/>
    </row>
    <row r="425" spans="1:7" x14ac:dyDescent="0.25">
      <c r="A425" s="1"/>
      <c r="B425" s="2"/>
      <c r="C425" s="2"/>
      <c r="D425" s="1"/>
      <c r="F425" s="1"/>
      <c r="G425" s="1"/>
    </row>
    <row r="426" spans="1:7" x14ac:dyDescent="0.25">
      <c r="A426" s="1"/>
      <c r="B426" s="2"/>
      <c r="C426" s="2"/>
      <c r="D426" s="1"/>
      <c r="F426" s="1"/>
      <c r="G426" s="1"/>
    </row>
    <row r="427" spans="1:7" x14ac:dyDescent="0.25">
      <c r="A427" s="1"/>
      <c r="B427" s="2"/>
      <c r="C427" s="2"/>
      <c r="D427" s="1"/>
      <c r="F427" s="1"/>
      <c r="G427" s="1"/>
    </row>
    <row r="428" spans="1:7" x14ac:dyDescent="0.25">
      <c r="A428" s="1"/>
      <c r="B428" s="2"/>
      <c r="C428" s="2"/>
      <c r="D428" s="1"/>
      <c r="F428" s="1"/>
      <c r="G428" s="1"/>
    </row>
    <row r="429" spans="1:7" x14ac:dyDescent="0.25">
      <c r="A429" s="1"/>
      <c r="B429" s="2"/>
      <c r="C429" s="2"/>
      <c r="D429" s="1"/>
      <c r="F429" s="1"/>
      <c r="G429" s="1"/>
    </row>
    <row r="430" spans="1:7" x14ac:dyDescent="0.25">
      <c r="A430" s="1"/>
      <c r="B430" s="2"/>
      <c r="C430" s="2"/>
      <c r="D430" s="1"/>
      <c r="F430" s="1"/>
      <c r="G430" s="1"/>
    </row>
    <row r="431" spans="1:7" x14ac:dyDescent="0.25">
      <c r="A431" s="1"/>
      <c r="B431" s="2"/>
      <c r="C431" s="2"/>
      <c r="D431" s="1"/>
      <c r="F431" s="1"/>
      <c r="G431" s="1"/>
    </row>
    <row r="432" spans="1:7" x14ac:dyDescent="0.25">
      <c r="A432" s="1"/>
      <c r="B432" s="2"/>
      <c r="C432" s="2"/>
      <c r="D432" s="1"/>
      <c r="F432" s="1"/>
      <c r="G432" s="1"/>
    </row>
    <row r="433" spans="1:7" x14ac:dyDescent="0.25">
      <c r="A433" s="1"/>
      <c r="B433" s="2"/>
      <c r="C433" s="2"/>
      <c r="D433" s="1"/>
      <c r="F433" s="1"/>
      <c r="G433" s="1"/>
    </row>
    <row r="434" spans="1:7" x14ac:dyDescent="0.25">
      <c r="A434" s="1"/>
      <c r="B434" s="2"/>
      <c r="C434" s="2"/>
      <c r="D434" s="1"/>
      <c r="F434" s="1"/>
      <c r="G434" s="1"/>
    </row>
    <row r="435" spans="1:7" x14ac:dyDescent="0.25">
      <c r="A435" s="1"/>
      <c r="B435" s="2"/>
      <c r="C435" s="2"/>
      <c r="D435" s="1"/>
      <c r="F435" s="1"/>
      <c r="G435" s="1"/>
    </row>
    <row r="436" spans="1:7" x14ac:dyDescent="0.25">
      <c r="A436" s="1"/>
      <c r="B436" s="2"/>
      <c r="C436" s="2"/>
      <c r="D436" s="1"/>
      <c r="F436" s="1"/>
      <c r="G436" s="1"/>
    </row>
    <row r="437" spans="1:7" x14ac:dyDescent="0.25">
      <c r="A437" s="1"/>
      <c r="B437" s="2"/>
      <c r="C437" s="2"/>
      <c r="D437" s="1"/>
      <c r="F437" s="1"/>
      <c r="G437" s="1"/>
    </row>
    <row r="438" spans="1:7" x14ac:dyDescent="0.25">
      <c r="A438" s="1"/>
      <c r="B438" s="2"/>
      <c r="C438" s="2"/>
      <c r="D438" s="1"/>
      <c r="F438" s="1"/>
      <c r="G438" s="1"/>
    </row>
    <row r="439" spans="1:7" x14ac:dyDescent="0.25">
      <c r="A439" s="1"/>
      <c r="B439" s="2"/>
      <c r="C439" s="2"/>
      <c r="D439" s="1"/>
      <c r="F439" s="1"/>
      <c r="G439" s="1"/>
    </row>
    <row r="440" spans="1:7" x14ac:dyDescent="0.25">
      <c r="A440" s="1"/>
      <c r="B440" s="2"/>
      <c r="C440" s="2"/>
      <c r="D440" s="1"/>
      <c r="F440" s="1"/>
      <c r="G440" s="1"/>
    </row>
    <row r="441" spans="1:7" x14ac:dyDescent="0.25">
      <c r="A441" s="1"/>
      <c r="B441" s="2"/>
      <c r="C441" s="2"/>
      <c r="D441" s="1"/>
      <c r="F441" s="1"/>
      <c r="G441" s="1"/>
    </row>
    <row r="442" spans="1:7" x14ac:dyDescent="0.25">
      <c r="A442" s="1"/>
      <c r="B442" s="2"/>
      <c r="C442" s="2"/>
      <c r="D442" s="1"/>
      <c r="F442" s="1"/>
      <c r="G442" s="1"/>
    </row>
    <row r="443" spans="1:7" x14ac:dyDescent="0.25">
      <c r="A443" s="1"/>
      <c r="B443" s="2"/>
      <c r="C443" s="2"/>
      <c r="D443" s="1"/>
      <c r="F443" s="1"/>
      <c r="G443" s="1"/>
    </row>
    <row r="444" spans="1:7" x14ac:dyDescent="0.25">
      <c r="A444" s="1"/>
      <c r="B444" s="2"/>
      <c r="C444" s="2"/>
      <c r="D444" s="1"/>
      <c r="F444" s="1"/>
      <c r="G444" s="1"/>
    </row>
    <row r="445" spans="1:7" x14ac:dyDescent="0.25">
      <c r="A445" s="1"/>
      <c r="B445" s="2"/>
      <c r="C445" s="2"/>
      <c r="D445" s="1"/>
      <c r="F445" s="1"/>
      <c r="G445" s="1"/>
    </row>
    <row r="446" spans="1:7" x14ac:dyDescent="0.25">
      <c r="A446" s="1"/>
      <c r="B446" s="2"/>
      <c r="C446" s="2"/>
      <c r="D446" s="1"/>
      <c r="F446" s="1"/>
      <c r="G446" s="1"/>
    </row>
    <row r="447" spans="1:7" x14ac:dyDescent="0.25">
      <c r="A447" s="1"/>
      <c r="B447" s="2"/>
      <c r="C447" s="2"/>
      <c r="D447" s="1"/>
      <c r="F447" s="1"/>
      <c r="G447" s="1"/>
    </row>
    <row r="448" spans="1:7" x14ac:dyDescent="0.25">
      <c r="A448" s="1"/>
      <c r="B448" s="2"/>
      <c r="C448" s="2"/>
      <c r="D448" s="1"/>
      <c r="F448" s="1"/>
      <c r="G448" s="1"/>
    </row>
    <row r="449" spans="1:7" x14ac:dyDescent="0.25">
      <c r="A449" s="1"/>
      <c r="B449" s="2"/>
      <c r="C449" s="2"/>
      <c r="D449" s="1"/>
      <c r="F449" s="1"/>
      <c r="G449" s="1"/>
    </row>
    <row r="450" spans="1:7" x14ac:dyDescent="0.25">
      <c r="A450" s="1"/>
      <c r="B450" s="2"/>
      <c r="C450" s="2"/>
      <c r="D450" s="1"/>
      <c r="F450" s="1"/>
      <c r="G450" s="1"/>
    </row>
    <row r="451" spans="1:7" x14ac:dyDescent="0.25">
      <c r="A451" s="1"/>
      <c r="B451" s="2"/>
      <c r="C451" s="2"/>
      <c r="D451" s="1"/>
      <c r="F451" s="1"/>
      <c r="G451" s="1"/>
    </row>
    <row r="452" spans="1:7" x14ac:dyDescent="0.25">
      <c r="A452" s="1"/>
      <c r="B452" s="2"/>
      <c r="C452" s="2"/>
      <c r="D452" s="1"/>
      <c r="F452" s="1"/>
      <c r="G452" s="1"/>
    </row>
    <row r="453" spans="1:7" x14ac:dyDescent="0.25">
      <c r="A453" s="1"/>
      <c r="B453" s="2"/>
      <c r="C453" s="2"/>
      <c r="D453" s="1"/>
      <c r="F453" s="1"/>
      <c r="G453" s="1"/>
    </row>
    <row r="454" spans="1:7" x14ac:dyDescent="0.25">
      <c r="A454" s="1"/>
      <c r="B454" s="2"/>
      <c r="C454" s="2"/>
      <c r="D454" s="1"/>
      <c r="F454" s="1"/>
      <c r="G454" s="1"/>
    </row>
    <row r="455" spans="1:7" x14ac:dyDescent="0.25">
      <c r="A455" s="1"/>
      <c r="B455" s="2"/>
      <c r="C455" s="2"/>
      <c r="D455" s="1"/>
      <c r="F455" s="1"/>
      <c r="G455" s="1"/>
    </row>
    <row r="456" spans="1:7" x14ac:dyDescent="0.25">
      <c r="A456" s="1"/>
      <c r="B456" s="2"/>
      <c r="C456" s="2"/>
      <c r="D456" s="1"/>
      <c r="F456" s="1"/>
      <c r="G456" s="1"/>
    </row>
    <row r="457" spans="1:7" x14ac:dyDescent="0.25">
      <c r="A457" s="1"/>
      <c r="B457" s="2"/>
      <c r="C457" s="2"/>
      <c r="D457" s="1"/>
      <c r="F457" s="1"/>
      <c r="G457" s="1"/>
    </row>
    <row r="458" spans="1:7" x14ac:dyDescent="0.25">
      <c r="A458" s="1"/>
      <c r="B458" s="2"/>
      <c r="C458" s="2"/>
      <c r="D458" s="1"/>
      <c r="F458" s="1"/>
      <c r="G458" s="1"/>
    </row>
    <row r="459" spans="1:7" x14ac:dyDescent="0.25">
      <c r="A459" s="1"/>
      <c r="B459" s="2"/>
      <c r="C459" s="2"/>
      <c r="D459" s="1"/>
      <c r="F459" s="1"/>
      <c r="G459" s="1"/>
    </row>
    <row r="460" spans="1:7" x14ac:dyDescent="0.25">
      <c r="A460" s="1"/>
      <c r="B460" s="2"/>
      <c r="C460" s="2"/>
      <c r="D460" s="1"/>
      <c r="F460" s="1"/>
      <c r="G460" s="1"/>
    </row>
    <row r="461" spans="1:7" x14ac:dyDescent="0.25">
      <c r="A461" s="1"/>
      <c r="B461" s="2"/>
      <c r="C461" s="2"/>
      <c r="D461" s="1"/>
      <c r="F461" s="1"/>
      <c r="G461" s="1"/>
    </row>
    <row r="462" spans="1:7" x14ac:dyDescent="0.25">
      <c r="A462" s="1"/>
      <c r="B462" s="2"/>
      <c r="C462" s="2"/>
      <c r="D462" s="1"/>
      <c r="F462" s="1"/>
      <c r="G462" s="1"/>
    </row>
    <row r="463" spans="1:7" x14ac:dyDescent="0.25">
      <c r="A463" s="1"/>
      <c r="B463" s="2"/>
      <c r="C463" s="2"/>
      <c r="D463" s="1"/>
      <c r="F463" s="1"/>
      <c r="G463" s="1"/>
    </row>
    <row r="464" spans="1:7" x14ac:dyDescent="0.25">
      <c r="A464" s="1"/>
      <c r="B464" s="2"/>
      <c r="C464" s="2"/>
      <c r="D464" s="1"/>
      <c r="F464" s="1"/>
      <c r="G464" s="1"/>
    </row>
    <row r="465" spans="1:7" x14ac:dyDescent="0.25">
      <c r="A465" s="1"/>
      <c r="B465" s="2"/>
      <c r="C465" s="2"/>
      <c r="D465" s="1"/>
      <c r="F465" s="1"/>
      <c r="G465" s="1"/>
    </row>
    <row r="466" spans="1:7" x14ac:dyDescent="0.25">
      <c r="A466" s="1"/>
      <c r="B466" s="2"/>
      <c r="C466" s="2"/>
      <c r="D466" s="1"/>
      <c r="F466" s="1"/>
      <c r="G466" s="1"/>
    </row>
    <row r="467" spans="1:7" x14ac:dyDescent="0.25">
      <c r="A467" s="1"/>
      <c r="B467" s="2"/>
      <c r="C467" s="2"/>
      <c r="D467" s="1"/>
      <c r="F467" s="1"/>
      <c r="G467" s="1"/>
    </row>
    <row r="468" spans="1:7" x14ac:dyDescent="0.25">
      <c r="A468" s="1"/>
      <c r="B468" s="2"/>
      <c r="C468" s="2"/>
      <c r="D468" s="1"/>
      <c r="F468" s="1"/>
      <c r="G468" s="1"/>
    </row>
    <row r="469" spans="1:7" x14ac:dyDescent="0.25">
      <c r="A469" s="1"/>
      <c r="B469" s="2"/>
      <c r="C469" s="2"/>
      <c r="D469" s="1"/>
      <c r="F469" s="1"/>
      <c r="G469" s="1"/>
    </row>
    <row r="470" spans="1:7" x14ac:dyDescent="0.25">
      <c r="A470" s="1"/>
      <c r="B470" s="2"/>
      <c r="C470" s="2"/>
      <c r="D470" s="1"/>
      <c r="F470" s="1"/>
      <c r="G470" s="1"/>
    </row>
    <row r="471" spans="1:7" x14ac:dyDescent="0.25">
      <c r="A471" s="1"/>
      <c r="B471" s="2"/>
      <c r="C471" s="2"/>
      <c r="D471" s="1"/>
      <c r="F471" s="1"/>
      <c r="G471" s="1"/>
    </row>
    <row r="472" spans="1:7" x14ac:dyDescent="0.25">
      <c r="A472" s="1"/>
      <c r="B472" s="2"/>
      <c r="C472" s="2"/>
      <c r="D472" s="1"/>
      <c r="F472" s="1"/>
      <c r="G472" s="1"/>
    </row>
    <row r="473" spans="1:7" x14ac:dyDescent="0.25">
      <c r="A473" s="1"/>
      <c r="B473" s="2"/>
      <c r="C473" s="2"/>
      <c r="D473" s="1"/>
      <c r="F473" s="1"/>
      <c r="G473" s="1"/>
    </row>
    <row r="474" spans="1:7" x14ac:dyDescent="0.25">
      <c r="A474" s="1"/>
      <c r="B474" s="2"/>
      <c r="C474" s="2"/>
      <c r="D474" s="1"/>
      <c r="F474" s="1"/>
      <c r="G474" s="1"/>
    </row>
    <row r="475" spans="1:7" x14ac:dyDescent="0.25">
      <c r="A475" s="1"/>
      <c r="B475" s="2"/>
      <c r="C475" s="2"/>
      <c r="D475" s="1"/>
      <c r="F475" s="1"/>
      <c r="G475" s="1"/>
    </row>
    <row r="476" spans="1:7" x14ac:dyDescent="0.25">
      <c r="A476" s="1"/>
      <c r="B476" s="2"/>
      <c r="C476" s="2"/>
      <c r="D476" s="1"/>
      <c r="F476" s="1"/>
      <c r="G476" s="1"/>
    </row>
    <row r="477" spans="1:7" x14ac:dyDescent="0.25">
      <c r="A477" s="1"/>
      <c r="B477" s="2"/>
      <c r="C477" s="2"/>
      <c r="D477" s="1"/>
      <c r="F477" s="1"/>
      <c r="G477" s="1"/>
    </row>
    <row r="478" spans="1:7" x14ac:dyDescent="0.25">
      <c r="A478" s="1"/>
      <c r="B478" s="2"/>
      <c r="C478" s="2"/>
      <c r="D478" s="1"/>
      <c r="F478" s="1"/>
      <c r="G478" s="1"/>
    </row>
    <row r="479" spans="1:7" x14ac:dyDescent="0.25">
      <c r="A479" s="1"/>
      <c r="B479" s="2"/>
      <c r="C479" s="2"/>
      <c r="D479" s="1"/>
      <c r="F479" s="1"/>
      <c r="G479" s="1"/>
    </row>
    <row r="480" spans="1:7" x14ac:dyDescent="0.25">
      <c r="A480" s="1"/>
      <c r="B480" s="2"/>
      <c r="C480" s="2"/>
      <c r="D480" s="1"/>
      <c r="F480" s="1"/>
      <c r="G480" s="1"/>
    </row>
    <row r="481" spans="1:7" x14ac:dyDescent="0.25">
      <c r="A481" s="1"/>
      <c r="B481" s="2"/>
      <c r="C481" s="2"/>
      <c r="D481" s="1"/>
      <c r="F481" s="1"/>
      <c r="G481" s="1"/>
    </row>
    <row r="482" spans="1:7" x14ac:dyDescent="0.25">
      <c r="A482" s="1"/>
      <c r="B482" s="2"/>
      <c r="C482" s="2"/>
      <c r="D482" s="1"/>
      <c r="F482" s="1"/>
      <c r="G482" s="1"/>
    </row>
    <row r="483" spans="1:7" x14ac:dyDescent="0.25">
      <c r="A483" s="1"/>
      <c r="B483" s="2"/>
      <c r="C483" s="2"/>
      <c r="D483" s="1"/>
      <c r="F483" s="1"/>
      <c r="G483" s="1"/>
    </row>
    <row r="484" spans="1:7" x14ac:dyDescent="0.25">
      <c r="A484" s="1"/>
      <c r="B484" s="2"/>
      <c r="C484" s="2"/>
      <c r="D484" s="1"/>
      <c r="F484" s="1"/>
      <c r="G484" s="1"/>
    </row>
    <row r="485" spans="1:7" x14ac:dyDescent="0.25">
      <c r="A485" s="1"/>
      <c r="B485" s="2"/>
      <c r="C485" s="2"/>
      <c r="D485" s="1"/>
      <c r="F485" s="1"/>
      <c r="G485" s="1"/>
    </row>
    <row r="486" spans="1:7" x14ac:dyDescent="0.25">
      <c r="A486" s="1"/>
      <c r="B486" s="2"/>
      <c r="C486" s="2"/>
      <c r="D486" s="1"/>
      <c r="F486" s="1"/>
      <c r="G486" s="1"/>
    </row>
    <row r="487" spans="1:7" x14ac:dyDescent="0.25">
      <c r="A487" s="1"/>
      <c r="B487" s="2"/>
      <c r="C487" s="2"/>
      <c r="D487" s="1"/>
      <c r="F487" s="1"/>
      <c r="G487" s="1"/>
    </row>
    <row r="488" spans="1:7" x14ac:dyDescent="0.25">
      <c r="A488" s="1"/>
      <c r="B488" s="2"/>
      <c r="C488" s="2"/>
      <c r="D488" s="1"/>
      <c r="F488" s="1"/>
      <c r="G488" s="1"/>
    </row>
    <row r="489" spans="1:7" x14ac:dyDescent="0.25">
      <c r="A489" s="1"/>
      <c r="B489" s="2"/>
      <c r="C489" s="2"/>
      <c r="D489" s="1"/>
      <c r="F489" s="1"/>
      <c r="G489" s="1"/>
    </row>
    <row r="490" spans="1:7" x14ac:dyDescent="0.25">
      <c r="A490" s="1"/>
      <c r="B490" s="2"/>
      <c r="C490" s="2"/>
      <c r="D490" s="1"/>
      <c r="F490" s="1"/>
      <c r="G490" s="1"/>
    </row>
    <row r="491" spans="1:7" x14ac:dyDescent="0.25">
      <c r="A491" s="1"/>
      <c r="B491" s="2"/>
      <c r="C491" s="2"/>
      <c r="D491" s="1"/>
      <c r="F491" s="1"/>
      <c r="G491" s="1"/>
    </row>
    <row r="492" spans="1:7" x14ac:dyDescent="0.25">
      <c r="A492" s="1"/>
      <c r="B492" s="2"/>
      <c r="C492" s="2"/>
      <c r="D492" s="1"/>
      <c r="F492" s="1"/>
      <c r="G492" s="1"/>
    </row>
    <row r="493" spans="1:7" x14ac:dyDescent="0.25">
      <c r="A493" s="1"/>
      <c r="B493" s="2"/>
      <c r="C493" s="2"/>
      <c r="D493" s="1"/>
      <c r="F493" s="1"/>
      <c r="G493" s="1"/>
    </row>
    <row r="494" spans="1:7" x14ac:dyDescent="0.25">
      <c r="A494" s="1"/>
      <c r="B494" s="2"/>
      <c r="C494" s="2"/>
      <c r="D494" s="1"/>
      <c r="F494" s="1"/>
      <c r="G494" s="1"/>
    </row>
    <row r="495" spans="1:7" x14ac:dyDescent="0.25">
      <c r="A495" s="1"/>
      <c r="B495" s="2"/>
      <c r="C495" s="2"/>
      <c r="D495" s="1"/>
      <c r="F495" s="1"/>
      <c r="G495" s="1"/>
    </row>
    <row r="496" spans="1:7" x14ac:dyDescent="0.25">
      <c r="A496" s="1"/>
      <c r="B496" s="2"/>
      <c r="C496" s="2"/>
      <c r="D496" s="1"/>
      <c r="F496" s="1"/>
      <c r="G496" s="1"/>
    </row>
    <row r="497" spans="1:7" x14ac:dyDescent="0.25">
      <c r="A497" s="1"/>
      <c r="B497" s="2"/>
      <c r="C497" s="2"/>
      <c r="D497" s="1"/>
      <c r="F497" s="1"/>
      <c r="G497" s="1"/>
    </row>
    <row r="498" spans="1:7" x14ac:dyDescent="0.25">
      <c r="A498" s="1"/>
      <c r="B498" s="2"/>
      <c r="C498" s="2"/>
      <c r="D498" s="1"/>
      <c r="F498" s="1"/>
      <c r="G498" s="1"/>
    </row>
    <row r="499" spans="1:7" x14ac:dyDescent="0.25">
      <c r="A499" s="1"/>
      <c r="B499" s="2"/>
      <c r="C499" s="2"/>
      <c r="D499" s="1"/>
      <c r="F499" s="1"/>
      <c r="G499" s="1"/>
    </row>
    <row r="500" spans="1:7" x14ac:dyDescent="0.25">
      <c r="A500" s="1"/>
      <c r="B500" s="2"/>
      <c r="C500" s="2"/>
      <c r="D500" s="1"/>
      <c r="F500" s="1"/>
      <c r="G500" s="1"/>
    </row>
    <row r="501" spans="1:7" x14ac:dyDescent="0.25">
      <c r="A501" s="1"/>
      <c r="B501" s="2"/>
      <c r="C501" s="2"/>
      <c r="D501" s="1"/>
      <c r="F501" s="1"/>
      <c r="G501" s="1"/>
    </row>
    <row r="502" spans="1:7" x14ac:dyDescent="0.25">
      <c r="A502" s="1"/>
      <c r="B502" s="2"/>
      <c r="C502" s="2"/>
      <c r="D502" s="1"/>
      <c r="F502" s="1"/>
      <c r="G502" s="1"/>
    </row>
    <row r="503" spans="1:7" x14ac:dyDescent="0.25">
      <c r="A503" s="1"/>
      <c r="B503" s="2"/>
      <c r="C503" s="2"/>
      <c r="D503" s="1"/>
      <c r="F503" s="1"/>
      <c r="G503" s="1"/>
    </row>
    <row r="504" spans="1:7" x14ac:dyDescent="0.25">
      <c r="A504" s="1"/>
      <c r="B504" s="2"/>
      <c r="C504" s="2"/>
      <c r="D504" s="1"/>
      <c r="F504" s="1"/>
      <c r="G504" s="1"/>
    </row>
    <row r="505" spans="1:7" x14ac:dyDescent="0.25">
      <c r="A505" s="1"/>
      <c r="B505" s="2"/>
      <c r="C505" s="2"/>
      <c r="D505" s="1"/>
      <c r="F505" s="1"/>
      <c r="G505" s="1"/>
    </row>
    <row r="506" spans="1:7" x14ac:dyDescent="0.25">
      <c r="A506" s="1"/>
      <c r="B506" s="2"/>
      <c r="C506" s="2"/>
      <c r="D506" s="1"/>
      <c r="F506" s="1"/>
      <c r="G506" s="1"/>
    </row>
    <row r="507" spans="1:7" x14ac:dyDescent="0.25">
      <c r="A507" s="1"/>
      <c r="B507" s="2"/>
      <c r="C507" s="2"/>
      <c r="D507" s="1"/>
      <c r="F507" s="1"/>
      <c r="G507" s="1"/>
    </row>
    <row r="508" spans="1:7" x14ac:dyDescent="0.25">
      <c r="A508" s="1"/>
      <c r="B508" s="2"/>
      <c r="C508" s="2"/>
      <c r="D508" s="1"/>
      <c r="F508" s="1"/>
      <c r="G508" s="1"/>
    </row>
    <row r="509" spans="1:7" x14ac:dyDescent="0.25">
      <c r="A509" s="1"/>
      <c r="B509" s="2"/>
      <c r="C509" s="2"/>
      <c r="D509" s="1"/>
      <c r="F509" s="1"/>
      <c r="G509" s="1"/>
    </row>
    <row r="510" spans="1:7" x14ac:dyDescent="0.25">
      <c r="A510" s="1"/>
      <c r="B510" s="2"/>
      <c r="C510" s="2"/>
      <c r="D510" s="1"/>
      <c r="F510" s="1"/>
      <c r="G510" s="1"/>
    </row>
    <row r="511" spans="1:7" x14ac:dyDescent="0.25">
      <c r="A511" s="1"/>
      <c r="B511" s="2"/>
      <c r="C511" s="2"/>
      <c r="D511" s="1"/>
      <c r="F511" s="1"/>
      <c r="G511" s="1"/>
    </row>
    <row r="512" spans="1:7" x14ac:dyDescent="0.25">
      <c r="A512" s="1"/>
      <c r="B512" s="2"/>
      <c r="C512" s="2"/>
      <c r="D512" s="1"/>
      <c r="F512" s="1"/>
      <c r="G512" s="1"/>
    </row>
    <row r="513" spans="1:7" x14ac:dyDescent="0.25">
      <c r="A513" s="1"/>
      <c r="B513" s="2"/>
      <c r="C513" s="2"/>
      <c r="D513" s="1"/>
      <c r="F513" s="1"/>
      <c r="G513" s="1"/>
    </row>
    <row r="514" spans="1:7" x14ac:dyDescent="0.25">
      <c r="A514" s="1"/>
      <c r="B514" s="2"/>
      <c r="C514" s="2"/>
      <c r="D514" s="1"/>
      <c r="F514" s="1"/>
      <c r="G514" s="1"/>
    </row>
    <row r="515" spans="1:7" x14ac:dyDescent="0.25">
      <c r="A515" s="1"/>
      <c r="B515" s="2"/>
      <c r="C515" s="2"/>
      <c r="D515" s="1"/>
      <c r="F515" s="1"/>
      <c r="G515" s="1"/>
    </row>
    <row r="516" spans="1:7" x14ac:dyDescent="0.25">
      <c r="A516" s="1"/>
      <c r="B516" s="2"/>
      <c r="C516" s="2"/>
      <c r="D516" s="1"/>
      <c r="F516" s="1"/>
      <c r="G516" s="1"/>
    </row>
    <row r="517" spans="1:7" x14ac:dyDescent="0.25">
      <c r="A517" s="1"/>
      <c r="B517" s="2"/>
      <c r="C517" s="2"/>
      <c r="D517" s="1"/>
      <c r="F517" s="1"/>
      <c r="G517" s="1"/>
    </row>
    <row r="518" spans="1:7" x14ac:dyDescent="0.25">
      <c r="A518" s="1"/>
      <c r="B518" s="2"/>
      <c r="C518" s="2"/>
      <c r="D518" s="1"/>
      <c r="F518" s="1"/>
      <c r="G518" s="1"/>
    </row>
    <row r="519" spans="1:7" x14ac:dyDescent="0.25">
      <c r="A519" s="1"/>
      <c r="B519" s="2"/>
      <c r="C519" s="2"/>
      <c r="D519" s="1"/>
      <c r="F519" s="1"/>
      <c r="G519" s="1"/>
    </row>
    <row r="520" spans="1:7" x14ac:dyDescent="0.25">
      <c r="A520" s="1"/>
      <c r="B520" s="2"/>
      <c r="C520" s="2"/>
      <c r="D520" s="1"/>
      <c r="F520" s="1"/>
      <c r="G520" s="1"/>
    </row>
    <row r="521" spans="1:7" x14ac:dyDescent="0.25">
      <c r="A521" s="1"/>
      <c r="B521" s="2"/>
      <c r="C521" s="2"/>
      <c r="D521" s="1"/>
      <c r="F521" s="1"/>
      <c r="G521" s="1"/>
    </row>
    <row r="522" spans="1:7" x14ac:dyDescent="0.25">
      <c r="A522" s="1"/>
      <c r="B522" s="2"/>
      <c r="C522" s="2"/>
      <c r="D522" s="1"/>
      <c r="F522" s="1"/>
      <c r="G522" s="1"/>
    </row>
    <row r="523" spans="1:7" x14ac:dyDescent="0.25">
      <c r="A523" s="1"/>
      <c r="B523" s="2"/>
      <c r="C523" s="2"/>
      <c r="D523" s="1"/>
      <c r="F523" s="1"/>
      <c r="G523" s="1"/>
    </row>
    <row r="524" spans="1:7" x14ac:dyDescent="0.25">
      <c r="A524" s="1"/>
      <c r="B524" s="2"/>
      <c r="C524" s="2"/>
      <c r="D524" s="1"/>
      <c r="F524" s="1"/>
      <c r="G524" s="1"/>
    </row>
    <row r="525" spans="1:7" x14ac:dyDescent="0.25">
      <c r="A525" s="1"/>
      <c r="B525" s="2"/>
      <c r="C525" s="2"/>
      <c r="D525" s="1"/>
      <c r="F525" s="1"/>
      <c r="G525" s="1"/>
    </row>
    <row r="526" spans="1:7" x14ac:dyDescent="0.25">
      <c r="A526" s="1"/>
      <c r="B526" s="2"/>
      <c r="C526" s="2"/>
      <c r="D526" s="1"/>
      <c r="F526" s="1"/>
      <c r="G526" s="1"/>
    </row>
    <row r="527" spans="1:7" x14ac:dyDescent="0.25">
      <c r="A527" s="1"/>
      <c r="B527" s="2"/>
      <c r="C527" s="2"/>
      <c r="D527" s="1"/>
      <c r="F527" s="1"/>
      <c r="G527" s="1"/>
    </row>
    <row r="528" spans="1:7" x14ac:dyDescent="0.25">
      <c r="A528" s="1"/>
      <c r="B528" s="2"/>
      <c r="C528" s="2"/>
      <c r="D528" s="1"/>
      <c r="F528" s="1"/>
      <c r="G528" s="1"/>
    </row>
    <row r="529" spans="1:7" x14ac:dyDescent="0.25">
      <c r="A529" s="1"/>
      <c r="B529" s="2"/>
      <c r="C529" s="2"/>
      <c r="D529" s="1"/>
      <c r="F529" s="1"/>
      <c r="G529" s="1"/>
    </row>
    <row r="530" spans="1:7" x14ac:dyDescent="0.25">
      <c r="A530" s="1"/>
      <c r="B530" s="2"/>
      <c r="C530" s="2"/>
      <c r="D530" s="1"/>
      <c r="F530" s="1"/>
      <c r="G530" s="1"/>
    </row>
    <row r="531" spans="1:7" x14ac:dyDescent="0.25">
      <c r="A531" s="1"/>
      <c r="B531" s="2"/>
      <c r="C531" s="2"/>
      <c r="D531" s="1"/>
      <c r="F531" s="1"/>
      <c r="G531" s="1"/>
    </row>
    <row r="532" spans="1:7" x14ac:dyDescent="0.25">
      <c r="A532" s="1"/>
      <c r="B532" s="2"/>
      <c r="C532" s="2"/>
      <c r="D532" s="1"/>
      <c r="F532" s="1"/>
      <c r="G532" s="1"/>
    </row>
    <row r="533" spans="1:7" x14ac:dyDescent="0.25">
      <c r="A533" s="1"/>
      <c r="B533" s="2"/>
      <c r="C533" s="2"/>
      <c r="D533" s="1"/>
      <c r="F533" s="1"/>
      <c r="G533" s="1"/>
    </row>
    <row r="534" spans="1:7" x14ac:dyDescent="0.25">
      <c r="A534" s="1"/>
      <c r="B534" s="2"/>
      <c r="C534" s="2"/>
      <c r="D534" s="1"/>
      <c r="F534" s="1"/>
      <c r="G534" s="1"/>
    </row>
    <row r="535" spans="1:7" x14ac:dyDescent="0.25">
      <c r="A535" s="1"/>
      <c r="B535" s="2"/>
      <c r="C535" s="2"/>
      <c r="D535" s="1"/>
      <c r="F535" s="1"/>
      <c r="G535" s="1"/>
    </row>
    <row r="536" spans="1:7" x14ac:dyDescent="0.25">
      <c r="A536" s="1"/>
      <c r="B536" s="2"/>
      <c r="C536" s="2"/>
      <c r="D536" s="1"/>
      <c r="F536" s="1"/>
      <c r="G536" s="1"/>
    </row>
    <row r="537" spans="1:7" x14ac:dyDescent="0.25">
      <c r="A537" s="1"/>
      <c r="B537" s="2"/>
      <c r="C537" s="2"/>
      <c r="D537" s="1"/>
      <c r="F537" s="1"/>
      <c r="G537" s="1"/>
    </row>
    <row r="538" spans="1:7" x14ac:dyDescent="0.25">
      <c r="A538" s="1"/>
      <c r="B538" s="2"/>
      <c r="C538" s="2"/>
      <c r="D538" s="1"/>
      <c r="F538" s="1"/>
      <c r="G538" s="1"/>
    </row>
    <row r="539" spans="1:7" x14ac:dyDescent="0.25">
      <c r="A539" s="1"/>
      <c r="B539" s="2"/>
      <c r="C539" s="2"/>
      <c r="D539" s="1"/>
      <c r="F539" s="1"/>
      <c r="G539" s="1"/>
    </row>
    <row r="540" spans="1:7" x14ac:dyDescent="0.25">
      <c r="A540" s="1"/>
      <c r="B540" s="2"/>
      <c r="C540" s="2"/>
      <c r="D540" s="1"/>
      <c r="F540" s="1"/>
      <c r="G540" s="1"/>
    </row>
    <row r="541" spans="1:7" x14ac:dyDescent="0.25">
      <c r="A541" s="1"/>
      <c r="B541" s="2"/>
      <c r="C541" s="2"/>
      <c r="D541" s="1"/>
      <c r="F541" s="1"/>
      <c r="G541" s="1"/>
    </row>
    <row r="542" spans="1:7" x14ac:dyDescent="0.25">
      <c r="A542" s="1"/>
      <c r="B542" s="2"/>
      <c r="C542" s="2"/>
      <c r="D542" s="1"/>
      <c r="F542" s="1"/>
      <c r="G542" s="1"/>
    </row>
    <row r="543" spans="1:7" x14ac:dyDescent="0.25">
      <c r="A543" s="1"/>
      <c r="B543" s="2"/>
      <c r="C543" s="2"/>
      <c r="D543" s="1"/>
      <c r="F543" s="1"/>
      <c r="G543" s="1"/>
    </row>
    <row r="544" spans="1:7" x14ac:dyDescent="0.25">
      <c r="A544" s="1"/>
      <c r="B544" s="2"/>
      <c r="C544" s="2"/>
      <c r="D544" s="1"/>
      <c r="F544" s="1"/>
      <c r="G544" s="1"/>
    </row>
    <row r="545" spans="1:7" x14ac:dyDescent="0.25">
      <c r="A545" s="1"/>
      <c r="B545" s="2"/>
      <c r="C545" s="2"/>
      <c r="D545" s="1"/>
      <c r="F545" s="1"/>
      <c r="G545" s="1"/>
    </row>
    <row r="546" spans="1:7" x14ac:dyDescent="0.25">
      <c r="A546" s="1"/>
      <c r="B546" s="2"/>
      <c r="C546" s="2"/>
      <c r="D546" s="1"/>
      <c r="F546" s="1"/>
      <c r="G546" s="1"/>
    </row>
    <row r="547" spans="1:7" x14ac:dyDescent="0.25">
      <c r="A547" s="1"/>
      <c r="B547" s="2"/>
      <c r="C547" s="2"/>
      <c r="D547" s="1"/>
      <c r="F547" s="1"/>
      <c r="G547" s="1"/>
    </row>
    <row r="548" spans="1:7" x14ac:dyDescent="0.25">
      <c r="A548" s="1"/>
      <c r="B548" s="2"/>
      <c r="C548" s="2"/>
      <c r="D548" s="1"/>
      <c r="F548" s="1"/>
      <c r="G548" s="1"/>
    </row>
    <row r="549" spans="1:7" x14ac:dyDescent="0.25">
      <c r="A549" s="1"/>
      <c r="B549" s="2"/>
      <c r="C549" s="2"/>
      <c r="D549" s="1"/>
      <c r="F549" s="1"/>
      <c r="G549" s="1"/>
    </row>
    <row r="550" spans="1:7" x14ac:dyDescent="0.25">
      <c r="A550" s="1"/>
      <c r="B550" s="2"/>
      <c r="C550" s="2"/>
      <c r="D550" s="1"/>
      <c r="F550" s="1"/>
      <c r="G550" s="1"/>
    </row>
    <row r="551" spans="1:7" x14ac:dyDescent="0.25">
      <c r="A551" s="1"/>
      <c r="B551" s="2"/>
      <c r="C551" s="2"/>
      <c r="D551" s="1"/>
      <c r="F551" s="1"/>
      <c r="G551" s="1"/>
    </row>
    <row r="552" spans="1:7" x14ac:dyDescent="0.25">
      <c r="A552" s="1"/>
      <c r="B552" s="2"/>
      <c r="C552" s="2"/>
      <c r="D552" s="1"/>
      <c r="F552" s="1"/>
      <c r="G552" s="1"/>
    </row>
    <row r="553" spans="1:7" x14ac:dyDescent="0.25">
      <c r="A553" s="1"/>
      <c r="B553" s="2"/>
      <c r="C553" s="2"/>
      <c r="D553" s="1"/>
      <c r="F553" s="1"/>
      <c r="G553" s="1"/>
    </row>
    <row r="554" spans="1:7" x14ac:dyDescent="0.25">
      <c r="A554" s="1"/>
      <c r="B554" s="2"/>
      <c r="C554" s="2"/>
      <c r="D554" s="1"/>
      <c r="F554" s="1"/>
      <c r="G554" s="1"/>
    </row>
    <row r="555" spans="1:7" x14ac:dyDescent="0.25">
      <c r="A555" s="1"/>
      <c r="B555" s="2"/>
      <c r="C555" s="2"/>
      <c r="D555" s="1"/>
      <c r="F555" s="1"/>
      <c r="G555" s="1"/>
    </row>
    <row r="556" spans="1:7" x14ac:dyDescent="0.25">
      <c r="A556" s="1"/>
      <c r="B556" s="2"/>
      <c r="C556" s="2"/>
      <c r="D556" s="1"/>
      <c r="F556" s="1"/>
      <c r="G556" s="1"/>
    </row>
    <row r="557" spans="1:7" x14ac:dyDescent="0.25">
      <c r="A557" s="1"/>
      <c r="B557" s="2"/>
      <c r="C557" s="2"/>
      <c r="D557" s="1"/>
      <c r="F557" s="1"/>
      <c r="G557" s="1"/>
    </row>
    <row r="558" spans="1:7" x14ac:dyDescent="0.25">
      <c r="A558" s="1"/>
      <c r="B558" s="2"/>
      <c r="C558" s="2"/>
      <c r="D558" s="1"/>
      <c r="F558" s="1"/>
      <c r="G558" s="1"/>
    </row>
    <row r="559" spans="1:7" x14ac:dyDescent="0.25">
      <c r="A559" s="1"/>
      <c r="B559" s="2"/>
      <c r="C559" s="2"/>
      <c r="D559" s="1"/>
      <c r="F559" s="1"/>
      <c r="G559" s="1"/>
    </row>
    <row r="560" spans="1:7" x14ac:dyDescent="0.25">
      <c r="A560" s="1"/>
      <c r="B560" s="2"/>
      <c r="C560" s="2"/>
      <c r="D560" s="1"/>
      <c r="F560" s="1"/>
      <c r="G560" s="1"/>
    </row>
    <row r="561" spans="1:7" x14ac:dyDescent="0.25">
      <c r="A561" s="1"/>
      <c r="B561" s="2"/>
      <c r="C561" s="2"/>
      <c r="D561" s="1"/>
      <c r="F561" s="1"/>
      <c r="G561" s="1"/>
    </row>
    <row r="562" spans="1:7" x14ac:dyDescent="0.25">
      <c r="A562" s="1"/>
      <c r="B562" s="2"/>
      <c r="C562" s="2"/>
      <c r="D562" s="1"/>
      <c r="F562" s="1"/>
      <c r="G562" s="1"/>
    </row>
    <row r="563" spans="1:7" x14ac:dyDescent="0.25">
      <c r="A563" s="1"/>
      <c r="B563" s="2"/>
      <c r="C563" s="2"/>
      <c r="D563" s="1"/>
      <c r="F563" s="1"/>
      <c r="G563" s="1"/>
    </row>
    <row r="564" spans="1:7" x14ac:dyDescent="0.25">
      <c r="A564" s="1"/>
      <c r="B564" s="2"/>
      <c r="C564" s="2"/>
      <c r="D564" s="1"/>
      <c r="F564" s="1"/>
      <c r="G564" s="1"/>
    </row>
    <row r="565" spans="1:7" x14ac:dyDescent="0.25">
      <c r="A565" s="1"/>
      <c r="B565" s="2"/>
      <c r="C565" s="2"/>
      <c r="D565" s="1"/>
      <c r="F565" s="1"/>
      <c r="G565" s="1"/>
    </row>
    <row r="566" spans="1:7" x14ac:dyDescent="0.25">
      <c r="A566" s="1"/>
      <c r="B566" s="2"/>
      <c r="C566" s="2"/>
      <c r="D566" s="1"/>
      <c r="F566" s="1"/>
      <c r="G566" s="1"/>
    </row>
    <row r="567" spans="1:7" x14ac:dyDescent="0.25">
      <c r="A567" s="1"/>
      <c r="B567" s="2"/>
      <c r="C567" s="2"/>
      <c r="D567" s="1"/>
      <c r="F567" s="1"/>
      <c r="G567" s="1"/>
    </row>
    <row r="568" spans="1:7" x14ac:dyDescent="0.25">
      <c r="A568" s="1"/>
      <c r="B568" s="2"/>
      <c r="C568" s="2"/>
      <c r="D568" s="1"/>
      <c r="F568" s="1"/>
      <c r="G568" s="1"/>
    </row>
    <row r="569" spans="1:7" x14ac:dyDescent="0.25">
      <c r="A569" s="1"/>
      <c r="B569" s="2"/>
      <c r="C569" s="2"/>
      <c r="D569" s="1"/>
      <c r="F569" s="1"/>
      <c r="G569" s="1"/>
    </row>
    <row r="570" spans="1:7" x14ac:dyDescent="0.25">
      <c r="A570" s="1"/>
      <c r="B570" s="2"/>
      <c r="C570" s="2"/>
      <c r="D570" s="1"/>
      <c r="F570" s="1"/>
      <c r="G570" s="1"/>
    </row>
    <row r="571" spans="1:7" x14ac:dyDescent="0.25">
      <c r="A571" s="1"/>
      <c r="B571" s="2"/>
      <c r="C571" s="2"/>
      <c r="D571" s="1"/>
      <c r="F571" s="1"/>
      <c r="G571" s="1"/>
    </row>
    <row r="572" spans="1:7" x14ac:dyDescent="0.25">
      <c r="A572" s="1"/>
      <c r="B572" s="2"/>
      <c r="C572" s="2"/>
      <c r="D572" s="1"/>
      <c r="F572" s="1"/>
      <c r="G572" s="1"/>
    </row>
    <row r="573" spans="1:7" x14ac:dyDescent="0.25">
      <c r="A573" s="1"/>
      <c r="B573" s="2"/>
      <c r="C573" s="2"/>
      <c r="D573" s="1"/>
      <c r="F573" s="1"/>
      <c r="G573" s="1"/>
    </row>
    <row r="574" spans="1:7" x14ac:dyDescent="0.25">
      <c r="A574" s="1"/>
      <c r="B574" s="2"/>
      <c r="C574" s="2"/>
      <c r="D574" s="1"/>
      <c r="F574" s="1"/>
      <c r="G574" s="1"/>
    </row>
    <row r="575" spans="1:7" x14ac:dyDescent="0.25">
      <c r="A575" s="1"/>
      <c r="B575" s="2"/>
      <c r="C575" s="2"/>
      <c r="D575" s="1"/>
      <c r="F575" s="1"/>
      <c r="G575" s="1"/>
    </row>
    <row r="576" spans="1:7" x14ac:dyDescent="0.25">
      <c r="A576" s="1"/>
      <c r="B576" s="2"/>
      <c r="C576" s="2"/>
      <c r="D576" s="1"/>
      <c r="F576" s="1"/>
      <c r="G576" s="1"/>
    </row>
    <row r="577" spans="1:7" x14ac:dyDescent="0.25">
      <c r="A577" s="1"/>
      <c r="B577" s="2"/>
      <c r="C577" s="2"/>
      <c r="D577" s="1"/>
      <c r="F577" s="1"/>
      <c r="G577" s="1"/>
    </row>
    <row r="578" spans="1:7" x14ac:dyDescent="0.25">
      <c r="A578" s="1"/>
      <c r="B578" s="2"/>
      <c r="C578" s="2"/>
      <c r="D578" s="1"/>
      <c r="F578" s="1"/>
      <c r="G578" s="1"/>
    </row>
    <row r="579" spans="1:7" x14ac:dyDescent="0.25">
      <c r="A579" s="1"/>
      <c r="B579" s="2"/>
      <c r="C579" s="2"/>
      <c r="D579" s="1"/>
      <c r="F579" s="1"/>
      <c r="G579" s="1"/>
    </row>
    <row r="580" spans="1:7" x14ac:dyDescent="0.25">
      <c r="A580" s="1"/>
      <c r="B580" s="2"/>
      <c r="C580" s="2"/>
      <c r="D580" s="1"/>
      <c r="F580" s="1"/>
      <c r="G580" s="1"/>
    </row>
    <row r="581" spans="1:7" x14ac:dyDescent="0.25">
      <c r="A581" s="1"/>
      <c r="B581" s="2"/>
      <c r="C581" s="2"/>
      <c r="D581" s="1"/>
      <c r="F581" s="1"/>
      <c r="G581" s="1"/>
    </row>
    <row r="582" spans="1:7" x14ac:dyDescent="0.25">
      <c r="A582" s="1"/>
      <c r="B582" s="2"/>
      <c r="C582" s="2"/>
      <c r="D582" s="1"/>
      <c r="F582" s="1"/>
      <c r="G582" s="1"/>
    </row>
    <row r="583" spans="1:7" x14ac:dyDescent="0.25">
      <c r="A583" s="1"/>
      <c r="B583" s="2"/>
      <c r="C583" s="2"/>
      <c r="D583" s="1"/>
      <c r="F583" s="1"/>
      <c r="G583" s="1"/>
    </row>
    <row r="584" spans="1:7" x14ac:dyDescent="0.25">
      <c r="A584" s="1"/>
      <c r="B584" s="2"/>
      <c r="C584" s="2"/>
      <c r="D584" s="1"/>
      <c r="F584" s="1"/>
      <c r="G584" s="1"/>
    </row>
    <row r="585" spans="1:7" x14ac:dyDescent="0.25">
      <c r="A585" s="1"/>
      <c r="B585" s="2"/>
      <c r="C585" s="2"/>
      <c r="D585" s="1"/>
      <c r="F585" s="1"/>
      <c r="G585" s="1"/>
    </row>
    <row r="586" spans="1:7" x14ac:dyDescent="0.25">
      <c r="A586" s="1"/>
      <c r="B586" s="2"/>
      <c r="C586" s="2"/>
      <c r="D586" s="1"/>
      <c r="F586" s="1"/>
      <c r="G586" s="1"/>
    </row>
    <row r="587" spans="1:7" x14ac:dyDescent="0.25">
      <c r="A587" s="1"/>
      <c r="B587" s="2"/>
      <c r="C587" s="2"/>
      <c r="D587" s="1"/>
      <c r="F587" s="1"/>
      <c r="G587" s="1"/>
    </row>
    <row r="588" spans="1:7" x14ac:dyDescent="0.25">
      <c r="A588" s="1"/>
      <c r="B588" s="2"/>
      <c r="C588" s="2"/>
      <c r="D588" s="1"/>
      <c r="F588" s="1"/>
      <c r="G588" s="1"/>
    </row>
    <row r="589" spans="1:7" x14ac:dyDescent="0.25">
      <c r="A589" s="1"/>
      <c r="B589" s="2"/>
      <c r="C589" s="2"/>
      <c r="D589" s="1"/>
      <c r="F589" s="1"/>
      <c r="G589" s="1"/>
    </row>
    <row r="590" spans="1:7" x14ac:dyDescent="0.25">
      <c r="A590" s="1"/>
      <c r="B590" s="2"/>
      <c r="C590" s="2"/>
      <c r="D590" s="1"/>
      <c r="F590" s="1"/>
      <c r="G590" s="1"/>
    </row>
    <row r="591" spans="1:7" x14ac:dyDescent="0.25">
      <c r="A591" s="1"/>
      <c r="B591" s="2"/>
      <c r="C591" s="2"/>
      <c r="D591" s="1"/>
      <c r="F591" s="1"/>
      <c r="G591" s="1"/>
    </row>
    <row r="592" spans="1:7" x14ac:dyDescent="0.25">
      <c r="A592" s="1"/>
      <c r="B592" s="2"/>
      <c r="C592" s="2"/>
      <c r="D592" s="1"/>
      <c r="F592" s="1"/>
      <c r="G592" s="1"/>
    </row>
    <row r="593" spans="1:7" x14ac:dyDescent="0.25">
      <c r="A593" s="1"/>
      <c r="B593" s="2"/>
      <c r="C593" s="2"/>
      <c r="D593" s="1"/>
      <c r="F593" s="1"/>
      <c r="G593" s="1"/>
    </row>
    <row r="594" spans="1:7" x14ac:dyDescent="0.25">
      <c r="A594" s="1"/>
      <c r="B594" s="2"/>
      <c r="C594" s="2"/>
      <c r="D594" s="1"/>
      <c r="F594" s="1"/>
      <c r="G594" s="1"/>
    </row>
    <row r="595" spans="1:7" x14ac:dyDescent="0.25">
      <c r="A595" s="1"/>
      <c r="B595" s="2"/>
      <c r="C595" s="2"/>
      <c r="D595" s="1"/>
      <c r="F595" s="1"/>
      <c r="G595" s="1"/>
    </row>
    <row r="596" spans="1:7" x14ac:dyDescent="0.25">
      <c r="A596" s="1"/>
      <c r="B596" s="2"/>
      <c r="C596" s="2"/>
      <c r="D596" s="1"/>
      <c r="F596" s="1"/>
      <c r="G596" s="1"/>
    </row>
    <row r="597" spans="1:7" x14ac:dyDescent="0.25">
      <c r="A597" s="1"/>
      <c r="B597" s="2"/>
      <c r="C597" s="2"/>
      <c r="D597" s="1"/>
      <c r="F597" s="1"/>
      <c r="G597" s="1"/>
    </row>
    <row r="598" spans="1:7" x14ac:dyDescent="0.25">
      <c r="A598" s="1"/>
      <c r="B598" s="2"/>
      <c r="C598" s="2"/>
      <c r="D598" s="1"/>
      <c r="F598" s="1"/>
      <c r="G598" s="1"/>
    </row>
    <row r="599" spans="1:7" x14ac:dyDescent="0.25">
      <c r="A599" s="1"/>
      <c r="B599" s="2"/>
      <c r="C599" s="2"/>
      <c r="D599" s="1"/>
      <c r="F599" s="1"/>
      <c r="G599" s="1"/>
    </row>
    <row r="600" spans="1:7" x14ac:dyDescent="0.25">
      <c r="A600" s="1"/>
      <c r="B600" s="2"/>
      <c r="C600" s="2"/>
      <c r="D600" s="1"/>
      <c r="F600" s="1"/>
      <c r="G600" s="1"/>
    </row>
    <row r="601" spans="1:7" x14ac:dyDescent="0.25">
      <c r="A601" s="1"/>
      <c r="B601" s="2"/>
      <c r="C601" s="2"/>
      <c r="D601" s="1"/>
      <c r="F601" s="1"/>
      <c r="G601" s="1"/>
    </row>
    <row r="602" spans="1:7" x14ac:dyDescent="0.25">
      <c r="A602" s="1"/>
      <c r="B602" s="2"/>
      <c r="C602" s="2"/>
      <c r="D602" s="1"/>
      <c r="F602" s="1"/>
      <c r="G602" s="1"/>
    </row>
    <row r="603" spans="1:7" x14ac:dyDescent="0.25">
      <c r="A603" s="1"/>
      <c r="B603" s="2"/>
      <c r="C603" s="2"/>
      <c r="D603" s="1"/>
      <c r="F603" s="1"/>
      <c r="G603" s="1"/>
    </row>
    <row r="604" spans="1:7" x14ac:dyDescent="0.25">
      <c r="A604" s="1"/>
      <c r="B604" s="2"/>
      <c r="C604" s="2"/>
      <c r="D604" s="1"/>
      <c r="F604" s="1"/>
      <c r="G604" s="1"/>
    </row>
    <row r="605" spans="1:7" x14ac:dyDescent="0.25">
      <c r="A605" s="1"/>
      <c r="B605" s="2"/>
      <c r="C605" s="2"/>
      <c r="D605" s="1"/>
      <c r="F605" s="1"/>
      <c r="G605" s="1"/>
    </row>
    <row r="606" spans="1:7" x14ac:dyDescent="0.25">
      <c r="A606" s="1"/>
      <c r="B606" s="2"/>
      <c r="C606" s="2"/>
      <c r="D606" s="1"/>
      <c r="F606" s="1"/>
      <c r="G606" s="1"/>
    </row>
    <row r="607" spans="1:7" x14ac:dyDescent="0.25">
      <c r="A607" s="1"/>
      <c r="B607" s="2"/>
      <c r="C607" s="2"/>
      <c r="D607" s="1"/>
      <c r="F607" s="1"/>
      <c r="G607" s="1"/>
    </row>
    <row r="608" spans="1:7" x14ac:dyDescent="0.25">
      <c r="A608" s="1"/>
      <c r="B608" s="2"/>
      <c r="C608" s="2"/>
      <c r="D608" s="1"/>
      <c r="F608" s="1"/>
      <c r="G608" s="1"/>
    </row>
    <row r="609" spans="1:7" x14ac:dyDescent="0.25">
      <c r="A609" s="1"/>
      <c r="B609" s="2"/>
      <c r="C609" s="2"/>
      <c r="D609" s="1"/>
      <c r="F609" s="1"/>
      <c r="G609" s="1"/>
    </row>
    <row r="610" spans="1:7" x14ac:dyDescent="0.25">
      <c r="A610" s="1"/>
      <c r="B610" s="2"/>
      <c r="C610" s="2"/>
      <c r="D610" s="1"/>
      <c r="F610" s="1"/>
      <c r="G610" s="1"/>
    </row>
    <row r="611" spans="1:7" x14ac:dyDescent="0.25">
      <c r="A611" s="1"/>
      <c r="B611" s="2"/>
      <c r="C611" s="2"/>
      <c r="D611" s="1"/>
      <c r="F611" s="1"/>
      <c r="G611" s="1"/>
    </row>
    <row r="612" spans="1:7" x14ac:dyDescent="0.25">
      <c r="A612" s="1"/>
      <c r="B612" s="2"/>
      <c r="C612" s="2"/>
      <c r="D612" s="1"/>
      <c r="F612" s="1"/>
      <c r="G612" s="1"/>
    </row>
    <row r="613" spans="1:7" x14ac:dyDescent="0.25">
      <c r="A613" s="1"/>
      <c r="B613" s="2"/>
      <c r="C613" s="2"/>
      <c r="D613" s="1"/>
      <c r="F613" s="1"/>
      <c r="G613" s="1"/>
    </row>
    <row r="614" spans="1:7" x14ac:dyDescent="0.25">
      <c r="A614" s="1"/>
      <c r="B614" s="2"/>
      <c r="C614" s="2"/>
      <c r="D614" s="1"/>
      <c r="F614" s="1"/>
      <c r="G614" s="1"/>
    </row>
    <row r="615" spans="1:7" x14ac:dyDescent="0.25">
      <c r="A615" s="1"/>
      <c r="B615" s="2"/>
      <c r="C615" s="2"/>
      <c r="D615" s="1"/>
      <c r="F615" s="1"/>
      <c r="G615" s="1"/>
    </row>
    <row r="616" spans="1:7" x14ac:dyDescent="0.25">
      <c r="A616" s="1"/>
      <c r="B616" s="2"/>
      <c r="C616" s="2"/>
      <c r="D616" s="1"/>
      <c r="F616" s="1"/>
      <c r="G616" s="1"/>
    </row>
    <row r="617" spans="1:7" x14ac:dyDescent="0.25">
      <c r="A617" s="1"/>
      <c r="B617" s="2"/>
      <c r="C617" s="2"/>
      <c r="D617" s="1"/>
      <c r="F617" s="1"/>
      <c r="G617" s="1"/>
    </row>
    <row r="618" spans="1:7" x14ac:dyDescent="0.25">
      <c r="A618" s="1"/>
      <c r="B618" s="2"/>
      <c r="C618" s="2"/>
      <c r="D618" s="1"/>
      <c r="F618" s="1"/>
      <c r="G618" s="1"/>
    </row>
    <row r="619" spans="1:7" x14ac:dyDescent="0.25">
      <c r="A619" s="1"/>
      <c r="B619" s="2"/>
      <c r="C619" s="2"/>
      <c r="D619" s="1"/>
      <c r="F619" s="1"/>
      <c r="G619" s="1"/>
    </row>
    <row r="620" spans="1:7" x14ac:dyDescent="0.25">
      <c r="A620" s="1"/>
      <c r="B620" s="2"/>
      <c r="C620" s="2"/>
      <c r="D620" s="1"/>
      <c r="F620" s="1"/>
      <c r="G620" s="1"/>
    </row>
    <row r="621" spans="1:7" x14ac:dyDescent="0.25">
      <c r="A621" s="1"/>
      <c r="B621" s="2"/>
      <c r="C621" s="2"/>
      <c r="D621" s="1"/>
      <c r="F621" s="1"/>
      <c r="G621" s="1"/>
    </row>
    <row r="622" spans="1:7" x14ac:dyDescent="0.25">
      <c r="A622" s="1"/>
      <c r="B622" s="2"/>
      <c r="C622" s="2"/>
      <c r="D622" s="1"/>
      <c r="F622" s="1"/>
      <c r="G622" s="1"/>
    </row>
    <row r="623" spans="1:7" x14ac:dyDescent="0.25">
      <c r="A623" s="1"/>
      <c r="B623" s="2"/>
      <c r="C623" s="2"/>
      <c r="D623" s="1"/>
      <c r="F623" s="1"/>
      <c r="G623" s="1"/>
    </row>
    <row r="624" spans="1:7" x14ac:dyDescent="0.25">
      <c r="A624" s="1"/>
      <c r="B624" s="2"/>
      <c r="C624" s="2"/>
      <c r="D624" s="1"/>
      <c r="F624" s="1"/>
      <c r="G624" s="1"/>
    </row>
    <row r="625" spans="1:7" x14ac:dyDescent="0.25">
      <c r="A625" s="1"/>
      <c r="B625" s="2"/>
      <c r="C625" s="2"/>
      <c r="D625" s="1"/>
      <c r="F625" s="1"/>
      <c r="G625" s="1"/>
    </row>
    <row r="626" spans="1:7" x14ac:dyDescent="0.25">
      <c r="A626" s="1"/>
      <c r="B626" s="2"/>
      <c r="C626" s="2"/>
      <c r="D626" s="1"/>
      <c r="F626" s="1"/>
      <c r="G626" s="1"/>
    </row>
    <row r="627" spans="1:7" x14ac:dyDescent="0.25">
      <c r="A627" s="1"/>
      <c r="B627" s="2"/>
      <c r="C627" s="2"/>
      <c r="D627" s="1"/>
      <c r="F627" s="1"/>
      <c r="G627" s="1"/>
    </row>
    <row r="628" spans="1:7" x14ac:dyDescent="0.25">
      <c r="A628" s="1"/>
      <c r="B628" s="2"/>
      <c r="C628" s="2"/>
      <c r="D628" s="1"/>
      <c r="F628" s="1"/>
      <c r="G628" s="1"/>
    </row>
    <row r="629" spans="1:7" x14ac:dyDescent="0.25">
      <c r="A629" s="1"/>
      <c r="B629" s="2"/>
      <c r="C629" s="2"/>
      <c r="D629" s="1"/>
      <c r="F629" s="1"/>
      <c r="G629" s="1"/>
    </row>
    <row r="630" spans="1:7" x14ac:dyDescent="0.25">
      <c r="A630" s="1"/>
      <c r="B630" s="2"/>
      <c r="C630" s="2"/>
      <c r="D630" s="1"/>
      <c r="F630" s="1"/>
      <c r="G630" s="1"/>
    </row>
    <row r="631" spans="1:7" x14ac:dyDescent="0.25">
      <c r="A631" s="1"/>
      <c r="B631" s="2"/>
      <c r="C631" s="2"/>
      <c r="D631" s="1"/>
      <c r="F631" s="1"/>
      <c r="G631" s="1"/>
    </row>
    <row r="632" spans="1:7" x14ac:dyDescent="0.25">
      <c r="A632" s="1"/>
      <c r="B632" s="2"/>
      <c r="C632" s="2"/>
      <c r="D632" s="1"/>
      <c r="F632" s="1"/>
      <c r="G632" s="1"/>
    </row>
    <row r="633" spans="1:7" x14ac:dyDescent="0.25">
      <c r="A633" s="1"/>
      <c r="B633" s="2"/>
      <c r="C633" s="2"/>
      <c r="D633" s="1"/>
      <c r="F633" s="1"/>
      <c r="G633" s="1"/>
    </row>
    <row r="634" spans="1:7" x14ac:dyDescent="0.25">
      <c r="A634" s="1"/>
      <c r="B634" s="2"/>
      <c r="C634" s="2"/>
      <c r="D634" s="1"/>
      <c r="F634" s="1"/>
      <c r="G634" s="1"/>
    </row>
    <row r="635" spans="1:7" x14ac:dyDescent="0.25">
      <c r="A635" s="1"/>
      <c r="B635" s="2"/>
      <c r="C635" s="2"/>
      <c r="D635" s="1"/>
      <c r="F635" s="1"/>
      <c r="G635" s="1"/>
    </row>
    <row r="636" spans="1:7" x14ac:dyDescent="0.25">
      <c r="A636" s="1"/>
      <c r="B636" s="2"/>
      <c r="C636" s="2"/>
      <c r="D636" s="1"/>
      <c r="F636" s="1"/>
      <c r="G636" s="1"/>
    </row>
    <row r="637" spans="1:7" x14ac:dyDescent="0.25">
      <c r="A637" s="1"/>
      <c r="B637" s="2"/>
      <c r="C637" s="2"/>
      <c r="D637" s="1"/>
      <c r="F637" s="1"/>
      <c r="G637" s="1"/>
    </row>
    <row r="638" spans="1:7" x14ac:dyDescent="0.25">
      <c r="A638" s="1"/>
      <c r="B638" s="2"/>
      <c r="C638" s="2"/>
      <c r="D638" s="1"/>
      <c r="F638" s="1"/>
      <c r="G638" s="1"/>
    </row>
    <row r="639" spans="1:7" x14ac:dyDescent="0.25">
      <c r="A639" s="1"/>
      <c r="B639" s="2"/>
      <c r="C639" s="2"/>
      <c r="D639" s="1"/>
      <c r="F639" s="1"/>
      <c r="G639" s="1"/>
    </row>
    <row r="640" spans="1:7" x14ac:dyDescent="0.25">
      <c r="A640" s="1"/>
      <c r="B640" s="2"/>
      <c r="C640" s="2"/>
      <c r="D640" s="1"/>
      <c r="F640" s="1"/>
      <c r="G640" s="1"/>
    </row>
    <row r="641" spans="1:7" x14ac:dyDescent="0.25">
      <c r="A641" s="1"/>
      <c r="B641" s="2"/>
      <c r="C641" s="2"/>
      <c r="D641" s="1"/>
      <c r="F641" s="1"/>
      <c r="G641" s="1"/>
    </row>
    <row r="642" spans="1:7" x14ac:dyDescent="0.25">
      <c r="A642" s="1"/>
      <c r="B642" s="2"/>
      <c r="C642" s="2"/>
      <c r="D642" s="1"/>
      <c r="F642" s="1"/>
      <c r="G642" s="1"/>
    </row>
    <row r="643" spans="1:7" x14ac:dyDescent="0.25">
      <c r="A643" s="1"/>
      <c r="B643" s="2"/>
      <c r="C643" s="2"/>
      <c r="D643" s="1"/>
      <c r="F643" s="1"/>
      <c r="G643" s="1"/>
    </row>
    <row r="644" spans="1:7" x14ac:dyDescent="0.25">
      <c r="A644" s="1"/>
      <c r="B644" s="2"/>
      <c r="C644" s="2"/>
      <c r="D644" s="1"/>
      <c r="F644" s="1"/>
      <c r="G644" s="1"/>
    </row>
    <row r="645" spans="1:7" x14ac:dyDescent="0.25">
      <c r="A645" s="1"/>
      <c r="B645" s="2"/>
      <c r="C645" s="2"/>
      <c r="D645" s="1"/>
      <c r="F645" s="1"/>
      <c r="G645" s="1"/>
    </row>
    <row r="646" spans="1:7" x14ac:dyDescent="0.25">
      <c r="A646" s="1"/>
      <c r="B646" s="2"/>
      <c r="C646" s="2"/>
      <c r="D646" s="1"/>
      <c r="F646" s="1"/>
      <c r="G646" s="1"/>
    </row>
    <row r="647" spans="1:7" x14ac:dyDescent="0.25">
      <c r="A647" s="1"/>
      <c r="B647" s="2"/>
      <c r="C647" s="2"/>
      <c r="D647" s="1"/>
      <c r="F647" s="1"/>
      <c r="G647" s="1"/>
    </row>
    <row r="648" spans="1:7" x14ac:dyDescent="0.25">
      <c r="A648" s="1"/>
      <c r="B648" s="2"/>
      <c r="C648" s="2"/>
      <c r="D648" s="1"/>
      <c r="F648" s="1"/>
      <c r="G648" s="1"/>
    </row>
    <row r="649" spans="1:7" x14ac:dyDescent="0.25">
      <c r="A649" s="1"/>
      <c r="B649" s="2"/>
      <c r="C649" s="2"/>
      <c r="D649" s="1"/>
      <c r="F649" s="1"/>
      <c r="G649" s="1"/>
    </row>
    <row r="650" spans="1:7" x14ac:dyDescent="0.25">
      <c r="A650" s="1"/>
      <c r="B650" s="2"/>
      <c r="C650" s="2"/>
      <c r="D650" s="1"/>
      <c r="F650" s="1"/>
      <c r="G650" s="1"/>
    </row>
    <row r="651" spans="1:7" x14ac:dyDescent="0.25">
      <c r="A651" s="1"/>
      <c r="B651" s="2"/>
      <c r="C651" s="2"/>
      <c r="D651" s="1"/>
      <c r="F651" s="1"/>
      <c r="G651" s="1"/>
    </row>
    <row r="652" spans="1:7" x14ac:dyDescent="0.25">
      <c r="A652" s="1"/>
      <c r="B652" s="2"/>
      <c r="C652" s="2"/>
      <c r="D652" s="1"/>
      <c r="F652" s="1"/>
      <c r="G652" s="1"/>
    </row>
    <row r="653" spans="1:7" x14ac:dyDescent="0.25">
      <c r="A653" s="1"/>
      <c r="B653" s="2"/>
      <c r="C653" s="2"/>
      <c r="D653" s="1"/>
      <c r="F653" s="1"/>
      <c r="G653" s="1"/>
    </row>
    <row r="654" spans="1:7" x14ac:dyDescent="0.25">
      <c r="A654" s="1"/>
      <c r="B654" s="2"/>
      <c r="C654" s="2"/>
      <c r="D654" s="1"/>
      <c r="F654" s="1"/>
      <c r="G654" s="1"/>
    </row>
    <row r="655" spans="1:7" x14ac:dyDescent="0.25">
      <c r="A655" s="1"/>
      <c r="B655" s="2"/>
      <c r="C655" s="2"/>
      <c r="D655" s="1"/>
      <c r="F655" s="1"/>
      <c r="G655" s="1"/>
    </row>
    <row r="656" spans="1:7" x14ac:dyDescent="0.25">
      <c r="A656" s="1"/>
      <c r="B656" s="2"/>
      <c r="C656" s="2"/>
      <c r="D656" s="1"/>
      <c r="F656" s="1"/>
      <c r="G656" s="1"/>
    </row>
    <row r="657" spans="1:7" x14ac:dyDescent="0.25">
      <c r="A657" s="1"/>
      <c r="B657" s="2"/>
      <c r="C657" s="2"/>
      <c r="D657" s="1"/>
      <c r="F657" s="1"/>
      <c r="G657" s="1"/>
    </row>
    <row r="658" spans="1:7" x14ac:dyDescent="0.25">
      <c r="A658" s="1"/>
      <c r="B658" s="2"/>
      <c r="C658" s="2"/>
      <c r="D658" s="1"/>
      <c r="F658" s="1"/>
      <c r="G658" s="1"/>
    </row>
    <row r="659" spans="1:7" x14ac:dyDescent="0.25">
      <c r="A659" s="1"/>
      <c r="B659" s="2"/>
      <c r="C659" s="2"/>
      <c r="D659" s="1"/>
      <c r="F659" s="1"/>
      <c r="G659" s="1"/>
    </row>
    <row r="660" spans="1:7" x14ac:dyDescent="0.25">
      <c r="A660" s="1"/>
      <c r="B660" s="2"/>
      <c r="C660" s="2"/>
      <c r="D660" s="1"/>
      <c r="F660" s="1"/>
      <c r="G660" s="1"/>
    </row>
    <row r="661" spans="1:7" x14ac:dyDescent="0.25">
      <c r="A661" s="1"/>
      <c r="B661" s="2"/>
      <c r="C661" s="2"/>
      <c r="D661" s="1"/>
      <c r="F661" s="1"/>
      <c r="G661" s="1"/>
    </row>
    <row r="662" spans="1:7" x14ac:dyDescent="0.25">
      <c r="A662" s="1"/>
      <c r="B662" s="2"/>
      <c r="C662" s="2"/>
      <c r="D662" s="1"/>
      <c r="F662" s="1"/>
      <c r="G662" s="1"/>
    </row>
    <row r="663" spans="1:7" x14ac:dyDescent="0.25">
      <c r="A663" s="1"/>
      <c r="B663" s="2"/>
      <c r="C663" s="2"/>
      <c r="D663" s="1"/>
      <c r="F663" s="1"/>
      <c r="G663" s="1"/>
    </row>
    <row r="664" spans="1:7" x14ac:dyDescent="0.25">
      <c r="A664" s="1"/>
      <c r="B664" s="2"/>
      <c r="C664" s="2"/>
      <c r="D664" s="1"/>
      <c r="F664" s="1"/>
      <c r="G664" s="1"/>
    </row>
    <row r="665" spans="1:7" x14ac:dyDescent="0.25">
      <c r="A665" s="1"/>
      <c r="B665" s="2"/>
      <c r="C665" s="2"/>
      <c r="D665" s="1"/>
      <c r="F665" s="1"/>
      <c r="G665" s="1"/>
    </row>
    <row r="666" spans="1:7" x14ac:dyDescent="0.25">
      <c r="A666" s="1"/>
      <c r="B666" s="2"/>
      <c r="C666" s="2"/>
      <c r="D666" s="1"/>
      <c r="F666" s="1"/>
      <c r="G666" s="1"/>
    </row>
    <row r="667" spans="1:7" x14ac:dyDescent="0.25">
      <c r="A667" s="1"/>
      <c r="B667" s="2"/>
      <c r="C667" s="2"/>
      <c r="D667" s="1"/>
      <c r="F667" s="1"/>
      <c r="G667" s="1"/>
    </row>
    <row r="668" spans="1:7" x14ac:dyDescent="0.25">
      <c r="A668" s="1"/>
      <c r="B668" s="2"/>
      <c r="C668" s="2"/>
      <c r="D668" s="1"/>
      <c r="F668" s="1"/>
      <c r="G668" s="1"/>
    </row>
    <row r="669" spans="1:7" x14ac:dyDescent="0.25">
      <c r="A669" s="1"/>
      <c r="B669" s="2"/>
      <c r="C669" s="2"/>
      <c r="D669" s="1"/>
      <c r="F669" s="1"/>
      <c r="G669" s="1"/>
    </row>
    <row r="670" spans="1:7" x14ac:dyDescent="0.25">
      <c r="A670" s="1"/>
      <c r="B670" s="2"/>
      <c r="C670" s="2"/>
      <c r="D670" s="1"/>
      <c r="F670" s="1"/>
      <c r="G670" s="1"/>
    </row>
    <row r="671" spans="1:7" x14ac:dyDescent="0.25">
      <c r="A671" s="1"/>
      <c r="B671" s="2"/>
      <c r="C671" s="2"/>
      <c r="D671" s="1"/>
      <c r="F671" s="1"/>
      <c r="G671" s="1"/>
    </row>
    <row r="672" spans="1:7" x14ac:dyDescent="0.25">
      <c r="A672" s="1"/>
      <c r="B672" s="2"/>
      <c r="C672" s="2"/>
      <c r="D672" s="1"/>
      <c r="F672" s="1"/>
      <c r="G672" s="1"/>
    </row>
    <row r="673" spans="1:7" x14ac:dyDescent="0.25">
      <c r="A673" s="1"/>
      <c r="B673" s="2"/>
      <c r="C673" s="2"/>
      <c r="D673" s="1"/>
      <c r="F673" s="1"/>
      <c r="G673" s="1"/>
    </row>
    <row r="674" spans="1:7" x14ac:dyDescent="0.25">
      <c r="A674" s="1"/>
      <c r="B674" s="2"/>
      <c r="C674" s="2"/>
      <c r="D674" s="1"/>
      <c r="F674" s="1"/>
      <c r="G674" s="1"/>
    </row>
    <row r="675" spans="1:7" x14ac:dyDescent="0.25">
      <c r="A675" s="1"/>
      <c r="B675" s="2"/>
      <c r="C675" s="2"/>
      <c r="D675" s="1"/>
      <c r="F675" s="1"/>
      <c r="G675" s="1"/>
    </row>
    <row r="676" spans="1:7" x14ac:dyDescent="0.25">
      <c r="A676" s="1"/>
      <c r="B676" s="2"/>
      <c r="C676" s="2"/>
      <c r="D676" s="1"/>
      <c r="F676" s="1"/>
      <c r="G676" s="1"/>
    </row>
    <row r="677" spans="1:7" x14ac:dyDescent="0.25">
      <c r="A677" s="1"/>
      <c r="B677" s="2"/>
      <c r="C677" s="2"/>
      <c r="D677" s="1"/>
      <c r="F677" s="1"/>
      <c r="G677" s="1"/>
    </row>
    <row r="678" spans="1:7" x14ac:dyDescent="0.25">
      <c r="A678" s="1"/>
      <c r="B678" s="2"/>
      <c r="C678" s="2"/>
      <c r="D678" s="1"/>
      <c r="F678" s="1"/>
      <c r="G678" s="1"/>
    </row>
    <row r="679" spans="1:7" x14ac:dyDescent="0.25">
      <c r="A679" s="1"/>
      <c r="B679" s="2"/>
      <c r="C679" s="2"/>
      <c r="D679" s="1"/>
      <c r="F679" s="1"/>
      <c r="G679" s="1"/>
    </row>
    <row r="680" spans="1:7" x14ac:dyDescent="0.25">
      <c r="A680" s="1"/>
      <c r="B680" s="2"/>
      <c r="C680" s="2"/>
      <c r="D680" s="1"/>
      <c r="F680" s="1"/>
      <c r="G680" s="1"/>
    </row>
    <row r="681" spans="1:7" x14ac:dyDescent="0.25">
      <c r="A681" s="1"/>
      <c r="B681" s="2"/>
      <c r="C681" s="2"/>
      <c r="D681" s="1"/>
      <c r="F681" s="1"/>
      <c r="G681" s="1"/>
    </row>
    <row r="682" spans="1:7" x14ac:dyDescent="0.25">
      <c r="A682" s="1"/>
      <c r="B682" s="2"/>
      <c r="C682" s="2"/>
      <c r="D682" s="1"/>
      <c r="F682" s="1"/>
      <c r="G682" s="1"/>
    </row>
    <row r="683" spans="1:7" x14ac:dyDescent="0.25">
      <c r="A683" s="1"/>
      <c r="B683" s="2"/>
      <c r="C683" s="2"/>
      <c r="D683" s="1"/>
      <c r="F683" s="1"/>
      <c r="G683" s="1"/>
    </row>
    <row r="684" spans="1:7" x14ac:dyDescent="0.25">
      <c r="A684" s="1"/>
      <c r="B684" s="2"/>
      <c r="C684" s="2"/>
      <c r="D684" s="1"/>
      <c r="F684" s="1"/>
      <c r="G684" s="1"/>
    </row>
    <row r="685" spans="1:7" x14ac:dyDescent="0.25">
      <c r="A685" s="1"/>
      <c r="B685" s="2"/>
      <c r="C685" s="2"/>
      <c r="D685" s="1"/>
      <c r="F685" s="1"/>
      <c r="G685" s="1"/>
    </row>
    <row r="686" spans="1:7" x14ac:dyDescent="0.25">
      <c r="A686" s="1"/>
      <c r="B686" s="2"/>
      <c r="C686" s="2"/>
      <c r="D686" s="1"/>
      <c r="F686" s="1"/>
      <c r="G686" s="1"/>
    </row>
    <row r="687" spans="1:7" x14ac:dyDescent="0.25">
      <c r="A687" s="1"/>
      <c r="B687" s="2"/>
      <c r="C687" s="2"/>
      <c r="D687" s="1"/>
      <c r="F687" s="1"/>
      <c r="G687" s="1"/>
    </row>
    <row r="688" spans="1:7" x14ac:dyDescent="0.25">
      <c r="A688" s="1"/>
      <c r="B688" s="2"/>
      <c r="C688" s="2"/>
      <c r="D688" s="1"/>
      <c r="F688" s="1"/>
      <c r="G688" s="1"/>
    </row>
    <row r="689" spans="1:7" x14ac:dyDescent="0.25">
      <c r="A689" s="1"/>
      <c r="B689" s="2"/>
      <c r="C689" s="2"/>
      <c r="D689" s="1"/>
      <c r="F689" s="1"/>
      <c r="G689" s="1"/>
    </row>
    <row r="690" spans="1:7" x14ac:dyDescent="0.25">
      <c r="A690" s="1"/>
      <c r="B690" s="2"/>
      <c r="C690" s="2"/>
      <c r="D690" s="1"/>
      <c r="F690" s="1"/>
      <c r="G690" s="1"/>
    </row>
    <row r="691" spans="1:7" x14ac:dyDescent="0.25">
      <c r="A691" s="1"/>
      <c r="B691" s="2"/>
      <c r="C691" s="2"/>
      <c r="D691" s="1"/>
      <c r="F691" s="1"/>
      <c r="G691" s="1"/>
    </row>
    <row r="692" spans="1:7" x14ac:dyDescent="0.25">
      <c r="A692" s="1"/>
      <c r="B692" s="2"/>
      <c r="C692" s="2"/>
      <c r="D692" s="1"/>
      <c r="F692" s="1"/>
      <c r="G692" s="1"/>
    </row>
    <row r="693" spans="1:7" x14ac:dyDescent="0.25">
      <c r="A693" s="1"/>
      <c r="B693" s="2"/>
      <c r="C693" s="2"/>
      <c r="D693" s="1"/>
      <c r="F693" s="1"/>
      <c r="G693" s="1"/>
    </row>
    <row r="694" spans="1:7" x14ac:dyDescent="0.25">
      <c r="A694" s="1"/>
      <c r="B694" s="2"/>
      <c r="C694" s="2"/>
      <c r="D694" s="1"/>
      <c r="F694" s="1"/>
      <c r="G694" s="1"/>
    </row>
    <row r="695" spans="1:7" x14ac:dyDescent="0.25">
      <c r="A695" s="1"/>
      <c r="B695" s="2"/>
      <c r="C695" s="2"/>
      <c r="D695" s="1"/>
      <c r="F695" s="1"/>
      <c r="G695" s="1"/>
    </row>
    <row r="696" spans="1:7" x14ac:dyDescent="0.25">
      <c r="A696" s="1"/>
      <c r="B696" s="2"/>
      <c r="C696" s="2"/>
      <c r="D696" s="1"/>
      <c r="F696" s="1"/>
      <c r="G696" s="1"/>
    </row>
    <row r="697" spans="1:7" x14ac:dyDescent="0.25">
      <c r="A697" s="1"/>
      <c r="B697" s="2"/>
      <c r="C697" s="2"/>
      <c r="D697" s="1"/>
      <c r="F697" s="1"/>
      <c r="G697" s="1"/>
    </row>
    <row r="698" spans="1:7" x14ac:dyDescent="0.25">
      <c r="A698" s="1"/>
      <c r="B698" s="2"/>
      <c r="C698" s="2"/>
      <c r="D698" s="1"/>
      <c r="F698" s="1"/>
      <c r="G698" s="1"/>
    </row>
    <row r="699" spans="1:7" x14ac:dyDescent="0.25">
      <c r="A699" s="1"/>
      <c r="B699" s="2"/>
      <c r="C699" s="2"/>
      <c r="D699" s="1"/>
      <c r="F699" s="1"/>
      <c r="G699" s="1"/>
    </row>
    <row r="700" spans="1:7" x14ac:dyDescent="0.25">
      <c r="A700" s="1"/>
      <c r="B700" s="2"/>
      <c r="C700" s="2"/>
      <c r="D700" s="1"/>
      <c r="F700" s="1"/>
      <c r="G700" s="1"/>
    </row>
    <row r="701" spans="1:7" x14ac:dyDescent="0.25">
      <c r="A701" s="1"/>
      <c r="B701" s="2"/>
      <c r="C701" s="2"/>
      <c r="D701" s="1"/>
      <c r="F701" s="1"/>
      <c r="G701" s="1"/>
    </row>
    <row r="702" spans="1:7" x14ac:dyDescent="0.25">
      <c r="A702" s="1"/>
      <c r="B702" s="2"/>
      <c r="C702" s="2"/>
      <c r="D702" s="1"/>
      <c r="F702" s="1"/>
      <c r="G702" s="1"/>
    </row>
    <row r="703" spans="1:7" x14ac:dyDescent="0.25">
      <c r="A703" s="1"/>
      <c r="B703" s="2"/>
      <c r="C703" s="2"/>
      <c r="D703" s="1"/>
      <c r="F703" s="1"/>
      <c r="G703" s="1"/>
    </row>
    <row r="704" spans="1:7" x14ac:dyDescent="0.25">
      <c r="A704" s="1"/>
      <c r="B704" s="2"/>
      <c r="C704" s="2"/>
      <c r="D704" s="1"/>
      <c r="F704" s="1"/>
      <c r="G704" s="1"/>
    </row>
    <row r="705" spans="1:7" x14ac:dyDescent="0.25">
      <c r="A705" s="1"/>
      <c r="B705" s="2"/>
      <c r="C705" s="2"/>
      <c r="D705" s="1"/>
      <c r="F705" s="1"/>
      <c r="G705" s="1"/>
    </row>
    <row r="706" spans="1:7" x14ac:dyDescent="0.25">
      <c r="A706" s="1"/>
      <c r="B706" s="2"/>
      <c r="C706" s="2"/>
      <c r="D706" s="1"/>
      <c r="F706" s="1"/>
      <c r="G706" s="1"/>
    </row>
    <row r="707" spans="1:7" x14ac:dyDescent="0.25">
      <c r="A707" s="1"/>
      <c r="B707" s="2"/>
      <c r="C707" s="2"/>
      <c r="D707" s="1"/>
      <c r="F707" s="1"/>
      <c r="G707" s="1"/>
    </row>
    <row r="708" spans="1:7" x14ac:dyDescent="0.25">
      <c r="A708" s="1"/>
      <c r="B708" s="2"/>
      <c r="C708" s="2"/>
      <c r="D708" s="1"/>
      <c r="F708" s="1"/>
      <c r="G708" s="1"/>
    </row>
    <row r="709" spans="1:7" x14ac:dyDescent="0.25">
      <c r="A709" s="1"/>
      <c r="B709" s="2"/>
      <c r="C709" s="2"/>
      <c r="D709" s="1"/>
      <c r="F709" s="1"/>
      <c r="G709" s="1"/>
    </row>
    <row r="710" spans="1:7" x14ac:dyDescent="0.25">
      <c r="A710" s="1"/>
      <c r="B710" s="2"/>
      <c r="C710" s="2"/>
      <c r="D710" s="1"/>
      <c r="F710" s="1"/>
      <c r="G710" s="1"/>
    </row>
    <row r="711" spans="1:7" x14ac:dyDescent="0.25">
      <c r="A711" s="1"/>
      <c r="B711" s="2"/>
      <c r="C711" s="2"/>
      <c r="D711" s="1"/>
      <c r="F711" s="1"/>
      <c r="G711" s="1"/>
    </row>
    <row r="712" spans="1:7" x14ac:dyDescent="0.25">
      <c r="A712" s="1"/>
      <c r="B712" s="2"/>
      <c r="C712" s="2"/>
      <c r="D712" s="1"/>
      <c r="F712" s="1"/>
      <c r="G712" s="1"/>
    </row>
    <row r="713" spans="1:7" x14ac:dyDescent="0.25">
      <c r="A713" s="1"/>
      <c r="B713" s="2"/>
      <c r="C713" s="2"/>
      <c r="D713" s="1"/>
      <c r="F713" s="1"/>
      <c r="G713" s="1"/>
    </row>
    <row r="714" spans="1:7" x14ac:dyDescent="0.25">
      <c r="A714" s="1"/>
      <c r="B714" s="2"/>
      <c r="C714" s="2"/>
      <c r="D714" s="1"/>
      <c r="F714" s="1"/>
      <c r="G714" s="1"/>
    </row>
    <row r="715" spans="1:7" x14ac:dyDescent="0.25">
      <c r="A715" s="1"/>
      <c r="B715" s="2"/>
      <c r="C715" s="2"/>
      <c r="D715" s="1"/>
      <c r="F715" s="1"/>
      <c r="G715" s="1"/>
    </row>
    <row r="716" spans="1:7" x14ac:dyDescent="0.25">
      <c r="A716" s="1"/>
      <c r="B716" s="2"/>
      <c r="C716" s="2"/>
      <c r="D716" s="1"/>
      <c r="F716" s="1"/>
      <c r="G716" s="1"/>
    </row>
    <row r="717" spans="1:7" x14ac:dyDescent="0.25">
      <c r="A717" s="1"/>
      <c r="B717" s="2"/>
      <c r="C717" s="2"/>
      <c r="D717" s="1"/>
      <c r="F717" s="1"/>
      <c r="G717" s="1"/>
    </row>
    <row r="718" spans="1:7" x14ac:dyDescent="0.25">
      <c r="A718" s="1"/>
      <c r="B718" s="2"/>
      <c r="C718" s="2"/>
      <c r="D718" s="1"/>
      <c r="F718" s="1"/>
      <c r="G718" s="1"/>
    </row>
    <row r="719" spans="1:7" x14ac:dyDescent="0.25">
      <c r="A719" s="1"/>
      <c r="B719" s="2"/>
      <c r="C719" s="2"/>
      <c r="D719" s="1"/>
      <c r="F719" s="1"/>
      <c r="G719" s="1"/>
    </row>
    <row r="720" spans="1:7" x14ac:dyDescent="0.25">
      <c r="A720" s="1"/>
      <c r="B720" s="2"/>
      <c r="C720" s="2"/>
      <c r="D720" s="1"/>
      <c r="F720" s="1"/>
      <c r="G720" s="1"/>
    </row>
    <row r="721" spans="1:7" x14ac:dyDescent="0.25">
      <c r="A721" s="1"/>
      <c r="B721" s="2"/>
      <c r="C721" s="2"/>
      <c r="D721" s="1"/>
      <c r="F721" s="1"/>
      <c r="G721" s="1"/>
    </row>
    <row r="722" spans="1:7" x14ac:dyDescent="0.25">
      <c r="A722" s="1"/>
      <c r="B722" s="2"/>
      <c r="C722" s="2"/>
      <c r="D722" s="1"/>
      <c r="F722" s="1"/>
      <c r="G722" s="1"/>
    </row>
    <row r="723" spans="1:7" x14ac:dyDescent="0.25">
      <c r="A723" s="1"/>
      <c r="B723" s="2"/>
      <c r="C723" s="2"/>
      <c r="D723" s="1"/>
      <c r="F723" s="1"/>
      <c r="G723" s="1"/>
    </row>
    <row r="724" spans="1:7" x14ac:dyDescent="0.25">
      <c r="A724" s="1"/>
      <c r="B724" s="2"/>
      <c r="C724" s="2"/>
      <c r="D724" s="1"/>
      <c r="F724" s="1"/>
      <c r="G724" s="1"/>
    </row>
    <row r="725" spans="1:7" x14ac:dyDescent="0.25">
      <c r="A725" s="1"/>
      <c r="B725" s="2"/>
      <c r="C725" s="2"/>
      <c r="D725" s="1"/>
      <c r="F725" s="1"/>
      <c r="G725" s="1"/>
    </row>
    <row r="726" spans="1:7" x14ac:dyDescent="0.25">
      <c r="A726" s="1"/>
      <c r="B726" s="2"/>
      <c r="C726" s="2"/>
      <c r="D726" s="1"/>
      <c r="F726" s="1"/>
      <c r="G726" s="1"/>
    </row>
    <row r="727" spans="1:7" x14ac:dyDescent="0.25">
      <c r="A727" s="1"/>
      <c r="B727" s="2"/>
      <c r="C727" s="2"/>
      <c r="D727" s="1"/>
      <c r="F727" s="1"/>
      <c r="G727" s="1"/>
    </row>
    <row r="728" spans="1:7" x14ac:dyDescent="0.25">
      <c r="A728" s="1"/>
      <c r="B728" s="2"/>
      <c r="C728" s="2"/>
      <c r="D728" s="1"/>
      <c r="F728" s="1"/>
      <c r="G728" s="1"/>
    </row>
    <row r="729" spans="1:7" x14ac:dyDescent="0.25">
      <c r="A729" s="1"/>
      <c r="B729" s="2"/>
      <c r="C729" s="2"/>
      <c r="D729" s="1"/>
      <c r="F729" s="1"/>
      <c r="G729" s="1"/>
    </row>
    <row r="730" spans="1:7" x14ac:dyDescent="0.25">
      <c r="A730" s="1"/>
      <c r="B730" s="2"/>
      <c r="C730" s="2"/>
      <c r="D730" s="1"/>
      <c r="F730" s="1"/>
      <c r="G730" s="1"/>
    </row>
    <row r="731" spans="1:7" x14ac:dyDescent="0.25">
      <c r="A731" s="1"/>
      <c r="B731" s="2"/>
      <c r="C731" s="2"/>
      <c r="D731" s="1"/>
      <c r="F731" s="1"/>
      <c r="G731" s="1"/>
    </row>
    <row r="732" spans="1:7" x14ac:dyDescent="0.25">
      <c r="A732" s="1"/>
      <c r="B732" s="2"/>
      <c r="C732" s="2"/>
      <c r="D732" s="1"/>
      <c r="F732" s="1"/>
      <c r="G732" s="1"/>
    </row>
    <row r="733" spans="1:7" x14ac:dyDescent="0.25">
      <c r="A733" s="1"/>
      <c r="B733" s="2"/>
      <c r="C733" s="2"/>
      <c r="D733" s="1"/>
      <c r="F733" s="1"/>
      <c r="G733" s="1"/>
    </row>
    <row r="734" spans="1:7" x14ac:dyDescent="0.25">
      <c r="A734" s="1"/>
      <c r="B734" s="2"/>
      <c r="C734" s="2"/>
      <c r="D734" s="1"/>
      <c r="F734" s="1"/>
      <c r="G734" s="1"/>
    </row>
    <row r="735" spans="1:7" x14ac:dyDescent="0.25">
      <c r="A735" s="1"/>
      <c r="B735" s="2"/>
      <c r="C735" s="2"/>
      <c r="D735" s="1"/>
      <c r="F735" s="1"/>
      <c r="G735" s="1"/>
    </row>
    <row r="736" spans="1:7" x14ac:dyDescent="0.25">
      <c r="A736" s="1"/>
      <c r="B736" s="2"/>
      <c r="C736" s="2"/>
      <c r="D736" s="1"/>
      <c r="F736" s="1"/>
      <c r="G736" s="1"/>
    </row>
    <row r="737" spans="1:7" x14ac:dyDescent="0.25">
      <c r="A737" s="1"/>
      <c r="B737" s="2"/>
      <c r="C737" s="2"/>
      <c r="D737" s="1"/>
      <c r="F737" s="1"/>
      <c r="G737" s="1"/>
    </row>
    <row r="738" spans="1:7" x14ac:dyDescent="0.25">
      <c r="A738" s="1"/>
      <c r="B738" s="2"/>
      <c r="C738" s="2"/>
      <c r="D738" s="1"/>
      <c r="F738" s="1"/>
      <c r="G738" s="1"/>
    </row>
    <row r="739" spans="1:7" x14ac:dyDescent="0.25">
      <c r="A739" s="1"/>
      <c r="B739" s="2"/>
      <c r="C739" s="2"/>
      <c r="D739" s="1"/>
      <c r="F739" s="1"/>
      <c r="G739" s="1"/>
    </row>
    <row r="740" spans="1:7" x14ac:dyDescent="0.25">
      <c r="A740" s="1"/>
      <c r="B740" s="2"/>
      <c r="C740" s="2"/>
      <c r="D740" s="1"/>
      <c r="F740" s="1"/>
      <c r="G740" s="1"/>
    </row>
    <row r="741" spans="1:7" x14ac:dyDescent="0.25">
      <c r="A741" s="1"/>
      <c r="B741" s="2"/>
      <c r="C741" s="2"/>
      <c r="D741" s="1"/>
      <c r="F741" s="1"/>
      <c r="G741" s="1"/>
    </row>
    <row r="742" spans="1:7" x14ac:dyDescent="0.25">
      <c r="A742" s="1"/>
      <c r="B742" s="2"/>
      <c r="C742" s="2"/>
      <c r="D742" s="1"/>
      <c r="F742" s="1"/>
      <c r="G742" s="1"/>
    </row>
    <row r="743" spans="1:7" x14ac:dyDescent="0.25">
      <c r="A743" s="1"/>
      <c r="B743" s="2"/>
      <c r="C743" s="2"/>
      <c r="D743" s="1"/>
      <c r="F743" s="1"/>
      <c r="G743" s="1"/>
    </row>
    <row r="744" spans="1:7" x14ac:dyDescent="0.25">
      <c r="A744" s="1"/>
      <c r="B744" s="2"/>
      <c r="C744" s="2"/>
      <c r="D744" s="1"/>
      <c r="F744" s="1"/>
      <c r="G744" s="1"/>
    </row>
    <row r="745" spans="1:7" x14ac:dyDescent="0.25">
      <c r="A745" s="1"/>
      <c r="B745" s="2"/>
      <c r="C745" s="2"/>
      <c r="D745" s="1"/>
      <c r="F745" s="1"/>
      <c r="G745" s="1"/>
    </row>
    <row r="746" spans="1:7" x14ac:dyDescent="0.25">
      <c r="A746" s="1"/>
      <c r="B746" s="2"/>
      <c r="C746" s="2"/>
      <c r="D746" s="1"/>
      <c r="F746" s="1"/>
      <c r="G746" s="1"/>
    </row>
    <row r="747" spans="1:7" x14ac:dyDescent="0.25">
      <c r="A747" s="1"/>
      <c r="B747" s="2"/>
      <c r="C747" s="2"/>
      <c r="D747" s="1"/>
      <c r="F747" s="1"/>
      <c r="G747" s="1"/>
    </row>
    <row r="748" spans="1:7" x14ac:dyDescent="0.25">
      <c r="A748" s="1"/>
      <c r="B748" s="2"/>
      <c r="C748" s="2"/>
      <c r="D748" s="1"/>
      <c r="F748" s="1"/>
      <c r="G748" s="1"/>
    </row>
    <row r="749" spans="1:7" x14ac:dyDescent="0.25">
      <c r="A749" s="1"/>
      <c r="B749" s="2"/>
      <c r="C749" s="2"/>
      <c r="D749" s="1"/>
      <c r="F749" s="1"/>
      <c r="G749" s="1"/>
    </row>
    <row r="750" spans="1:7" x14ac:dyDescent="0.25">
      <c r="A750" s="1"/>
      <c r="B750" s="2"/>
      <c r="C750" s="2"/>
      <c r="D750" s="1"/>
      <c r="F750" s="1"/>
      <c r="G750" s="1"/>
    </row>
    <row r="751" spans="1:7" x14ac:dyDescent="0.25">
      <c r="A751" s="1"/>
      <c r="B751" s="2"/>
      <c r="C751" s="2"/>
      <c r="D751" s="1"/>
      <c r="F751" s="1"/>
      <c r="G751" s="1"/>
    </row>
    <row r="752" spans="1:7" x14ac:dyDescent="0.25">
      <c r="A752" s="1"/>
      <c r="B752" s="2"/>
      <c r="C752" s="2"/>
      <c r="D752" s="1"/>
      <c r="F752" s="1"/>
      <c r="G752" s="1"/>
    </row>
    <row r="753" spans="1:7" x14ac:dyDescent="0.25">
      <c r="A753" s="1"/>
      <c r="B753" s="2"/>
      <c r="C753" s="2"/>
      <c r="D753" s="1"/>
      <c r="F753" s="1"/>
      <c r="G753" s="1"/>
    </row>
    <row r="754" spans="1:7" x14ac:dyDescent="0.25">
      <c r="A754" s="1"/>
      <c r="B754" s="2"/>
      <c r="C754" s="2"/>
      <c r="D754" s="1"/>
      <c r="F754" s="1"/>
      <c r="G754" s="1"/>
    </row>
    <row r="755" spans="1:7" x14ac:dyDescent="0.25">
      <c r="A755" s="1"/>
      <c r="B755" s="2"/>
      <c r="C755" s="2"/>
      <c r="D755" s="1"/>
      <c r="F755" s="1"/>
      <c r="G755" s="1"/>
    </row>
    <row r="756" spans="1:7" x14ac:dyDescent="0.25">
      <c r="A756" s="1"/>
      <c r="B756" s="2"/>
      <c r="C756" s="2"/>
      <c r="D756" s="1"/>
      <c r="F756" s="1"/>
      <c r="G756" s="1"/>
    </row>
    <row r="757" spans="1:7" x14ac:dyDescent="0.25">
      <c r="A757" s="1"/>
      <c r="B757" s="2"/>
      <c r="C757" s="2"/>
      <c r="D757" s="1"/>
      <c r="F757" s="1"/>
      <c r="G757" s="1"/>
    </row>
    <row r="758" spans="1:7" x14ac:dyDescent="0.25">
      <c r="A758" s="1"/>
      <c r="B758" s="2"/>
      <c r="C758" s="2"/>
      <c r="D758" s="1"/>
      <c r="F758" s="1"/>
      <c r="G758" s="1"/>
    </row>
    <row r="759" spans="1:7" x14ac:dyDescent="0.25">
      <c r="A759" s="1"/>
      <c r="B759" s="2"/>
      <c r="C759" s="2"/>
      <c r="D759" s="1"/>
      <c r="F759" s="1"/>
      <c r="G759" s="1"/>
    </row>
    <row r="760" spans="1:7" x14ac:dyDescent="0.25">
      <c r="A760" s="1"/>
      <c r="B760" s="2"/>
      <c r="C760" s="2"/>
      <c r="D760" s="1"/>
      <c r="F760" s="1"/>
      <c r="G760" s="1"/>
    </row>
    <row r="761" spans="1:7" x14ac:dyDescent="0.25">
      <c r="A761" s="1"/>
      <c r="B761" s="2"/>
      <c r="C761" s="2"/>
      <c r="D761" s="1"/>
      <c r="F761" s="1"/>
      <c r="G761" s="1"/>
    </row>
    <row r="762" spans="1:7" x14ac:dyDescent="0.25">
      <c r="A762" s="1"/>
      <c r="B762" s="2"/>
      <c r="C762" s="2"/>
      <c r="D762" s="1"/>
      <c r="F762" s="1"/>
      <c r="G762" s="1"/>
    </row>
    <row r="763" spans="1:7" x14ac:dyDescent="0.25">
      <c r="A763" s="1"/>
      <c r="B763" s="2"/>
      <c r="C763" s="2"/>
      <c r="D763" s="1"/>
      <c r="F763" s="1"/>
      <c r="G763" s="1"/>
    </row>
    <row r="764" spans="1:7" x14ac:dyDescent="0.25">
      <c r="A764" s="1"/>
      <c r="B764" s="2"/>
      <c r="C764" s="2"/>
      <c r="D764" s="1"/>
      <c r="F764" s="1"/>
      <c r="G764" s="1"/>
    </row>
    <row r="765" spans="1:7" x14ac:dyDescent="0.25">
      <c r="A765" s="1"/>
      <c r="B765" s="2"/>
      <c r="C765" s="2"/>
      <c r="D765" s="1"/>
      <c r="F765" s="1"/>
      <c r="G765" s="1"/>
    </row>
    <row r="766" spans="1:7" x14ac:dyDescent="0.25">
      <c r="A766" s="1"/>
      <c r="B766" s="2"/>
      <c r="C766" s="2"/>
      <c r="D766" s="1"/>
      <c r="F766" s="1"/>
      <c r="G766" s="1"/>
    </row>
    <row r="767" spans="1:7" x14ac:dyDescent="0.25">
      <c r="A767" s="1"/>
      <c r="B767" s="2"/>
      <c r="C767" s="2"/>
      <c r="D767" s="1"/>
      <c r="F767" s="1"/>
      <c r="G767" s="1"/>
    </row>
    <row r="768" spans="1:7" x14ac:dyDescent="0.25">
      <c r="A768" s="1"/>
      <c r="B768" s="2"/>
      <c r="C768" s="2"/>
      <c r="D768" s="1"/>
      <c r="F768" s="1"/>
      <c r="G768" s="1"/>
    </row>
    <row r="769" spans="1:7" x14ac:dyDescent="0.25">
      <c r="A769" s="1"/>
      <c r="B769" s="2"/>
      <c r="C769" s="2"/>
      <c r="D769" s="1"/>
      <c r="F769" s="1"/>
      <c r="G769" s="1"/>
    </row>
    <row r="770" spans="1:7" x14ac:dyDescent="0.25">
      <c r="A770" s="1"/>
      <c r="B770" s="2"/>
      <c r="C770" s="2"/>
      <c r="D770" s="1"/>
      <c r="F770" s="1"/>
      <c r="G770" s="1"/>
    </row>
    <row r="771" spans="1:7" x14ac:dyDescent="0.25">
      <c r="A771" s="1"/>
      <c r="B771" s="2"/>
      <c r="C771" s="2"/>
      <c r="D771" s="1"/>
      <c r="F771" s="1"/>
      <c r="G771" s="1"/>
    </row>
    <row r="772" spans="1:7" x14ac:dyDescent="0.25">
      <c r="A772" s="1"/>
      <c r="B772" s="2"/>
      <c r="C772" s="2"/>
      <c r="D772" s="1"/>
      <c r="F772" s="1"/>
      <c r="G772" s="1"/>
    </row>
    <row r="773" spans="1:7" x14ac:dyDescent="0.25">
      <c r="A773" s="1"/>
      <c r="B773" s="2"/>
      <c r="C773" s="2"/>
      <c r="D773" s="1"/>
      <c r="F773" s="1"/>
      <c r="G773" s="1"/>
    </row>
    <row r="774" spans="1:7" x14ac:dyDescent="0.25">
      <c r="A774" s="1"/>
      <c r="B774" s="2"/>
      <c r="C774" s="2"/>
      <c r="D774" s="1"/>
      <c r="F774" s="1"/>
      <c r="G774" s="1"/>
    </row>
    <row r="775" spans="1:7" x14ac:dyDescent="0.25">
      <c r="A775" s="1"/>
      <c r="B775" s="2"/>
      <c r="C775" s="2"/>
      <c r="D775" s="1"/>
      <c r="F775" s="1"/>
      <c r="G775" s="1"/>
    </row>
    <row r="776" spans="1:7" x14ac:dyDescent="0.25">
      <c r="A776" s="1"/>
      <c r="B776" s="2"/>
      <c r="C776" s="2"/>
      <c r="D776" s="1"/>
      <c r="F776" s="1"/>
      <c r="G776" s="1"/>
    </row>
    <row r="777" spans="1:7" x14ac:dyDescent="0.25">
      <c r="A777" s="1"/>
      <c r="B777" s="2"/>
      <c r="C777" s="2"/>
      <c r="D777" s="1"/>
      <c r="F777" s="1"/>
      <c r="G777" s="1"/>
    </row>
    <row r="778" spans="1:7" x14ac:dyDescent="0.25">
      <c r="A778" s="1"/>
      <c r="B778" s="2"/>
      <c r="C778" s="2"/>
      <c r="D778" s="1"/>
      <c r="F778" s="1"/>
      <c r="G778" s="1"/>
    </row>
    <row r="779" spans="1:7" x14ac:dyDescent="0.25">
      <c r="A779" s="1"/>
      <c r="B779" s="2"/>
      <c r="C779" s="2"/>
      <c r="D779" s="1"/>
      <c r="F779" s="1"/>
      <c r="G779" s="1"/>
    </row>
    <row r="780" spans="1:7" x14ac:dyDescent="0.25">
      <c r="A780" s="1"/>
      <c r="B780" s="2"/>
      <c r="C780" s="2"/>
      <c r="D780" s="1"/>
      <c r="F780" s="1"/>
      <c r="G780" s="1"/>
    </row>
    <row r="781" spans="1:7" x14ac:dyDescent="0.25">
      <c r="A781" s="1"/>
      <c r="B781" s="2"/>
      <c r="C781" s="2"/>
      <c r="D781" s="1"/>
      <c r="F781" s="1"/>
      <c r="G781" s="1"/>
    </row>
    <row r="782" spans="1:7" x14ac:dyDescent="0.25">
      <c r="A782" s="1"/>
      <c r="B782" s="2"/>
      <c r="C782" s="2"/>
      <c r="D782" s="1"/>
      <c r="F782" s="1"/>
      <c r="G782" s="1"/>
    </row>
    <row r="783" spans="1:7" x14ac:dyDescent="0.25">
      <c r="A783" s="1"/>
      <c r="B783" s="2"/>
      <c r="C783" s="2"/>
      <c r="D783" s="1"/>
      <c r="F783" s="1"/>
      <c r="G783" s="1"/>
    </row>
    <row r="784" spans="1:7" x14ac:dyDescent="0.25">
      <c r="A784" s="1"/>
      <c r="B784" s="2"/>
      <c r="C784" s="2"/>
      <c r="D784" s="1"/>
      <c r="F784" s="1"/>
      <c r="G784" s="1"/>
    </row>
    <row r="785" spans="1:7" x14ac:dyDescent="0.25">
      <c r="A785" s="1"/>
      <c r="B785" s="2"/>
      <c r="C785" s="2"/>
      <c r="D785" s="1"/>
      <c r="F785" s="1"/>
      <c r="G785" s="1"/>
    </row>
    <row r="786" spans="1:7" x14ac:dyDescent="0.25">
      <c r="A786" s="1"/>
      <c r="B786" s="2"/>
      <c r="C786" s="2"/>
      <c r="D786" s="1"/>
      <c r="F786" s="1"/>
      <c r="G786" s="1"/>
    </row>
    <row r="787" spans="1:7" x14ac:dyDescent="0.25">
      <c r="A787" s="1"/>
      <c r="B787" s="2"/>
      <c r="C787" s="2"/>
      <c r="D787" s="1"/>
      <c r="F787" s="1"/>
      <c r="G787" s="1"/>
    </row>
    <row r="788" spans="1:7" x14ac:dyDescent="0.25">
      <c r="A788" s="1"/>
      <c r="B788" s="2"/>
      <c r="C788" s="2"/>
      <c r="D788" s="1"/>
      <c r="F788" s="1"/>
      <c r="G788" s="1"/>
    </row>
    <row r="789" spans="1:7" x14ac:dyDescent="0.25">
      <c r="A789" s="1"/>
      <c r="B789" s="2"/>
      <c r="C789" s="2"/>
      <c r="D789" s="1"/>
      <c r="F789" s="1"/>
      <c r="G789" s="1"/>
    </row>
    <row r="790" spans="1:7" x14ac:dyDescent="0.25">
      <c r="A790" s="1"/>
      <c r="B790" s="2"/>
      <c r="C790" s="2"/>
      <c r="D790" s="1"/>
      <c r="F790" s="1"/>
      <c r="G790" s="1"/>
    </row>
    <row r="791" spans="1:7" x14ac:dyDescent="0.25">
      <c r="A791" s="1"/>
      <c r="B791" s="2"/>
      <c r="C791" s="2"/>
      <c r="D791" s="1"/>
      <c r="F791" s="1"/>
      <c r="G791" s="1"/>
    </row>
    <row r="792" spans="1:7" x14ac:dyDescent="0.25">
      <c r="A792" s="1"/>
      <c r="B792" s="2"/>
      <c r="C792" s="2"/>
      <c r="D792" s="1"/>
      <c r="F792" s="1"/>
      <c r="G792" s="1"/>
    </row>
    <row r="793" spans="1:7" x14ac:dyDescent="0.25">
      <c r="A793" s="1"/>
      <c r="B793" s="2"/>
      <c r="C793" s="2"/>
      <c r="D793" s="1"/>
      <c r="F793" s="1"/>
      <c r="G793" s="1"/>
    </row>
    <row r="794" spans="1:7" x14ac:dyDescent="0.25">
      <c r="A794" s="1"/>
      <c r="B794" s="2"/>
      <c r="C794" s="2"/>
      <c r="D794" s="1"/>
      <c r="F794" s="1"/>
      <c r="G794" s="1"/>
    </row>
    <row r="795" spans="1:7" x14ac:dyDescent="0.25">
      <c r="A795" s="1"/>
      <c r="B795" s="2"/>
      <c r="C795" s="2"/>
      <c r="D795" s="1"/>
      <c r="F795" s="1"/>
      <c r="G795" s="1"/>
    </row>
    <row r="796" spans="1:7" x14ac:dyDescent="0.25">
      <c r="A796" s="1"/>
      <c r="B796" s="2"/>
      <c r="C796" s="2"/>
      <c r="D796" s="1"/>
      <c r="F796" s="1"/>
      <c r="G796" s="1"/>
    </row>
    <row r="797" spans="1:7" x14ac:dyDescent="0.25">
      <c r="A797" s="1"/>
      <c r="B797" s="2"/>
      <c r="C797" s="2"/>
      <c r="D797" s="1"/>
      <c r="F797" s="1"/>
      <c r="G797" s="1"/>
    </row>
    <row r="798" spans="1:7" x14ac:dyDescent="0.25">
      <c r="A798" s="1"/>
      <c r="B798" s="2"/>
      <c r="C798" s="2"/>
      <c r="D798" s="1"/>
      <c r="F798" s="1"/>
      <c r="G798" s="1"/>
    </row>
    <row r="799" spans="1:7" x14ac:dyDescent="0.25">
      <c r="A799" s="1"/>
      <c r="B799" s="2"/>
      <c r="C799" s="2"/>
      <c r="D799" s="1"/>
      <c r="F799" s="1"/>
      <c r="G799" s="1"/>
    </row>
    <row r="800" spans="1:7" x14ac:dyDescent="0.25">
      <c r="A800" s="1"/>
      <c r="B800" s="2"/>
      <c r="C800" s="2"/>
      <c r="D800" s="1"/>
      <c r="F800" s="1"/>
      <c r="G800" s="1"/>
    </row>
    <row r="801" spans="1:7" x14ac:dyDescent="0.25">
      <c r="A801" s="1"/>
      <c r="B801" s="2"/>
      <c r="C801" s="2"/>
      <c r="D801" s="1"/>
      <c r="F801" s="1"/>
      <c r="G801" s="1"/>
    </row>
    <row r="802" spans="1:7" x14ac:dyDescent="0.25">
      <c r="A802" s="1"/>
      <c r="B802" s="2"/>
      <c r="C802" s="2"/>
      <c r="D802" s="1"/>
      <c r="F802" s="1"/>
      <c r="G802" s="1"/>
    </row>
    <row r="803" spans="1:7" x14ac:dyDescent="0.25">
      <c r="A803" s="1"/>
      <c r="B803" s="2"/>
      <c r="C803" s="2"/>
      <c r="D803" s="1"/>
      <c r="F803" s="1"/>
      <c r="G803" s="1"/>
    </row>
    <row r="804" spans="1:7" x14ac:dyDescent="0.25">
      <c r="A804" s="1"/>
      <c r="B804" s="2"/>
      <c r="C804" s="2"/>
      <c r="D804" s="1"/>
      <c r="F804" s="1"/>
      <c r="G804" s="1"/>
    </row>
    <row r="805" spans="1:7" x14ac:dyDescent="0.25">
      <c r="A805" s="1"/>
      <c r="B805" s="2"/>
      <c r="C805" s="2"/>
      <c r="D805" s="1"/>
      <c r="F805" s="1"/>
      <c r="G805" s="1"/>
    </row>
    <row r="806" spans="1:7" x14ac:dyDescent="0.25">
      <c r="A806" s="1"/>
      <c r="B806" s="2"/>
      <c r="C806" s="2"/>
      <c r="D806" s="1"/>
      <c r="F806" s="1"/>
      <c r="G806" s="1"/>
    </row>
    <row r="807" spans="1:7" x14ac:dyDescent="0.25">
      <c r="A807" s="1"/>
      <c r="B807" s="2"/>
      <c r="C807" s="2"/>
      <c r="D807" s="1"/>
      <c r="F807" s="1"/>
      <c r="G807" s="1"/>
    </row>
    <row r="808" spans="1:7" x14ac:dyDescent="0.25">
      <c r="A808" s="1"/>
      <c r="B808" s="2"/>
      <c r="C808" s="2"/>
      <c r="D808" s="1"/>
      <c r="F808" s="1"/>
      <c r="G808" s="1"/>
    </row>
    <row r="809" spans="1:7" x14ac:dyDescent="0.25">
      <c r="A809" s="1"/>
      <c r="B809" s="2"/>
      <c r="C809" s="2"/>
      <c r="D809" s="1"/>
      <c r="F809" s="1"/>
      <c r="G809" s="1"/>
    </row>
    <row r="810" spans="1:7" x14ac:dyDescent="0.25">
      <c r="A810" s="1"/>
      <c r="B810" s="2"/>
      <c r="C810" s="2"/>
      <c r="D810" s="1"/>
      <c r="F810" s="1"/>
      <c r="G810" s="1"/>
    </row>
    <row r="811" spans="1:7" x14ac:dyDescent="0.25">
      <c r="A811" s="1"/>
      <c r="B811" s="2"/>
      <c r="C811" s="2"/>
      <c r="D811" s="1"/>
      <c r="F811" s="1"/>
      <c r="G811" s="1"/>
    </row>
    <row r="812" spans="1:7" x14ac:dyDescent="0.25">
      <c r="A812" s="1"/>
      <c r="B812" s="2"/>
      <c r="C812" s="2"/>
      <c r="D812" s="1"/>
      <c r="F812" s="1"/>
      <c r="G812" s="1"/>
    </row>
    <row r="813" spans="1:7" x14ac:dyDescent="0.25">
      <c r="A813" s="1"/>
      <c r="B813" s="2"/>
      <c r="C813" s="2"/>
      <c r="D813" s="1"/>
      <c r="F813" s="1"/>
      <c r="G813" s="1"/>
    </row>
    <row r="814" spans="1:7" x14ac:dyDescent="0.25">
      <c r="A814" s="1"/>
      <c r="B814" s="2"/>
      <c r="C814" s="2"/>
      <c r="D814" s="1"/>
      <c r="F814" s="1"/>
      <c r="G814" s="1"/>
    </row>
    <row r="815" spans="1:7" x14ac:dyDescent="0.25">
      <c r="A815" s="1"/>
      <c r="B815" s="2"/>
      <c r="C815" s="2"/>
      <c r="D815" s="1"/>
      <c r="F815" s="1"/>
      <c r="G815" s="1"/>
    </row>
    <row r="816" spans="1:7" x14ac:dyDescent="0.25">
      <c r="A816" s="1"/>
      <c r="B816" s="2"/>
      <c r="C816" s="2"/>
      <c r="D816" s="1"/>
      <c r="F816" s="1"/>
      <c r="G816" s="1"/>
    </row>
    <row r="817" spans="1:7" x14ac:dyDescent="0.25">
      <c r="A817" s="1"/>
      <c r="B817" s="2"/>
      <c r="C817" s="2"/>
      <c r="D817" s="1"/>
      <c r="F817" s="1"/>
      <c r="G817" s="1"/>
    </row>
    <row r="818" spans="1:7" x14ac:dyDescent="0.25">
      <c r="A818" s="1"/>
      <c r="B818" s="2"/>
      <c r="C818" s="2"/>
      <c r="D818" s="1"/>
      <c r="F818" s="1"/>
      <c r="G818" s="1"/>
    </row>
    <row r="819" spans="1:7" x14ac:dyDescent="0.25">
      <c r="A819" s="1"/>
      <c r="B819" s="2"/>
      <c r="C819" s="2"/>
      <c r="D819" s="1"/>
      <c r="F819" s="1"/>
      <c r="G819" s="1"/>
    </row>
    <row r="820" spans="1:7" x14ac:dyDescent="0.25">
      <c r="A820" s="1"/>
      <c r="B820" s="2"/>
      <c r="C820" s="2"/>
      <c r="D820" s="1"/>
      <c r="F820" s="1"/>
      <c r="G820" s="1"/>
    </row>
    <row r="821" spans="1:7" x14ac:dyDescent="0.25">
      <c r="A821" s="1"/>
      <c r="B821" s="2"/>
      <c r="C821" s="2"/>
      <c r="D821" s="1"/>
      <c r="F821" s="1"/>
      <c r="G821" s="1"/>
    </row>
    <row r="822" spans="1:7" x14ac:dyDescent="0.25">
      <c r="A822" s="1"/>
      <c r="B822" s="2"/>
      <c r="C822" s="2"/>
      <c r="D822" s="1"/>
      <c r="F822" s="1"/>
      <c r="G822" s="1"/>
    </row>
    <row r="823" spans="1:7" x14ac:dyDescent="0.25">
      <c r="A823" s="1"/>
      <c r="B823" s="2"/>
      <c r="C823" s="2"/>
      <c r="D823" s="1"/>
      <c r="F823" s="1"/>
      <c r="G823" s="1"/>
    </row>
    <row r="824" spans="1:7" x14ac:dyDescent="0.25">
      <c r="A824" s="1"/>
      <c r="B824" s="2"/>
      <c r="C824" s="2"/>
      <c r="D824" s="1"/>
      <c r="F824" s="1"/>
      <c r="G824" s="1"/>
    </row>
    <row r="825" spans="1:7" x14ac:dyDescent="0.25">
      <c r="A825" s="1"/>
      <c r="B825" s="2"/>
      <c r="C825" s="2"/>
      <c r="D825" s="1"/>
      <c r="F825" s="1"/>
      <c r="G825" s="1"/>
    </row>
    <row r="826" spans="1:7" x14ac:dyDescent="0.25">
      <c r="A826" s="1"/>
      <c r="B826" s="2"/>
      <c r="C826" s="2"/>
      <c r="D826" s="1"/>
      <c r="F826" s="1"/>
      <c r="G826" s="1"/>
    </row>
    <row r="827" spans="1:7" x14ac:dyDescent="0.25">
      <c r="A827" s="1"/>
      <c r="B827" s="2"/>
      <c r="C827" s="2"/>
      <c r="D827" s="1"/>
      <c r="F827" s="1"/>
      <c r="G827" s="1"/>
    </row>
    <row r="828" spans="1:7" x14ac:dyDescent="0.25">
      <c r="A828" s="1"/>
      <c r="B828" s="2"/>
      <c r="C828" s="2"/>
      <c r="D828" s="1"/>
      <c r="F828" s="1"/>
      <c r="G828" s="1"/>
    </row>
    <row r="829" spans="1:7" x14ac:dyDescent="0.25">
      <c r="A829" s="1"/>
      <c r="B829" s="2"/>
      <c r="C829" s="2"/>
      <c r="D829" s="1"/>
      <c r="F829" s="1"/>
      <c r="G829" s="1"/>
    </row>
    <row r="830" spans="1:7" x14ac:dyDescent="0.25">
      <c r="A830" s="1"/>
      <c r="B830" s="2"/>
      <c r="C830" s="2"/>
      <c r="D830" s="1"/>
      <c r="F830" s="1"/>
      <c r="G830" s="1"/>
    </row>
    <row r="831" spans="1:7" x14ac:dyDescent="0.25">
      <c r="A831" s="1"/>
      <c r="B831" s="2"/>
      <c r="C831" s="2"/>
      <c r="D831" s="1"/>
      <c r="F831" s="1"/>
      <c r="G831" s="1"/>
    </row>
    <row r="832" spans="1:7" x14ac:dyDescent="0.25">
      <c r="A832" s="1"/>
      <c r="B832" s="2"/>
      <c r="C832" s="2"/>
      <c r="D832" s="1"/>
      <c r="F832" s="1"/>
      <c r="G832" s="1"/>
    </row>
    <row r="833" spans="1:7" x14ac:dyDescent="0.25">
      <c r="A833" s="1"/>
      <c r="B833" s="2"/>
      <c r="C833" s="2"/>
      <c r="D833" s="1"/>
      <c r="F833" s="1"/>
      <c r="G833" s="1"/>
    </row>
    <row r="834" spans="1:7" x14ac:dyDescent="0.25">
      <c r="A834" s="1"/>
      <c r="B834" s="2"/>
      <c r="C834" s="2"/>
      <c r="D834" s="1"/>
      <c r="F834" s="1"/>
      <c r="G834" s="1"/>
    </row>
    <row r="835" spans="1:7" x14ac:dyDescent="0.25">
      <c r="A835" s="1"/>
      <c r="B835" s="2"/>
      <c r="C835" s="2"/>
      <c r="D835" s="1"/>
      <c r="F835" s="1"/>
      <c r="G835" s="1"/>
    </row>
    <row r="836" spans="1:7" x14ac:dyDescent="0.25">
      <c r="A836" s="1"/>
      <c r="B836" s="2"/>
      <c r="C836" s="2"/>
      <c r="D836" s="1"/>
      <c r="F836" s="1"/>
      <c r="G836" s="1"/>
    </row>
    <row r="837" spans="1:7" x14ac:dyDescent="0.25">
      <c r="A837" s="1"/>
      <c r="B837" s="2"/>
      <c r="C837" s="2"/>
      <c r="D837" s="1"/>
      <c r="F837" s="1"/>
      <c r="G837" s="1"/>
    </row>
    <row r="838" spans="1:7" x14ac:dyDescent="0.25">
      <c r="A838" s="1"/>
      <c r="B838" s="2"/>
      <c r="C838" s="2"/>
      <c r="D838" s="1"/>
      <c r="F838" s="1"/>
      <c r="G838" s="1"/>
    </row>
    <row r="839" spans="1:7" x14ac:dyDescent="0.25">
      <c r="A839" s="1"/>
      <c r="B839" s="2"/>
      <c r="C839" s="2"/>
      <c r="D839" s="1"/>
      <c r="F839" s="1"/>
      <c r="G839" s="1"/>
    </row>
    <row r="840" spans="1:7" x14ac:dyDescent="0.25">
      <c r="A840" s="1"/>
      <c r="B840" s="2"/>
      <c r="C840" s="2"/>
      <c r="D840" s="1"/>
      <c r="F840" s="1"/>
      <c r="G840" s="1"/>
    </row>
    <row r="841" spans="1:7" x14ac:dyDescent="0.25">
      <c r="A841" s="1"/>
      <c r="B841" s="2"/>
      <c r="C841" s="2"/>
      <c r="D841" s="1"/>
      <c r="F841" s="1"/>
      <c r="G841" s="1"/>
    </row>
    <row r="842" spans="1:7" x14ac:dyDescent="0.25">
      <c r="A842" s="1"/>
      <c r="B842" s="2"/>
      <c r="C842" s="2"/>
      <c r="D842" s="1"/>
      <c r="F842" s="1"/>
      <c r="G842" s="1"/>
    </row>
    <row r="843" spans="1:7" x14ac:dyDescent="0.25">
      <c r="A843" s="1"/>
      <c r="B843" s="2"/>
      <c r="C843" s="2"/>
      <c r="D843" s="1"/>
      <c r="F843" s="1"/>
      <c r="G843" s="1"/>
    </row>
    <row r="844" spans="1:7" x14ac:dyDescent="0.25">
      <c r="A844" s="1"/>
      <c r="B844" s="2"/>
      <c r="C844" s="2"/>
      <c r="D844" s="1"/>
      <c r="F844" s="1"/>
      <c r="G844" s="1"/>
    </row>
    <row r="845" spans="1:7" x14ac:dyDescent="0.25">
      <c r="A845" s="1"/>
      <c r="B845" s="2"/>
      <c r="C845" s="2"/>
      <c r="D845" s="1"/>
      <c r="F845" s="1"/>
      <c r="G845" s="1"/>
    </row>
    <row r="846" spans="1:7" x14ac:dyDescent="0.25">
      <c r="A846" s="1"/>
      <c r="B846" s="2"/>
      <c r="C846" s="2"/>
      <c r="D846" s="1"/>
      <c r="F846" s="1"/>
      <c r="G846" s="1"/>
    </row>
    <row r="847" spans="1:7" x14ac:dyDescent="0.25">
      <c r="A847" s="1"/>
      <c r="B847" s="2"/>
      <c r="C847" s="2"/>
      <c r="D847" s="1"/>
      <c r="F847" s="1"/>
      <c r="G847" s="1"/>
    </row>
    <row r="848" spans="1:7" x14ac:dyDescent="0.25">
      <c r="A848" s="1"/>
      <c r="B848" s="2"/>
      <c r="C848" s="2"/>
      <c r="D848" s="1"/>
      <c r="F848" s="1"/>
      <c r="G848" s="1"/>
    </row>
    <row r="849" spans="1:7" x14ac:dyDescent="0.25">
      <c r="A849" s="1"/>
      <c r="B849" s="2"/>
      <c r="C849" s="2"/>
      <c r="D849" s="1"/>
      <c r="F849" s="1"/>
      <c r="G849" s="1"/>
    </row>
    <row r="850" spans="1:7" x14ac:dyDescent="0.25">
      <c r="A850" s="1"/>
      <c r="B850" s="2"/>
      <c r="C850" s="2"/>
      <c r="D850" s="1"/>
      <c r="F850" s="1"/>
      <c r="G850" s="1"/>
    </row>
    <row r="851" spans="1:7" x14ac:dyDescent="0.25">
      <c r="A851" s="1"/>
      <c r="B851" s="2"/>
      <c r="C851" s="2"/>
      <c r="D851" s="1"/>
      <c r="F851" s="1"/>
      <c r="G851" s="1"/>
    </row>
    <row r="852" spans="1:7" x14ac:dyDescent="0.25">
      <c r="A852" s="1"/>
      <c r="B852" s="2"/>
      <c r="C852" s="2"/>
      <c r="D852" s="1"/>
      <c r="F852" s="1"/>
      <c r="G852" s="1"/>
    </row>
    <row r="853" spans="1:7" x14ac:dyDescent="0.25">
      <c r="A853" s="1"/>
      <c r="B853" s="2"/>
      <c r="C853" s="2"/>
      <c r="D853" s="1"/>
      <c r="F853" s="1"/>
      <c r="G853" s="1"/>
    </row>
    <row r="854" spans="1:7" x14ac:dyDescent="0.25">
      <c r="A854" s="1"/>
      <c r="B854" s="2"/>
      <c r="C854" s="2"/>
      <c r="D854" s="1"/>
      <c r="F854" s="1"/>
      <c r="G854" s="1"/>
    </row>
    <row r="855" spans="1:7" x14ac:dyDescent="0.25">
      <c r="A855" s="1"/>
      <c r="B855" s="2"/>
      <c r="C855" s="2"/>
      <c r="D855" s="1"/>
      <c r="F855" s="1"/>
      <c r="G855" s="1"/>
    </row>
    <row r="856" spans="1:7" x14ac:dyDescent="0.25">
      <c r="A856" s="1"/>
      <c r="B856" s="2"/>
      <c r="C856" s="2"/>
      <c r="D856" s="1"/>
      <c r="F856" s="1"/>
      <c r="G856" s="1"/>
    </row>
    <row r="857" spans="1:7" x14ac:dyDescent="0.25">
      <c r="A857" s="1"/>
      <c r="B857" s="2"/>
      <c r="C857" s="2"/>
      <c r="D857" s="1"/>
      <c r="F857" s="1"/>
      <c r="G857" s="1"/>
    </row>
    <row r="858" spans="1:7" x14ac:dyDescent="0.25">
      <c r="A858" s="1"/>
      <c r="B858" s="2"/>
      <c r="C858" s="2"/>
      <c r="D858" s="1"/>
      <c r="F858" s="1"/>
      <c r="G858" s="1"/>
    </row>
    <row r="859" spans="1:7" x14ac:dyDescent="0.25">
      <c r="A859" s="1"/>
      <c r="B859" s="2"/>
      <c r="C859" s="2"/>
      <c r="D859" s="1"/>
      <c r="F859" s="1"/>
      <c r="G859" s="1"/>
    </row>
    <row r="860" spans="1:7" x14ac:dyDescent="0.25">
      <c r="A860" s="1"/>
      <c r="B860" s="2"/>
      <c r="C860" s="2"/>
      <c r="D860" s="1"/>
      <c r="F860" s="1"/>
      <c r="G860" s="1"/>
    </row>
    <row r="861" spans="1:7" x14ac:dyDescent="0.25">
      <c r="A861" s="1"/>
      <c r="B861" s="2"/>
      <c r="C861" s="2"/>
      <c r="D861" s="1"/>
      <c r="F861" s="1"/>
      <c r="G861" s="1"/>
    </row>
    <row r="862" spans="1:7" x14ac:dyDescent="0.25">
      <c r="A862" s="1"/>
      <c r="B862" s="2"/>
      <c r="C862" s="2"/>
      <c r="D862" s="1"/>
      <c r="F862" s="1"/>
      <c r="G862" s="1"/>
    </row>
    <row r="863" spans="1:7" x14ac:dyDescent="0.25">
      <c r="A863" s="1"/>
      <c r="B863" s="2"/>
      <c r="C863" s="2"/>
      <c r="D863" s="1"/>
      <c r="F863" s="1"/>
      <c r="G863" s="1"/>
    </row>
    <row r="864" spans="1:7" x14ac:dyDescent="0.25">
      <c r="A864" s="1"/>
      <c r="B864" s="2"/>
      <c r="C864" s="2"/>
      <c r="D864" s="1"/>
      <c r="F864" s="1"/>
      <c r="G864" s="1"/>
    </row>
    <row r="865" spans="1:7" x14ac:dyDescent="0.25">
      <c r="A865" s="1"/>
      <c r="B865" s="2"/>
      <c r="C865" s="2"/>
      <c r="D865" s="1"/>
      <c r="F865" s="1"/>
      <c r="G865" s="1"/>
    </row>
    <row r="866" spans="1:7" x14ac:dyDescent="0.25">
      <c r="A866" s="1"/>
      <c r="B866" s="2"/>
      <c r="C866" s="2"/>
      <c r="D866" s="1"/>
      <c r="F866" s="1"/>
      <c r="G866" s="1"/>
    </row>
    <row r="867" spans="1:7" x14ac:dyDescent="0.25">
      <c r="A867" s="1"/>
      <c r="B867" s="2"/>
      <c r="C867" s="2"/>
      <c r="D867" s="1"/>
      <c r="F867" s="1"/>
      <c r="G867" s="1"/>
    </row>
    <row r="868" spans="1:7" x14ac:dyDescent="0.25">
      <c r="A868" s="1"/>
      <c r="B868" s="2"/>
      <c r="C868" s="2"/>
      <c r="D868" s="1"/>
      <c r="F868" s="1"/>
      <c r="G868" s="1"/>
    </row>
    <row r="869" spans="1:7" x14ac:dyDescent="0.25">
      <c r="A869" s="1"/>
      <c r="B869" s="2"/>
      <c r="C869" s="2"/>
      <c r="D869" s="1"/>
      <c r="F869" s="1"/>
      <c r="G869" s="1"/>
    </row>
    <row r="870" spans="1:7" x14ac:dyDescent="0.25">
      <c r="A870" s="1"/>
      <c r="B870" s="2"/>
      <c r="C870" s="2"/>
      <c r="D870" s="1"/>
      <c r="F870" s="1"/>
      <c r="G870" s="1"/>
    </row>
    <row r="871" spans="1:7" x14ac:dyDescent="0.25">
      <c r="A871" s="1"/>
      <c r="B871" s="2"/>
      <c r="C871" s="2"/>
      <c r="D871" s="1"/>
      <c r="F871" s="1"/>
      <c r="G871" s="1"/>
    </row>
    <row r="872" spans="1:7" x14ac:dyDescent="0.25">
      <c r="A872" s="1"/>
      <c r="B872" s="2"/>
      <c r="C872" s="2"/>
      <c r="D872" s="1"/>
      <c r="F872" s="1"/>
      <c r="G872" s="1"/>
    </row>
    <row r="873" spans="1:7" x14ac:dyDescent="0.25">
      <c r="A873" s="1"/>
      <c r="B873" s="2"/>
      <c r="C873" s="2"/>
      <c r="D873" s="1"/>
      <c r="F873" s="1"/>
      <c r="G873" s="1"/>
    </row>
    <row r="874" spans="1:7" x14ac:dyDescent="0.25">
      <c r="A874" s="1"/>
      <c r="B874" s="2"/>
      <c r="C874" s="2"/>
      <c r="D874" s="1"/>
      <c r="F874" s="1"/>
      <c r="G874" s="1"/>
    </row>
    <row r="875" spans="1:7" x14ac:dyDescent="0.25">
      <c r="A875" s="1"/>
      <c r="B875" s="2"/>
      <c r="C875" s="2"/>
      <c r="D875" s="1"/>
      <c r="F875" s="1"/>
      <c r="G875" s="1"/>
    </row>
    <row r="876" spans="1:7" x14ac:dyDescent="0.25">
      <c r="A876" s="1"/>
      <c r="B876" s="2"/>
      <c r="C876" s="2"/>
      <c r="D876" s="1"/>
      <c r="F876" s="1"/>
      <c r="G876" s="1"/>
    </row>
    <row r="877" spans="1:7" x14ac:dyDescent="0.25">
      <c r="A877" s="1"/>
      <c r="B877" s="2"/>
      <c r="C877" s="2"/>
      <c r="D877" s="1"/>
      <c r="F877" s="1"/>
      <c r="G877" s="1"/>
    </row>
    <row r="878" spans="1:7" x14ac:dyDescent="0.25">
      <c r="A878" s="1"/>
      <c r="B878" s="2"/>
      <c r="C878" s="2"/>
      <c r="D878" s="1"/>
      <c r="F878" s="1"/>
      <c r="G878" s="1"/>
    </row>
    <row r="879" spans="1:7" x14ac:dyDescent="0.25">
      <c r="A879" s="1"/>
      <c r="B879" s="2"/>
      <c r="C879" s="2"/>
      <c r="D879" s="1"/>
      <c r="F879" s="1"/>
      <c r="G879" s="1"/>
    </row>
    <row r="880" spans="1:7" x14ac:dyDescent="0.25">
      <c r="A880" s="1"/>
      <c r="B880" s="2"/>
      <c r="C880" s="2"/>
      <c r="D880" s="1"/>
      <c r="F880" s="1"/>
      <c r="G880" s="1"/>
    </row>
    <row r="881" spans="1:7" x14ac:dyDescent="0.25">
      <c r="A881" s="1"/>
      <c r="B881" s="2"/>
      <c r="C881" s="2"/>
      <c r="D881" s="1"/>
      <c r="F881" s="1"/>
      <c r="G881" s="1"/>
    </row>
    <row r="882" spans="1:7" x14ac:dyDescent="0.25">
      <c r="A882" s="1"/>
      <c r="B882" s="2"/>
      <c r="C882" s="2"/>
      <c r="D882" s="1"/>
      <c r="F882" s="1"/>
      <c r="G882" s="1"/>
    </row>
    <row r="883" spans="1:7" x14ac:dyDescent="0.25">
      <c r="A883" s="1"/>
      <c r="B883" s="2"/>
      <c r="C883" s="2"/>
      <c r="D883" s="1"/>
      <c r="F883" s="1"/>
      <c r="G883" s="1"/>
    </row>
    <row r="884" spans="1:7" x14ac:dyDescent="0.25">
      <c r="A884" s="1"/>
      <c r="B884" s="2"/>
      <c r="C884" s="2"/>
      <c r="D884" s="1"/>
      <c r="F884" s="1"/>
      <c r="G884" s="1"/>
    </row>
    <row r="885" spans="1:7" x14ac:dyDescent="0.25">
      <c r="A885" s="1"/>
      <c r="B885" s="2"/>
      <c r="C885" s="2"/>
      <c r="D885" s="1"/>
      <c r="F885" s="1"/>
      <c r="G885" s="1"/>
    </row>
    <row r="886" spans="1:7" x14ac:dyDescent="0.25">
      <c r="A886" s="1"/>
      <c r="B886" s="2"/>
      <c r="C886" s="2"/>
      <c r="D886" s="1"/>
      <c r="F886" s="1"/>
      <c r="G886" s="1"/>
    </row>
    <row r="887" spans="1:7" x14ac:dyDescent="0.25">
      <c r="A887" s="1"/>
      <c r="B887" s="2"/>
      <c r="C887" s="2"/>
      <c r="D887" s="1"/>
      <c r="F887" s="1"/>
      <c r="G887" s="1"/>
    </row>
    <row r="888" spans="1:7" x14ac:dyDescent="0.25">
      <c r="A888" s="1"/>
      <c r="B888" s="2"/>
      <c r="C888" s="2"/>
      <c r="D888" s="1"/>
      <c r="F888" s="1"/>
      <c r="G888" s="1"/>
    </row>
    <row r="889" spans="1:7" x14ac:dyDescent="0.25">
      <c r="A889" s="1"/>
      <c r="B889" s="2"/>
      <c r="C889" s="2"/>
      <c r="D889" s="1"/>
      <c r="F889" s="1"/>
      <c r="G889" s="1"/>
    </row>
    <row r="890" spans="1:7" x14ac:dyDescent="0.25">
      <c r="A890" s="1"/>
      <c r="B890" s="2"/>
      <c r="C890" s="2"/>
      <c r="D890" s="1"/>
      <c r="F890" s="1"/>
      <c r="G890" s="1"/>
    </row>
    <row r="891" spans="1:7" x14ac:dyDescent="0.25">
      <c r="A891" s="1"/>
      <c r="B891" s="2"/>
      <c r="C891" s="2"/>
      <c r="D891" s="1"/>
      <c r="F891" s="1"/>
      <c r="G891" s="1"/>
    </row>
    <row r="892" spans="1:7" x14ac:dyDescent="0.25">
      <c r="A892" s="1"/>
      <c r="B892" s="2"/>
      <c r="C892" s="2"/>
      <c r="D892" s="1"/>
      <c r="F892" s="1"/>
      <c r="G892" s="1"/>
    </row>
    <row r="893" spans="1:7" x14ac:dyDescent="0.25">
      <c r="A893" s="1"/>
      <c r="B893" s="2"/>
      <c r="C893" s="2"/>
      <c r="D893" s="1"/>
      <c r="F893" s="1"/>
      <c r="G893" s="1"/>
    </row>
    <row r="894" spans="1:7" x14ac:dyDescent="0.25">
      <c r="A894" s="1"/>
      <c r="B894" s="2"/>
      <c r="C894" s="2"/>
      <c r="D894" s="1"/>
      <c r="F894" s="1"/>
      <c r="G894" s="1"/>
    </row>
    <row r="895" spans="1:7" x14ac:dyDescent="0.25">
      <c r="A895" s="1"/>
      <c r="B895" s="2"/>
      <c r="C895" s="2"/>
      <c r="D895" s="1"/>
      <c r="F895" s="1"/>
      <c r="G895" s="1"/>
    </row>
    <row r="896" spans="1:7" x14ac:dyDescent="0.25">
      <c r="A896" s="1"/>
      <c r="B896" s="2"/>
      <c r="C896" s="2"/>
      <c r="D896" s="1"/>
      <c r="F896" s="1"/>
      <c r="G896" s="1"/>
    </row>
    <row r="897" spans="1:7" x14ac:dyDescent="0.25">
      <c r="A897" s="1"/>
      <c r="B897" s="2"/>
      <c r="C897" s="2"/>
      <c r="D897" s="1"/>
      <c r="F897" s="1"/>
      <c r="G897" s="1"/>
    </row>
    <row r="898" spans="1:7" x14ac:dyDescent="0.25">
      <c r="A898" s="1"/>
      <c r="B898" s="2"/>
      <c r="C898" s="2"/>
      <c r="D898" s="1"/>
      <c r="F898" s="1"/>
      <c r="G898" s="1"/>
    </row>
    <row r="899" spans="1:7" x14ac:dyDescent="0.25">
      <c r="A899" s="1"/>
      <c r="B899" s="2"/>
      <c r="C899" s="2"/>
      <c r="D899" s="1"/>
      <c r="F899" s="1"/>
      <c r="G899" s="1"/>
    </row>
    <row r="900" spans="1:7" x14ac:dyDescent="0.25">
      <c r="A900" s="1"/>
      <c r="B900" s="2"/>
      <c r="C900" s="2"/>
      <c r="D900" s="1"/>
      <c r="F900" s="1"/>
      <c r="G900" s="1"/>
    </row>
    <row r="901" spans="1:7" x14ac:dyDescent="0.25">
      <c r="A901" s="1"/>
      <c r="B901" s="2"/>
      <c r="C901" s="2"/>
      <c r="D901" s="1"/>
      <c r="F901" s="1"/>
      <c r="G901" s="1"/>
    </row>
    <row r="902" spans="1:7" x14ac:dyDescent="0.25">
      <c r="A902" s="1"/>
      <c r="B902" s="2"/>
      <c r="C902" s="2"/>
      <c r="D902" s="1"/>
      <c r="F902" s="1"/>
      <c r="G902" s="1"/>
    </row>
    <row r="903" spans="1:7" x14ac:dyDescent="0.25">
      <c r="A903" s="1"/>
      <c r="B903" s="2"/>
      <c r="C903" s="2"/>
      <c r="D903" s="1"/>
      <c r="F903" s="1"/>
      <c r="G903" s="1"/>
    </row>
    <row r="904" spans="1:7" x14ac:dyDescent="0.25">
      <c r="A904" s="1"/>
      <c r="B904" s="2"/>
      <c r="C904" s="2"/>
      <c r="D904" s="1"/>
      <c r="F904" s="1"/>
      <c r="G904" s="1"/>
    </row>
    <row r="905" spans="1:7" x14ac:dyDescent="0.25">
      <c r="A905" s="1"/>
      <c r="B905" s="2"/>
      <c r="C905" s="2"/>
      <c r="D905" s="1"/>
      <c r="F905" s="1"/>
      <c r="G905" s="1"/>
    </row>
    <row r="906" spans="1:7" x14ac:dyDescent="0.25">
      <c r="A906" s="1"/>
      <c r="B906" s="2"/>
      <c r="C906" s="2"/>
      <c r="D906" s="1"/>
      <c r="F906" s="1"/>
      <c r="G906" s="1"/>
    </row>
    <row r="907" spans="1:7" x14ac:dyDescent="0.25">
      <c r="A907" s="1"/>
      <c r="B907" s="2"/>
      <c r="C907" s="2"/>
      <c r="D907" s="1"/>
      <c r="F907" s="1"/>
      <c r="G907" s="1"/>
    </row>
    <row r="908" spans="1:7" x14ac:dyDescent="0.25">
      <c r="A908" s="1"/>
      <c r="B908" s="2"/>
      <c r="C908" s="2"/>
      <c r="D908" s="1"/>
      <c r="F908" s="1"/>
      <c r="G908" s="1"/>
    </row>
    <row r="909" spans="1:7" x14ac:dyDescent="0.25">
      <c r="A909" s="1"/>
      <c r="B909" s="2"/>
      <c r="C909" s="2"/>
      <c r="D909" s="1"/>
      <c r="F909" s="1"/>
      <c r="G909" s="1"/>
    </row>
    <row r="910" spans="1:7" x14ac:dyDescent="0.25">
      <c r="A910" s="1"/>
      <c r="B910" s="2"/>
      <c r="C910" s="2"/>
      <c r="D910" s="1"/>
      <c r="F910" s="1"/>
      <c r="G910" s="1"/>
    </row>
    <row r="911" spans="1:7" x14ac:dyDescent="0.25">
      <c r="A911" s="1"/>
      <c r="B911" s="2"/>
      <c r="C911" s="2"/>
      <c r="D911" s="1"/>
      <c r="F911" s="1"/>
      <c r="G911" s="1"/>
    </row>
    <row r="912" spans="1:7" x14ac:dyDescent="0.25">
      <c r="A912" s="1"/>
      <c r="B912" s="2"/>
      <c r="C912" s="2"/>
      <c r="D912" s="1"/>
      <c r="F912" s="1"/>
      <c r="G912" s="1"/>
    </row>
    <row r="913" spans="1:7" x14ac:dyDescent="0.25">
      <c r="A913" s="1"/>
      <c r="B913" s="2"/>
      <c r="C913" s="2"/>
      <c r="D913" s="1"/>
      <c r="F913" s="1"/>
      <c r="G913" s="1"/>
    </row>
    <row r="914" spans="1:7" x14ac:dyDescent="0.25">
      <c r="A914" s="1"/>
      <c r="B914" s="2"/>
      <c r="C914" s="2"/>
      <c r="D914" s="1"/>
      <c r="F914" s="1"/>
      <c r="G914" s="1"/>
    </row>
    <row r="915" spans="1:7" x14ac:dyDescent="0.25">
      <c r="A915" s="1"/>
      <c r="B915" s="2"/>
      <c r="C915" s="2"/>
      <c r="D915" s="1"/>
      <c r="F915" s="1"/>
      <c r="G915" s="1"/>
    </row>
    <row r="916" spans="1:7" x14ac:dyDescent="0.25">
      <c r="A916" s="1"/>
      <c r="B916" s="2"/>
      <c r="C916" s="2"/>
      <c r="D916" s="1"/>
      <c r="F916" s="1"/>
      <c r="G916" s="1"/>
    </row>
    <row r="917" spans="1:7" x14ac:dyDescent="0.25">
      <c r="A917" s="1"/>
      <c r="B917" s="2"/>
      <c r="C917" s="2"/>
      <c r="D917" s="1"/>
      <c r="F917" s="1"/>
      <c r="G917" s="1"/>
    </row>
    <row r="918" spans="1:7" x14ac:dyDescent="0.25">
      <c r="A918" s="1"/>
      <c r="B918" s="2"/>
      <c r="C918" s="2"/>
      <c r="D918" s="1"/>
      <c r="F918" s="1"/>
      <c r="G918" s="1"/>
    </row>
    <row r="919" spans="1:7" x14ac:dyDescent="0.25">
      <c r="A919" s="1"/>
      <c r="B919" s="2"/>
      <c r="C919" s="2"/>
      <c r="D919" s="1"/>
      <c r="F919" s="1"/>
      <c r="G919" s="1"/>
    </row>
    <row r="920" spans="1:7" x14ac:dyDescent="0.25">
      <c r="A920" s="1"/>
      <c r="B920" s="2"/>
      <c r="C920" s="2"/>
      <c r="D920" s="1"/>
      <c r="F920" s="1"/>
      <c r="G920" s="1"/>
    </row>
    <row r="921" spans="1:7" x14ac:dyDescent="0.25">
      <c r="A921" s="1"/>
      <c r="B921" s="2"/>
      <c r="C921" s="2"/>
      <c r="D921" s="1"/>
      <c r="F921" s="1"/>
      <c r="G921" s="1"/>
    </row>
    <row r="922" spans="1:7" x14ac:dyDescent="0.25">
      <c r="A922" s="1"/>
      <c r="B922" s="2"/>
      <c r="C922" s="2"/>
      <c r="D922" s="1"/>
      <c r="F922" s="1"/>
      <c r="G922" s="1"/>
    </row>
    <row r="923" spans="1:7" x14ac:dyDescent="0.25">
      <c r="A923" s="1"/>
      <c r="B923" s="2"/>
      <c r="C923" s="2"/>
      <c r="D923" s="1"/>
      <c r="F923" s="1"/>
      <c r="G923" s="1"/>
    </row>
    <row r="924" spans="1:7" x14ac:dyDescent="0.25">
      <c r="A924" s="1"/>
      <c r="B924" s="2"/>
      <c r="C924" s="2"/>
      <c r="D924" s="1"/>
      <c r="F924" s="1"/>
      <c r="G924" s="1"/>
    </row>
    <row r="925" spans="1:7" x14ac:dyDescent="0.25">
      <c r="A925" s="1"/>
      <c r="B925" s="2"/>
      <c r="C925" s="2"/>
      <c r="D925" s="1"/>
      <c r="F925" s="1"/>
      <c r="G925" s="1"/>
    </row>
    <row r="926" spans="1:7" x14ac:dyDescent="0.25">
      <c r="A926" s="1"/>
      <c r="B926" s="2"/>
      <c r="C926" s="2"/>
      <c r="D926" s="1"/>
      <c r="F926" s="1"/>
      <c r="G926" s="1"/>
    </row>
    <row r="927" spans="1:7" x14ac:dyDescent="0.25">
      <c r="A927" s="1"/>
      <c r="B927" s="2"/>
      <c r="C927" s="2"/>
      <c r="D927" s="1"/>
      <c r="F927" s="1"/>
      <c r="G927" s="1"/>
    </row>
    <row r="928" spans="1:7" x14ac:dyDescent="0.25">
      <c r="A928" s="1"/>
      <c r="B928" s="2"/>
      <c r="C928" s="2"/>
      <c r="D928" s="1"/>
      <c r="F928" s="1"/>
      <c r="G928" s="1"/>
    </row>
    <row r="929" spans="1:7" x14ac:dyDescent="0.25">
      <c r="A929" s="1"/>
      <c r="B929" s="2"/>
      <c r="C929" s="2"/>
      <c r="D929" s="1"/>
      <c r="F929" s="1"/>
      <c r="G929" s="1"/>
    </row>
    <row r="930" spans="1:7" x14ac:dyDescent="0.25">
      <c r="A930" s="1"/>
      <c r="B930" s="2"/>
      <c r="C930" s="2"/>
      <c r="D930" s="1"/>
      <c r="F930" s="1"/>
      <c r="G930" s="1"/>
    </row>
    <row r="931" spans="1:7" x14ac:dyDescent="0.25">
      <c r="A931" s="1"/>
      <c r="B931" s="2"/>
      <c r="C931" s="2"/>
      <c r="D931" s="1"/>
      <c r="F931" s="1"/>
      <c r="G931" s="1"/>
    </row>
    <row r="932" spans="1:7" x14ac:dyDescent="0.25">
      <c r="A932" s="1"/>
      <c r="B932" s="2"/>
      <c r="C932" s="2"/>
      <c r="D932" s="1"/>
      <c r="F932" s="1"/>
      <c r="G932" s="1"/>
    </row>
    <row r="933" spans="1:7" x14ac:dyDescent="0.25">
      <c r="A933" s="1"/>
      <c r="B933" s="2"/>
      <c r="C933" s="2"/>
      <c r="D933" s="1"/>
      <c r="F933" s="1"/>
      <c r="G933" s="1"/>
    </row>
    <row r="934" spans="1:7" x14ac:dyDescent="0.25">
      <c r="A934" s="1"/>
      <c r="B934" s="2"/>
      <c r="C934" s="2"/>
      <c r="D934" s="1"/>
      <c r="F934" s="1"/>
      <c r="G934" s="1"/>
    </row>
    <row r="935" spans="1:7" x14ac:dyDescent="0.25">
      <c r="A935" s="1"/>
      <c r="B935" s="2"/>
      <c r="C935" s="2"/>
      <c r="D935" s="1"/>
      <c r="F935" s="1"/>
      <c r="G935" s="1"/>
    </row>
    <row r="936" spans="1:7" x14ac:dyDescent="0.25">
      <c r="A936" s="1"/>
      <c r="B936" s="2"/>
      <c r="C936" s="2"/>
      <c r="D936" s="1"/>
      <c r="F936" s="1"/>
      <c r="G936" s="1"/>
    </row>
    <row r="937" spans="1:7" x14ac:dyDescent="0.25">
      <c r="A937" s="1"/>
      <c r="B937" s="2"/>
      <c r="C937" s="2"/>
      <c r="D937" s="1"/>
      <c r="F937" s="1"/>
      <c r="G937" s="1"/>
    </row>
    <row r="938" spans="1:7" x14ac:dyDescent="0.25">
      <c r="A938" s="1"/>
      <c r="B938" s="2"/>
      <c r="C938" s="2"/>
      <c r="D938" s="1"/>
      <c r="F938" s="1"/>
      <c r="G938" s="1"/>
    </row>
    <row r="939" spans="1:7" x14ac:dyDescent="0.25">
      <c r="A939" s="1"/>
      <c r="B939" s="2"/>
      <c r="C939" s="2"/>
      <c r="D939" s="1"/>
      <c r="F939" s="1"/>
      <c r="G939" s="1"/>
    </row>
    <row r="940" spans="1:7" x14ac:dyDescent="0.25">
      <c r="A940" s="1"/>
      <c r="B940" s="2"/>
      <c r="C940" s="2"/>
      <c r="D940" s="1"/>
      <c r="F940" s="1"/>
      <c r="G940" s="1"/>
    </row>
    <row r="941" spans="1:7" x14ac:dyDescent="0.25">
      <c r="A941" s="1"/>
      <c r="B941" s="2"/>
      <c r="C941" s="2"/>
      <c r="D941" s="1"/>
      <c r="F941" s="1"/>
      <c r="G941" s="1"/>
    </row>
    <row r="942" spans="1:7" x14ac:dyDescent="0.25">
      <c r="A942" s="1"/>
      <c r="B942" s="2"/>
      <c r="C942" s="2"/>
      <c r="D942" s="1"/>
      <c r="F942" s="1"/>
      <c r="G942" s="1"/>
    </row>
    <row r="943" spans="1:7" x14ac:dyDescent="0.25">
      <c r="A943" s="1"/>
      <c r="B943" s="2"/>
      <c r="C943" s="2"/>
      <c r="D943" s="1"/>
      <c r="F943" s="1"/>
      <c r="G943" s="1"/>
    </row>
    <row r="944" spans="1:7" x14ac:dyDescent="0.25">
      <c r="A944" s="1"/>
      <c r="B944" s="2"/>
      <c r="C944" s="2"/>
      <c r="D944" s="1"/>
      <c r="F944" s="1"/>
      <c r="G944" s="1"/>
    </row>
    <row r="945" spans="1:7" x14ac:dyDescent="0.25">
      <c r="A945" s="1"/>
      <c r="B945" s="2"/>
      <c r="C945" s="2"/>
      <c r="D945" s="1"/>
      <c r="F945" s="1"/>
      <c r="G945" s="1"/>
    </row>
    <row r="946" spans="1:7" x14ac:dyDescent="0.25">
      <c r="A946" s="1"/>
      <c r="B946" s="2"/>
      <c r="C946" s="2"/>
      <c r="D946" s="1"/>
      <c r="F946" s="1"/>
      <c r="G946" s="1"/>
    </row>
    <row r="947" spans="1:7" x14ac:dyDescent="0.25">
      <c r="A947" s="1"/>
      <c r="B947" s="2"/>
      <c r="C947" s="2"/>
      <c r="D947" s="1"/>
      <c r="F947" s="1"/>
      <c r="G947" s="1"/>
    </row>
    <row r="948" spans="1:7" x14ac:dyDescent="0.25">
      <c r="A948" s="1"/>
      <c r="B948" s="2"/>
      <c r="C948" s="2"/>
      <c r="D948" s="1"/>
      <c r="F948" s="1"/>
      <c r="G948" s="1"/>
    </row>
    <row r="949" spans="1:7" x14ac:dyDescent="0.25">
      <c r="A949" s="1"/>
      <c r="B949" s="2"/>
      <c r="C949" s="2"/>
      <c r="D949" s="1"/>
      <c r="F949" s="1"/>
      <c r="G949" s="1"/>
    </row>
    <row r="950" spans="1:7" x14ac:dyDescent="0.25">
      <c r="A950" s="1"/>
      <c r="B950" s="2"/>
      <c r="C950" s="2"/>
      <c r="D950" s="1"/>
      <c r="F950" s="1"/>
      <c r="G950" s="1"/>
    </row>
    <row r="951" spans="1:7" x14ac:dyDescent="0.25">
      <c r="A951" s="1"/>
      <c r="B951" s="2"/>
      <c r="C951" s="2"/>
      <c r="D951" s="1"/>
      <c r="F951" s="1"/>
      <c r="G951" s="1"/>
    </row>
    <row r="952" spans="1:7" x14ac:dyDescent="0.25">
      <c r="A952" s="1"/>
      <c r="B952" s="2"/>
      <c r="C952" s="2"/>
      <c r="D952" s="1"/>
      <c r="F952" s="1"/>
      <c r="G952" s="1"/>
    </row>
    <row r="953" spans="1:7" x14ac:dyDescent="0.25">
      <c r="A953" s="1"/>
      <c r="B953" s="2"/>
      <c r="C953" s="2"/>
      <c r="D953" s="1"/>
      <c r="F953" s="1"/>
      <c r="G953" s="1"/>
    </row>
    <row r="954" spans="1:7" x14ac:dyDescent="0.25">
      <c r="A954" s="1"/>
      <c r="B954" s="2"/>
      <c r="C954" s="2"/>
      <c r="D954" s="1"/>
      <c r="F954" s="1"/>
      <c r="G954" s="1"/>
    </row>
    <row r="955" spans="1:7" x14ac:dyDescent="0.25">
      <c r="A955" s="1"/>
      <c r="B955" s="2"/>
      <c r="C955" s="2"/>
      <c r="D955" s="1"/>
      <c r="F955" s="1"/>
      <c r="G955" s="1"/>
    </row>
    <row r="956" spans="1:7" x14ac:dyDescent="0.25">
      <c r="A956" s="1"/>
      <c r="B956" s="2"/>
      <c r="C956" s="2"/>
      <c r="D956" s="1"/>
      <c r="F956" s="1"/>
      <c r="G956" s="1"/>
    </row>
    <row r="957" spans="1:7" x14ac:dyDescent="0.25">
      <c r="A957" s="1"/>
      <c r="B957" s="2"/>
      <c r="C957" s="2"/>
      <c r="D957" s="1"/>
      <c r="F957" s="1"/>
      <c r="G957" s="1"/>
    </row>
    <row r="958" spans="1:7" x14ac:dyDescent="0.25">
      <c r="A958" s="1"/>
      <c r="B958" s="2"/>
      <c r="C958" s="2"/>
      <c r="D958" s="1"/>
      <c r="F958" s="1"/>
      <c r="G958" s="1"/>
    </row>
    <row r="959" spans="1:7" x14ac:dyDescent="0.25">
      <c r="A959" s="1"/>
      <c r="B959" s="2"/>
      <c r="C959" s="2"/>
      <c r="D959" s="1"/>
      <c r="F959" s="1"/>
      <c r="G959" s="1"/>
    </row>
    <row r="960" spans="1:7" x14ac:dyDescent="0.25">
      <c r="A960" s="1"/>
      <c r="B960" s="2"/>
      <c r="C960" s="2"/>
      <c r="D960" s="1"/>
      <c r="F960" s="1"/>
      <c r="G960" s="1"/>
    </row>
    <row r="961" spans="1:7" x14ac:dyDescent="0.25">
      <c r="A961" s="1"/>
      <c r="B961" s="2"/>
      <c r="C961" s="2"/>
      <c r="D961" s="1"/>
      <c r="F961" s="1"/>
      <c r="G961" s="1"/>
    </row>
    <row r="962" spans="1:7" x14ac:dyDescent="0.25">
      <c r="A962" s="1"/>
      <c r="B962" s="2"/>
      <c r="C962" s="2"/>
      <c r="D962" s="1"/>
      <c r="F962" s="1"/>
      <c r="G962" s="1"/>
    </row>
    <row r="963" spans="1:7" x14ac:dyDescent="0.25">
      <c r="A963" s="1"/>
      <c r="B963" s="2"/>
      <c r="C963" s="2"/>
      <c r="D963" s="1"/>
      <c r="F963" s="1"/>
      <c r="G963" s="1"/>
    </row>
    <row r="964" spans="1:7" x14ac:dyDescent="0.25">
      <c r="A964" s="1"/>
      <c r="B964" s="2"/>
      <c r="C964" s="2"/>
      <c r="D964" s="1"/>
      <c r="F964" s="1"/>
      <c r="G964" s="1"/>
    </row>
    <row r="965" spans="1:7" x14ac:dyDescent="0.25">
      <c r="A965" s="1"/>
      <c r="B965" s="2"/>
      <c r="C965" s="2"/>
      <c r="D965" s="1"/>
      <c r="F965" s="1"/>
      <c r="G965" s="1"/>
    </row>
    <row r="966" spans="1:7" x14ac:dyDescent="0.25">
      <c r="A966" s="1"/>
      <c r="B966" s="2"/>
      <c r="C966" s="2"/>
      <c r="D966" s="1"/>
      <c r="F966" s="1"/>
      <c r="G966" s="1"/>
    </row>
    <row r="967" spans="1:7" x14ac:dyDescent="0.25">
      <c r="A967" s="1"/>
      <c r="B967" s="2"/>
      <c r="C967" s="2"/>
      <c r="D967" s="1"/>
      <c r="F967" s="1"/>
      <c r="G967" s="1"/>
    </row>
    <row r="968" spans="1:7" x14ac:dyDescent="0.25">
      <c r="A968" s="1"/>
      <c r="B968" s="2"/>
      <c r="C968" s="2"/>
      <c r="D968" s="1"/>
      <c r="F968" s="1"/>
      <c r="G968" s="1"/>
    </row>
    <row r="969" spans="1:7" x14ac:dyDescent="0.25">
      <c r="A969" s="1"/>
      <c r="B969" s="2"/>
      <c r="C969" s="2"/>
      <c r="D969" s="1"/>
      <c r="F969" s="1"/>
      <c r="G969" s="1"/>
    </row>
    <row r="970" spans="1:7" x14ac:dyDescent="0.25">
      <c r="A970" s="1"/>
      <c r="B970" s="2"/>
      <c r="C970" s="2"/>
      <c r="D970" s="1"/>
      <c r="F970" s="1"/>
      <c r="G970" s="1"/>
    </row>
    <row r="971" spans="1:7" x14ac:dyDescent="0.25">
      <c r="A971" s="1"/>
      <c r="B971" s="2"/>
      <c r="C971" s="2"/>
      <c r="D971" s="1"/>
      <c r="F971" s="1"/>
      <c r="G971" s="1"/>
    </row>
    <row r="972" spans="1:7" x14ac:dyDescent="0.25">
      <c r="A972" s="1"/>
      <c r="B972" s="2"/>
      <c r="C972" s="2"/>
      <c r="D972" s="1"/>
      <c r="F972" s="1"/>
      <c r="G972" s="1"/>
    </row>
    <row r="973" spans="1:7" x14ac:dyDescent="0.25">
      <c r="A973" s="1"/>
      <c r="B973" s="2"/>
      <c r="C973" s="2"/>
      <c r="D973" s="1"/>
      <c r="F973" s="1"/>
      <c r="G973" s="1"/>
    </row>
    <row r="974" spans="1:7" x14ac:dyDescent="0.25">
      <c r="A974" s="1"/>
      <c r="B974" s="2"/>
      <c r="C974" s="2"/>
      <c r="D974" s="1"/>
      <c r="F974" s="1"/>
      <c r="G974" s="1"/>
    </row>
    <row r="975" spans="1:7" x14ac:dyDescent="0.25">
      <c r="A975" s="1"/>
      <c r="B975" s="2"/>
      <c r="C975" s="2"/>
      <c r="D975" s="1"/>
      <c r="F975" s="1"/>
      <c r="G975" s="1"/>
    </row>
    <row r="976" spans="1:7" x14ac:dyDescent="0.25">
      <c r="A976" s="1"/>
      <c r="B976" s="2"/>
      <c r="C976" s="2"/>
      <c r="D976" s="1"/>
      <c r="F976" s="1"/>
      <c r="G976" s="1"/>
    </row>
    <row r="977" spans="1:7" x14ac:dyDescent="0.25">
      <c r="A977" s="1"/>
      <c r="B977" s="2"/>
      <c r="C977" s="2"/>
      <c r="D977" s="1"/>
      <c r="F977" s="1"/>
      <c r="G977" s="1"/>
    </row>
    <row r="978" spans="1:7" x14ac:dyDescent="0.25">
      <c r="A978" s="1"/>
      <c r="B978" s="2"/>
      <c r="C978" s="2"/>
      <c r="D978" s="1"/>
      <c r="F978" s="1"/>
      <c r="G978" s="1"/>
    </row>
    <row r="979" spans="1:7" x14ac:dyDescent="0.25">
      <c r="A979" s="1"/>
      <c r="B979" s="2"/>
      <c r="C979" s="2"/>
      <c r="D979" s="1"/>
      <c r="F979" s="1"/>
      <c r="G979" s="1"/>
    </row>
    <row r="980" spans="1:7" x14ac:dyDescent="0.25">
      <c r="A980" s="1"/>
      <c r="B980" s="2"/>
      <c r="C980" s="2"/>
      <c r="D980" s="1"/>
      <c r="F980" s="1"/>
      <c r="G980" s="1"/>
    </row>
    <row r="981" spans="1:7" x14ac:dyDescent="0.25">
      <c r="A981" s="1"/>
      <c r="B981" s="2"/>
      <c r="C981" s="2"/>
      <c r="D981" s="1"/>
      <c r="F981" s="1"/>
      <c r="G981" s="1"/>
    </row>
    <row r="982" spans="1:7" x14ac:dyDescent="0.25">
      <c r="A982" s="1"/>
      <c r="B982" s="2"/>
      <c r="C982" s="2"/>
      <c r="D982" s="1"/>
      <c r="F982" s="1"/>
      <c r="G982" s="1"/>
    </row>
    <row r="983" spans="1:7" x14ac:dyDescent="0.25">
      <c r="A983" s="1"/>
      <c r="B983" s="2"/>
      <c r="C983" s="2"/>
      <c r="D983" s="1"/>
      <c r="F983" s="1"/>
      <c r="G983" s="1"/>
    </row>
    <row r="984" spans="1:7" x14ac:dyDescent="0.25">
      <c r="A984" s="1"/>
      <c r="B984" s="2"/>
      <c r="C984" s="2"/>
      <c r="D984" s="1"/>
      <c r="F984" s="1"/>
      <c r="G984" s="1"/>
    </row>
    <row r="985" spans="1:7" x14ac:dyDescent="0.25">
      <c r="A985" s="1"/>
      <c r="B985" s="2"/>
      <c r="C985" s="2"/>
      <c r="D985" s="1"/>
      <c r="F985" s="1"/>
      <c r="G985" s="1"/>
    </row>
    <row r="986" spans="1:7" x14ac:dyDescent="0.25">
      <c r="A986" s="1"/>
      <c r="B986" s="2"/>
      <c r="C986" s="2"/>
      <c r="D986" s="1"/>
      <c r="F986" s="1"/>
      <c r="G986" s="1"/>
    </row>
    <row r="987" spans="1:7" x14ac:dyDescent="0.25">
      <c r="A987" s="1"/>
      <c r="B987" s="2"/>
      <c r="C987" s="2"/>
      <c r="D987" s="1"/>
      <c r="F987" s="1"/>
      <c r="G987" s="1"/>
    </row>
    <row r="988" spans="1:7" x14ac:dyDescent="0.25">
      <c r="A988" s="1"/>
      <c r="B988" s="2"/>
      <c r="C988" s="2"/>
      <c r="D988" s="1"/>
      <c r="F988" s="1"/>
      <c r="G988" s="1"/>
    </row>
    <row r="989" spans="1:7" x14ac:dyDescent="0.25">
      <c r="A989" s="1"/>
      <c r="B989" s="2"/>
      <c r="C989" s="2"/>
      <c r="D989" s="1"/>
      <c r="F989" s="1"/>
      <c r="G989" s="1"/>
    </row>
    <row r="990" spans="1:7" x14ac:dyDescent="0.25">
      <c r="A990" s="1"/>
      <c r="B990" s="2"/>
      <c r="C990" s="2"/>
      <c r="D990" s="1"/>
      <c r="F990" s="1"/>
      <c r="G990" s="1"/>
    </row>
    <row r="991" spans="1:7" x14ac:dyDescent="0.25">
      <c r="A991" s="1"/>
      <c r="B991" s="2"/>
      <c r="C991" s="2"/>
      <c r="D991" s="1"/>
      <c r="F991" s="1"/>
      <c r="G991" s="1"/>
    </row>
    <row r="992" spans="1:7" x14ac:dyDescent="0.25">
      <c r="A992" s="1"/>
      <c r="B992" s="2"/>
      <c r="C992" s="2"/>
      <c r="D992" s="1"/>
      <c r="F992" s="1"/>
      <c r="G992" s="1"/>
    </row>
    <row r="993" spans="1:7" x14ac:dyDescent="0.25">
      <c r="A993" s="1"/>
      <c r="B993" s="2"/>
      <c r="C993" s="2"/>
      <c r="D993" s="1"/>
      <c r="F993" s="1"/>
      <c r="G993" s="1"/>
    </row>
    <row r="994" spans="1:7" x14ac:dyDescent="0.25">
      <c r="A994" s="1"/>
      <c r="B994" s="2"/>
      <c r="C994" s="2"/>
      <c r="D994" s="1"/>
      <c r="F994" s="1"/>
      <c r="G994" s="1"/>
    </row>
    <row r="995" spans="1:7" x14ac:dyDescent="0.25">
      <c r="A995" s="1"/>
      <c r="B995" s="2"/>
      <c r="C995" s="2"/>
      <c r="D995" s="1"/>
      <c r="F995" s="1"/>
      <c r="G995" s="1"/>
    </row>
    <row r="996" spans="1:7" x14ac:dyDescent="0.25">
      <c r="A996" s="1"/>
      <c r="B996" s="2"/>
      <c r="C996" s="2"/>
      <c r="D996" s="1"/>
      <c r="F996" s="1"/>
      <c r="G996" s="1"/>
    </row>
    <row r="997" spans="1:7" x14ac:dyDescent="0.25">
      <c r="A997" s="1"/>
      <c r="B997" s="2"/>
      <c r="C997" s="2"/>
      <c r="D997" s="1"/>
      <c r="F997" s="1"/>
      <c r="G997" s="1"/>
    </row>
    <row r="998" spans="1:7" x14ac:dyDescent="0.25">
      <c r="A998" s="1"/>
      <c r="B998" s="2"/>
      <c r="C998" s="2"/>
      <c r="D998" s="1"/>
      <c r="F998" s="1"/>
      <c r="G998" s="1"/>
    </row>
    <row r="999" spans="1:7" x14ac:dyDescent="0.25">
      <c r="A999" s="1"/>
      <c r="B999" s="2"/>
      <c r="C999" s="2"/>
      <c r="D999" s="1"/>
      <c r="F999" s="1"/>
      <c r="G999" s="1"/>
    </row>
    <row r="1000" spans="1:7" x14ac:dyDescent="0.25">
      <c r="A1000" s="1"/>
      <c r="B1000" s="2"/>
      <c r="C1000" s="2"/>
      <c r="D1000" s="1"/>
      <c r="F1000" s="1"/>
      <c r="G1000" s="1"/>
    </row>
    <row r="1001" spans="1:7" x14ac:dyDescent="0.25">
      <c r="A1001" s="1"/>
      <c r="B1001" s="2"/>
      <c r="C1001" s="2"/>
      <c r="D1001" s="1"/>
      <c r="F1001" s="1"/>
      <c r="G1001" s="1"/>
    </row>
    <row r="1002" spans="1:7" x14ac:dyDescent="0.25">
      <c r="A1002" s="1"/>
      <c r="B1002" s="2"/>
      <c r="C1002" s="2"/>
      <c r="D1002" s="1"/>
      <c r="F1002" s="1"/>
      <c r="G1002" s="1"/>
    </row>
    <row r="1003" spans="1:7" x14ac:dyDescent="0.25">
      <c r="A1003" s="1"/>
      <c r="B1003" s="2"/>
      <c r="C1003" s="2"/>
      <c r="D1003" s="1"/>
      <c r="F1003" s="1"/>
      <c r="G1003" s="1"/>
    </row>
    <row r="1004" spans="1:7" x14ac:dyDescent="0.25">
      <c r="A1004" s="1"/>
      <c r="B1004" s="2"/>
      <c r="C1004" s="2"/>
      <c r="D1004" s="1"/>
      <c r="F1004" s="1"/>
      <c r="G1004" s="1"/>
    </row>
    <row r="1005" spans="1:7" x14ac:dyDescent="0.25">
      <c r="A1005" s="1"/>
      <c r="B1005" s="2"/>
      <c r="C1005" s="2"/>
      <c r="D1005" s="1"/>
      <c r="F1005" s="1"/>
      <c r="G1005" s="1"/>
    </row>
    <row r="1006" spans="1:7" x14ac:dyDescent="0.25">
      <c r="A1006" s="1"/>
      <c r="B1006" s="2"/>
      <c r="C1006" s="2"/>
      <c r="D1006" s="1"/>
      <c r="F1006" s="1"/>
      <c r="G1006" s="1"/>
    </row>
    <row r="1007" spans="1:7" x14ac:dyDescent="0.25">
      <c r="A1007" s="1"/>
      <c r="B1007" s="2"/>
      <c r="C1007" s="2"/>
      <c r="D1007" s="1"/>
      <c r="F1007" s="1"/>
      <c r="G1007" s="1"/>
    </row>
    <row r="1008" spans="1:7" x14ac:dyDescent="0.25">
      <c r="A1008" s="1"/>
      <c r="B1008" s="2"/>
      <c r="C1008" s="2"/>
      <c r="D1008" s="1"/>
      <c r="F1008" s="1"/>
      <c r="G1008" s="1"/>
    </row>
    <row r="1009" spans="1:7" x14ac:dyDescent="0.25">
      <c r="A1009" s="1"/>
      <c r="B1009" s="2"/>
      <c r="C1009" s="2"/>
      <c r="D1009" s="1"/>
      <c r="F1009" s="1"/>
      <c r="G1009" s="1"/>
    </row>
    <row r="1010" spans="1:7" x14ac:dyDescent="0.25">
      <c r="A1010" s="1"/>
      <c r="B1010" s="2"/>
      <c r="C1010" s="2"/>
      <c r="D1010" s="1"/>
      <c r="F1010" s="1"/>
      <c r="G1010" s="1"/>
    </row>
    <row r="1011" spans="1:7" x14ac:dyDescent="0.25">
      <c r="A1011" s="1"/>
      <c r="B1011" s="2"/>
      <c r="C1011" s="2"/>
      <c r="D1011" s="1"/>
      <c r="F1011" s="1"/>
      <c r="G1011" s="1"/>
    </row>
    <row r="1012" spans="1:7" x14ac:dyDescent="0.25">
      <c r="A1012" s="1"/>
      <c r="B1012" s="2"/>
      <c r="C1012" s="2"/>
      <c r="D1012" s="1"/>
      <c r="F1012" s="1"/>
      <c r="G1012" s="1"/>
    </row>
    <row r="1013" spans="1:7" x14ac:dyDescent="0.25">
      <c r="A1013" s="1"/>
      <c r="B1013" s="2"/>
      <c r="C1013" s="2"/>
      <c r="D1013" s="1"/>
      <c r="F1013" s="1"/>
      <c r="G1013" s="1"/>
    </row>
    <row r="1014" spans="1:7" x14ac:dyDescent="0.25">
      <c r="A1014" s="1"/>
      <c r="B1014" s="2"/>
      <c r="C1014" s="2"/>
      <c r="D1014" s="1"/>
      <c r="F1014" s="1"/>
      <c r="G1014" s="1"/>
    </row>
    <row r="1015" spans="1:7" x14ac:dyDescent="0.25">
      <c r="A1015" s="1"/>
      <c r="B1015" s="2"/>
      <c r="C1015" s="2"/>
      <c r="D1015" s="1"/>
      <c r="F1015" s="1"/>
      <c r="G1015" s="1"/>
    </row>
    <row r="1016" spans="1:7" x14ac:dyDescent="0.25">
      <c r="A1016" s="1"/>
      <c r="B1016" s="2"/>
      <c r="C1016" s="2"/>
      <c r="D1016" s="1"/>
      <c r="F1016" s="1"/>
      <c r="G1016" s="1"/>
    </row>
    <row r="1017" spans="1:7" x14ac:dyDescent="0.25">
      <c r="A1017" s="1"/>
      <c r="B1017" s="2"/>
      <c r="C1017" s="2"/>
      <c r="D1017" s="1"/>
      <c r="F1017" s="1"/>
      <c r="G1017" s="1"/>
    </row>
    <row r="1018" spans="1:7" x14ac:dyDescent="0.25">
      <c r="A1018" s="1"/>
      <c r="B1018" s="2"/>
      <c r="C1018" s="2"/>
      <c r="D1018" s="1"/>
      <c r="F1018" s="1"/>
      <c r="G1018" s="1"/>
    </row>
    <row r="1019" spans="1:7" x14ac:dyDescent="0.25">
      <c r="A1019" s="1"/>
      <c r="B1019" s="2"/>
      <c r="C1019" s="2"/>
      <c r="D1019" s="1"/>
      <c r="F1019" s="1"/>
      <c r="G1019" s="1"/>
    </row>
    <row r="1020" spans="1:7" x14ac:dyDescent="0.25">
      <c r="A1020" s="1"/>
      <c r="B1020" s="2"/>
      <c r="C1020" s="2"/>
      <c r="D1020" s="1"/>
      <c r="F1020" s="1"/>
      <c r="G1020" s="1"/>
    </row>
    <row r="1021" spans="1:7" x14ac:dyDescent="0.25">
      <c r="A1021" s="1"/>
      <c r="B1021" s="2"/>
      <c r="C1021" s="2"/>
      <c r="D1021" s="1"/>
      <c r="F1021" s="1"/>
      <c r="G1021" s="1"/>
    </row>
    <row r="1022" spans="1:7" x14ac:dyDescent="0.25">
      <c r="A1022" s="1"/>
      <c r="B1022" s="2"/>
      <c r="C1022" s="2"/>
      <c r="D1022" s="1"/>
      <c r="F1022" s="1"/>
      <c r="G1022" s="1"/>
    </row>
    <row r="1023" spans="1:7" x14ac:dyDescent="0.25">
      <c r="A1023" s="1"/>
      <c r="B1023" s="2"/>
      <c r="C1023" s="2"/>
      <c r="D1023" s="1"/>
      <c r="F1023" s="1"/>
      <c r="G1023" s="1"/>
    </row>
    <row r="1024" spans="1:7" x14ac:dyDescent="0.25">
      <c r="A1024" s="1"/>
      <c r="B1024" s="2"/>
      <c r="C1024" s="2"/>
      <c r="D1024" s="1"/>
      <c r="F1024" s="1"/>
      <c r="G1024" s="1"/>
    </row>
    <row r="1025" spans="1:7" x14ac:dyDescent="0.25">
      <c r="A1025" s="1"/>
      <c r="B1025" s="2"/>
      <c r="C1025" s="2"/>
      <c r="D1025" s="1"/>
      <c r="F1025" s="1"/>
      <c r="G1025" s="1"/>
    </row>
    <row r="1026" spans="1:7" x14ac:dyDescent="0.25">
      <c r="A1026" s="1"/>
      <c r="B1026" s="2"/>
      <c r="C1026" s="2"/>
      <c r="D1026" s="1"/>
      <c r="F1026" s="1"/>
      <c r="G1026" s="1"/>
    </row>
    <row r="1027" spans="1:7" x14ac:dyDescent="0.25">
      <c r="A1027" s="1"/>
      <c r="B1027" s="2"/>
      <c r="C1027" s="2"/>
      <c r="D1027" s="1"/>
      <c r="F1027" s="1"/>
      <c r="G1027" s="1"/>
    </row>
    <row r="1028" spans="1:7" x14ac:dyDescent="0.25">
      <c r="A1028" s="1"/>
      <c r="B1028" s="2"/>
      <c r="C1028" s="2"/>
      <c r="D1028" s="1"/>
      <c r="F1028" s="1"/>
      <c r="G1028" s="1"/>
    </row>
    <row r="1029" spans="1:7" x14ac:dyDescent="0.25">
      <c r="A1029" s="1"/>
      <c r="B1029" s="2"/>
      <c r="C1029" s="2"/>
      <c r="D1029" s="1"/>
      <c r="F1029" s="1"/>
      <c r="G1029" s="1"/>
    </row>
    <row r="1030" spans="1:7" x14ac:dyDescent="0.25">
      <c r="A1030" s="1"/>
      <c r="B1030" s="2"/>
      <c r="C1030" s="2"/>
      <c r="D1030" s="1"/>
      <c r="F1030" s="1"/>
      <c r="G1030" s="1"/>
    </row>
    <row r="1031" spans="1:7" x14ac:dyDescent="0.25">
      <c r="A1031" s="1"/>
      <c r="B1031" s="2"/>
      <c r="C1031" s="2"/>
      <c r="D1031" s="1"/>
      <c r="F1031" s="1"/>
      <c r="G1031" s="1"/>
    </row>
    <row r="1032" spans="1:7" x14ac:dyDescent="0.25">
      <c r="A1032" s="1"/>
      <c r="B1032" s="2"/>
      <c r="C1032" s="2"/>
      <c r="D1032" s="1"/>
      <c r="F1032" s="1"/>
      <c r="G1032" s="1"/>
    </row>
    <row r="1033" spans="1:7" x14ac:dyDescent="0.25">
      <c r="A1033" s="1"/>
      <c r="B1033" s="2"/>
      <c r="C1033" s="2"/>
      <c r="D1033" s="1"/>
      <c r="F1033" s="1"/>
      <c r="G1033" s="1"/>
    </row>
    <row r="1034" spans="1:7" x14ac:dyDescent="0.25">
      <c r="A1034" s="1"/>
      <c r="B1034" s="2"/>
      <c r="C1034" s="2"/>
      <c r="D1034" s="1"/>
      <c r="F1034" s="1"/>
      <c r="G1034" s="1"/>
    </row>
    <row r="1035" spans="1:7" x14ac:dyDescent="0.25">
      <c r="A1035" s="1"/>
      <c r="B1035" s="2"/>
      <c r="C1035" s="2"/>
      <c r="D1035" s="1"/>
      <c r="F1035" s="1"/>
      <c r="G1035" s="1"/>
    </row>
    <row r="1036" spans="1:7" x14ac:dyDescent="0.25">
      <c r="A1036" s="1"/>
      <c r="B1036" s="2"/>
      <c r="C1036" s="2"/>
      <c r="D1036" s="1"/>
      <c r="F1036" s="1"/>
      <c r="G1036" s="1"/>
    </row>
    <row r="1037" spans="1:7" x14ac:dyDescent="0.25">
      <c r="A1037" s="1"/>
      <c r="B1037" s="2"/>
      <c r="C1037" s="2"/>
      <c r="D1037" s="1"/>
      <c r="F1037" s="1"/>
      <c r="G1037" s="1"/>
    </row>
    <row r="1038" spans="1:7" x14ac:dyDescent="0.25">
      <c r="A1038" s="1"/>
      <c r="B1038" s="2"/>
      <c r="C1038" s="2"/>
      <c r="D1038" s="1"/>
      <c r="F1038" s="1"/>
      <c r="G1038" s="1"/>
    </row>
    <row r="1039" spans="1:7" x14ac:dyDescent="0.25">
      <c r="A1039" s="1"/>
      <c r="B1039" s="2"/>
      <c r="C1039" s="2"/>
      <c r="D1039" s="1"/>
      <c r="F1039" s="1"/>
      <c r="G1039" s="1"/>
    </row>
    <row r="1040" spans="1:7" x14ac:dyDescent="0.25">
      <c r="A1040" s="1"/>
      <c r="B1040" s="2"/>
      <c r="C1040" s="2"/>
      <c r="D1040" s="1"/>
      <c r="F1040" s="1"/>
      <c r="G1040" s="1"/>
    </row>
    <row r="1041" spans="1:7" x14ac:dyDescent="0.25">
      <c r="A1041" s="1"/>
      <c r="B1041" s="2"/>
      <c r="C1041" s="2"/>
      <c r="D1041" s="1"/>
      <c r="F1041" s="1"/>
      <c r="G1041" s="1"/>
    </row>
    <row r="1042" spans="1:7" x14ac:dyDescent="0.25">
      <c r="A1042" s="1"/>
      <c r="B1042" s="2"/>
      <c r="C1042" s="2"/>
      <c r="D1042" s="1"/>
      <c r="F1042" s="1"/>
      <c r="G1042" s="1"/>
    </row>
    <row r="1043" spans="1:7" x14ac:dyDescent="0.25">
      <c r="A1043" s="1"/>
      <c r="B1043" s="2"/>
      <c r="C1043" s="2"/>
      <c r="D1043" s="1"/>
      <c r="F1043" s="1"/>
      <c r="G1043" s="1"/>
    </row>
    <row r="1044" spans="1:7" x14ac:dyDescent="0.25">
      <c r="A1044" s="1"/>
      <c r="B1044" s="2"/>
      <c r="C1044" s="2"/>
      <c r="D1044" s="1"/>
      <c r="F1044" s="1"/>
      <c r="G1044" s="1"/>
    </row>
    <row r="1045" spans="1:7" x14ac:dyDescent="0.25">
      <c r="A1045" s="1"/>
      <c r="B1045" s="2"/>
      <c r="C1045" s="2"/>
      <c r="D1045" s="1"/>
      <c r="F1045" s="1"/>
      <c r="G1045" s="1"/>
    </row>
    <row r="1046" spans="1:7" x14ac:dyDescent="0.25">
      <c r="A1046" s="1"/>
      <c r="B1046" s="2"/>
      <c r="C1046" s="2"/>
      <c r="D1046" s="1"/>
      <c r="F1046" s="1"/>
      <c r="G1046" s="1"/>
    </row>
    <row r="1047" spans="1:7" x14ac:dyDescent="0.25">
      <c r="A1047" s="1"/>
      <c r="B1047" s="2"/>
      <c r="C1047" s="2"/>
      <c r="D1047" s="1"/>
      <c r="F1047" s="1"/>
      <c r="G1047" s="1"/>
    </row>
    <row r="1048" spans="1:7" x14ac:dyDescent="0.25">
      <c r="A1048" s="1"/>
      <c r="B1048" s="2"/>
      <c r="C1048" s="2"/>
      <c r="D1048" s="1"/>
      <c r="F1048" s="1"/>
      <c r="G1048" s="1"/>
    </row>
    <row r="1049" spans="1:7" x14ac:dyDescent="0.25">
      <c r="A1049" s="1"/>
      <c r="B1049" s="2"/>
      <c r="C1049" s="2"/>
      <c r="D1049" s="1"/>
      <c r="F1049" s="1"/>
      <c r="G1049" s="1"/>
    </row>
    <row r="1050" spans="1:7" x14ac:dyDescent="0.25">
      <c r="A1050" s="1"/>
      <c r="B1050" s="2"/>
      <c r="C1050" s="2"/>
      <c r="D1050" s="1"/>
      <c r="F1050" s="1"/>
      <c r="G1050" s="1"/>
    </row>
    <row r="1051" spans="1:7" x14ac:dyDescent="0.25">
      <c r="A1051" s="1"/>
      <c r="B1051" s="2"/>
      <c r="C1051" s="2"/>
      <c r="D1051" s="1"/>
      <c r="F1051" s="1"/>
      <c r="G1051" s="1"/>
    </row>
    <row r="1052" spans="1:7" x14ac:dyDescent="0.25">
      <c r="A1052" s="1"/>
      <c r="B1052" s="2"/>
      <c r="C1052" s="2"/>
      <c r="D1052" s="1"/>
      <c r="F1052" s="1"/>
      <c r="G1052" s="1"/>
    </row>
    <row r="1053" spans="1:7" x14ac:dyDescent="0.25">
      <c r="A1053" s="1"/>
      <c r="B1053" s="2"/>
      <c r="C1053" s="2"/>
      <c r="D1053" s="1"/>
      <c r="F1053" s="1"/>
      <c r="G1053" s="1"/>
    </row>
    <row r="1054" spans="1:7" x14ac:dyDescent="0.25">
      <c r="A1054" s="1"/>
      <c r="B1054" s="2"/>
      <c r="C1054" s="2"/>
      <c r="D1054" s="1"/>
      <c r="F1054" s="1"/>
      <c r="G1054" s="1"/>
    </row>
    <row r="1055" spans="1:7" x14ac:dyDescent="0.25">
      <c r="A1055" s="1"/>
      <c r="B1055" s="2"/>
      <c r="C1055" s="2"/>
      <c r="D1055" s="1"/>
      <c r="F1055" s="1"/>
      <c r="G1055" s="1"/>
    </row>
    <row r="1056" spans="1:7" x14ac:dyDescent="0.25">
      <c r="A1056" s="1"/>
      <c r="B1056" s="2"/>
      <c r="C1056" s="2"/>
      <c r="D1056" s="1"/>
      <c r="F1056" s="1"/>
      <c r="G1056" s="1"/>
    </row>
    <row r="1057" spans="1:7" x14ac:dyDescent="0.25">
      <c r="A1057" s="1"/>
      <c r="B1057" s="2"/>
      <c r="C1057" s="2"/>
      <c r="D1057" s="1"/>
      <c r="F1057" s="1"/>
      <c r="G1057" s="1"/>
    </row>
    <row r="1058" spans="1:7" x14ac:dyDescent="0.25">
      <c r="A1058" s="1"/>
      <c r="B1058" s="2"/>
      <c r="C1058" s="2"/>
      <c r="D1058" s="1"/>
      <c r="F1058" s="1"/>
      <c r="G1058" s="1"/>
    </row>
    <row r="1059" spans="1:7" x14ac:dyDescent="0.25">
      <c r="A1059" s="1"/>
      <c r="B1059" s="2"/>
      <c r="C1059" s="2"/>
      <c r="D1059" s="1"/>
      <c r="F1059" s="1"/>
      <c r="G1059" s="1"/>
    </row>
    <row r="1060" spans="1:7" x14ac:dyDescent="0.25">
      <c r="A1060" s="1"/>
      <c r="B1060" s="2"/>
      <c r="C1060" s="2"/>
      <c r="D1060" s="1"/>
      <c r="F1060" s="1"/>
      <c r="G1060" s="1"/>
    </row>
    <row r="1061" spans="1:7" x14ac:dyDescent="0.25">
      <c r="A1061" s="1"/>
      <c r="B1061" s="2"/>
      <c r="C1061" s="2"/>
      <c r="D1061" s="1"/>
      <c r="F1061" s="1"/>
      <c r="G1061" s="1"/>
    </row>
    <row r="1062" spans="1:7" x14ac:dyDescent="0.25">
      <c r="A1062" s="1"/>
      <c r="B1062" s="2"/>
      <c r="C1062" s="2"/>
      <c r="D1062" s="1"/>
      <c r="F1062" s="1"/>
      <c r="G1062" s="1"/>
    </row>
    <row r="1063" spans="1:7" x14ac:dyDescent="0.25">
      <c r="A1063" s="1"/>
      <c r="B1063" s="2"/>
      <c r="C1063" s="2"/>
      <c r="D1063" s="1"/>
      <c r="F1063" s="1"/>
      <c r="G1063" s="1"/>
    </row>
    <row r="1064" spans="1:7" x14ac:dyDescent="0.25">
      <c r="A1064" s="1"/>
      <c r="B1064" s="2"/>
      <c r="C1064" s="2"/>
      <c r="D1064" s="1"/>
      <c r="F1064" s="1"/>
      <c r="G1064" s="1"/>
    </row>
    <row r="1065" spans="1:7" x14ac:dyDescent="0.25">
      <c r="A1065" s="1"/>
      <c r="B1065" s="2"/>
      <c r="C1065" s="2"/>
      <c r="D1065" s="1"/>
      <c r="F1065" s="1"/>
      <c r="G1065" s="1"/>
    </row>
    <row r="1066" spans="1:7" x14ac:dyDescent="0.25">
      <c r="A1066" s="1"/>
      <c r="B1066" s="2"/>
      <c r="C1066" s="2"/>
      <c r="D1066" s="1"/>
      <c r="F1066" s="1"/>
      <c r="G1066" s="1"/>
    </row>
    <row r="1067" spans="1:7" x14ac:dyDescent="0.25">
      <c r="A1067" s="1"/>
      <c r="B1067" s="2"/>
      <c r="C1067" s="2"/>
      <c r="D1067" s="1"/>
      <c r="F1067" s="1"/>
      <c r="G1067" s="1"/>
    </row>
    <row r="1068" spans="1:7" x14ac:dyDescent="0.25">
      <c r="A1068" s="1"/>
      <c r="B1068" s="2"/>
      <c r="C1068" s="2"/>
      <c r="D1068" s="1"/>
      <c r="F1068" s="1"/>
      <c r="G1068" s="1"/>
    </row>
    <row r="1069" spans="1:7" x14ac:dyDescent="0.25">
      <c r="A1069" s="1"/>
      <c r="B1069" s="2"/>
      <c r="C1069" s="2"/>
      <c r="D1069" s="1"/>
      <c r="F1069" s="1"/>
      <c r="G1069" s="1"/>
    </row>
    <row r="1070" spans="1:7" x14ac:dyDescent="0.25">
      <c r="A1070" s="1"/>
      <c r="B1070" s="2"/>
      <c r="C1070" s="2"/>
      <c r="D1070" s="1"/>
      <c r="F1070" s="1"/>
      <c r="G1070" s="1"/>
    </row>
    <row r="1071" spans="1:7" x14ac:dyDescent="0.25">
      <c r="A1071" s="1"/>
      <c r="B1071" s="2"/>
      <c r="C1071" s="2"/>
      <c r="D1071" s="1"/>
      <c r="F1071" s="1"/>
      <c r="G1071" s="1"/>
    </row>
    <row r="1072" spans="1:7" x14ac:dyDescent="0.25">
      <c r="A1072" s="1"/>
      <c r="B1072" s="2"/>
      <c r="C1072" s="2"/>
      <c r="D1072" s="1"/>
      <c r="F1072" s="1"/>
      <c r="G1072" s="1"/>
    </row>
    <row r="1073" spans="1:7" x14ac:dyDescent="0.25">
      <c r="A1073" s="1"/>
      <c r="B1073" s="2"/>
      <c r="C1073" s="2"/>
      <c r="D1073" s="1"/>
      <c r="F1073" s="1"/>
      <c r="G1073" s="1"/>
    </row>
    <row r="1074" spans="1:7" x14ac:dyDescent="0.25">
      <c r="A1074" s="1"/>
      <c r="B1074" s="2"/>
      <c r="C1074" s="2"/>
      <c r="D1074" s="1"/>
      <c r="F1074" s="1"/>
      <c r="G1074" s="1"/>
    </row>
    <row r="1075" spans="1:7" x14ac:dyDescent="0.25">
      <c r="A1075" s="1"/>
      <c r="B1075" s="2"/>
      <c r="C1075" s="2"/>
      <c r="D1075" s="1"/>
      <c r="F1075" s="1"/>
      <c r="G1075" s="1"/>
    </row>
    <row r="1076" spans="1:7" x14ac:dyDescent="0.25">
      <c r="A1076" s="1"/>
      <c r="B1076" s="2"/>
      <c r="C1076" s="2"/>
      <c r="D1076" s="1"/>
      <c r="F1076" s="1"/>
      <c r="G1076" s="1"/>
    </row>
    <row r="1077" spans="1:7" x14ac:dyDescent="0.25">
      <c r="A1077" s="1"/>
      <c r="B1077" s="2"/>
      <c r="C1077" s="2"/>
      <c r="D1077" s="1"/>
      <c r="F1077" s="1"/>
      <c r="G1077" s="1"/>
    </row>
    <row r="1078" spans="1:7" x14ac:dyDescent="0.25">
      <c r="A1078" s="1"/>
      <c r="B1078" s="2"/>
      <c r="C1078" s="2"/>
      <c r="D1078" s="1"/>
      <c r="F1078" s="1"/>
      <c r="G1078" s="1"/>
    </row>
    <row r="1079" spans="1:7" x14ac:dyDescent="0.25">
      <c r="A1079" s="1"/>
      <c r="B1079" s="2"/>
      <c r="C1079" s="2"/>
      <c r="D1079" s="1"/>
      <c r="F1079" s="1"/>
      <c r="G1079" s="1"/>
    </row>
    <row r="1080" spans="1:7" x14ac:dyDescent="0.25">
      <c r="A1080" s="1"/>
      <c r="B1080" s="2"/>
      <c r="C1080" s="2"/>
      <c r="D1080" s="1"/>
      <c r="F1080" s="1"/>
      <c r="G1080" s="1"/>
    </row>
    <row r="1081" spans="1:7" x14ac:dyDescent="0.25">
      <c r="A1081" s="1"/>
      <c r="B1081" s="2"/>
      <c r="C1081" s="2"/>
      <c r="D1081" s="1"/>
      <c r="F1081" s="1"/>
      <c r="G1081" s="1"/>
    </row>
    <row r="1082" spans="1:7" x14ac:dyDescent="0.25">
      <c r="A1082" s="1"/>
      <c r="B1082" s="2"/>
      <c r="C1082" s="2"/>
      <c r="D1082" s="1"/>
      <c r="F1082" s="1"/>
      <c r="G1082" s="1"/>
    </row>
    <row r="1083" spans="1:7" x14ac:dyDescent="0.25">
      <c r="A1083" s="1"/>
      <c r="B1083" s="2"/>
      <c r="C1083" s="2"/>
      <c r="D1083" s="1"/>
      <c r="F1083" s="1"/>
      <c r="G1083" s="1"/>
    </row>
    <row r="1084" spans="1:7" x14ac:dyDescent="0.25">
      <c r="A1084" s="1"/>
      <c r="B1084" s="2"/>
      <c r="C1084" s="2"/>
      <c r="D1084" s="1"/>
      <c r="F1084" s="1"/>
      <c r="G1084" s="1"/>
    </row>
    <row r="1085" spans="1:7" x14ac:dyDescent="0.25">
      <c r="A1085" s="1"/>
      <c r="B1085" s="2"/>
      <c r="C1085" s="2"/>
      <c r="D1085" s="1"/>
      <c r="F1085" s="1"/>
      <c r="G1085" s="1"/>
    </row>
    <row r="1086" spans="1:7" x14ac:dyDescent="0.25">
      <c r="A1086" s="1"/>
      <c r="B1086" s="2"/>
      <c r="C1086" s="2"/>
      <c r="D1086" s="1"/>
      <c r="F1086" s="1"/>
      <c r="G1086" s="1"/>
    </row>
    <row r="1087" spans="1:7" x14ac:dyDescent="0.25">
      <c r="A1087" s="1"/>
      <c r="B1087" s="2"/>
      <c r="C1087" s="2"/>
      <c r="D1087" s="1"/>
      <c r="F1087" s="1"/>
      <c r="G1087" s="1"/>
    </row>
    <row r="1088" spans="1:7" x14ac:dyDescent="0.25">
      <c r="A1088" s="1"/>
      <c r="B1088" s="2"/>
      <c r="C1088" s="2"/>
      <c r="D1088" s="1"/>
      <c r="F1088" s="1"/>
      <c r="G1088" s="1"/>
    </row>
    <row r="1089" spans="1:7" x14ac:dyDescent="0.25">
      <c r="A1089" s="1"/>
      <c r="B1089" s="2"/>
      <c r="C1089" s="2"/>
      <c r="D1089" s="1"/>
      <c r="F1089" s="1"/>
      <c r="G1089" s="1"/>
    </row>
    <row r="1090" spans="1:7" x14ac:dyDescent="0.25">
      <c r="A1090" s="1"/>
      <c r="B1090" s="2"/>
      <c r="C1090" s="2"/>
      <c r="D1090" s="1"/>
      <c r="F1090" s="1"/>
      <c r="G1090" s="1"/>
    </row>
    <row r="1091" spans="1:7" x14ac:dyDescent="0.25">
      <c r="A1091" s="1"/>
      <c r="B1091" s="2"/>
      <c r="C1091" s="2"/>
      <c r="D1091" s="1"/>
      <c r="F1091" s="1"/>
      <c r="G1091" s="1"/>
    </row>
    <row r="1092" spans="1:7" x14ac:dyDescent="0.25">
      <c r="A1092" s="1"/>
      <c r="B1092" s="2"/>
      <c r="C1092" s="2"/>
      <c r="D1092" s="1"/>
      <c r="F1092" s="1"/>
      <c r="G1092" s="1"/>
    </row>
    <row r="1093" spans="1:7" x14ac:dyDescent="0.25">
      <c r="A1093" s="1"/>
      <c r="B1093" s="2"/>
      <c r="C1093" s="2"/>
      <c r="D1093" s="1"/>
      <c r="F1093" s="1"/>
      <c r="G1093" s="1"/>
    </row>
    <row r="1094" spans="1:7" x14ac:dyDescent="0.25">
      <c r="A1094" s="1"/>
      <c r="B1094" s="2"/>
      <c r="C1094" s="2"/>
      <c r="D1094" s="1"/>
      <c r="F1094" s="1"/>
      <c r="G1094" s="1"/>
    </row>
    <row r="1095" spans="1:7" x14ac:dyDescent="0.25">
      <c r="A1095" s="1"/>
      <c r="B1095" s="2"/>
      <c r="C1095" s="2"/>
      <c r="D1095" s="1"/>
      <c r="F1095" s="1"/>
      <c r="G1095" s="1"/>
    </row>
    <row r="1096" spans="1:7" x14ac:dyDescent="0.25">
      <c r="A1096" s="1"/>
      <c r="B1096" s="2"/>
      <c r="C1096" s="2"/>
      <c r="D1096" s="1"/>
      <c r="F1096" s="1"/>
      <c r="G1096" s="1"/>
    </row>
    <row r="1097" spans="1:7" x14ac:dyDescent="0.25">
      <c r="A1097" s="1"/>
      <c r="B1097" s="2"/>
      <c r="C1097" s="2"/>
      <c r="D1097" s="1"/>
      <c r="F1097" s="1"/>
      <c r="G1097" s="1"/>
    </row>
    <row r="1098" spans="1:7" x14ac:dyDescent="0.25">
      <c r="A1098" s="1"/>
      <c r="B1098" s="2"/>
      <c r="C1098" s="2"/>
      <c r="D1098" s="1"/>
      <c r="F1098" s="1"/>
      <c r="G1098" s="1"/>
    </row>
    <row r="1099" spans="1:7" x14ac:dyDescent="0.25">
      <c r="A1099" s="1"/>
      <c r="B1099" s="2"/>
      <c r="C1099" s="2"/>
      <c r="D1099" s="1"/>
      <c r="F1099" s="1"/>
      <c r="G1099" s="1"/>
    </row>
    <row r="1100" spans="1:7" x14ac:dyDescent="0.25">
      <c r="A1100" s="1"/>
      <c r="B1100" s="2"/>
      <c r="C1100" s="2"/>
      <c r="D1100" s="1"/>
      <c r="F1100" s="1"/>
      <c r="G1100" s="1"/>
    </row>
    <row r="1101" spans="1:7" x14ac:dyDescent="0.25">
      <c r="A1101" s="1"/>
      <c r="B1101" s="2"/>
      <c r="C1101" s="2"/>
      <c r="D1101" s="1"/>
      <c r="F1101" s="1"/>
      <c r="G1101" s="1"/>
    </row>
    <row r="1102" spans="1:7" x14ac:dyDescent="0.25">
      <c r="A1102" s="1"/>
      <c r="B1102" s="2"/>
      <c r="C1102" s="2"/>
      <c r="D1102" s="1"/>
      <c r="F1102" s="1"/>
      <c r="G1102" s="1"/>
    </row>
    <row r="1103" spans="1:7" x14ac:dyDescent="0.25">
      <c r="A1103" s="1"/>
      <c r="B1103" s="2"/>
      <c r="C1103" s="2"/>
      <c r="D1103" s="1"/>
      <c r="F1103" s="1"/>
      <c r="G1103" s="1"/>
    </row>
    <row r="1104" spans="1:7" x14ac:dyDescent="0.25">
      <c r="A1104" s="1"/>
      <c r="B1104" s="2"/>
      <c r="C1104" s="2"/>
      <c r="D1104" s="1"/>
      <c r="F1104" s="1"/>
      <c r="G1104" s="1"/>
    </row>
    <row r="1105" spans="1:7" x14ac:dyDescent="0.25">
      <c r="A1105" s="1"/>
      <c r="B1105" s="2"/>
      <c r="C1105" s="2"/>
      <c r="D1105" s="1"/>
      <c r="F1105" s="1"/>
      <c r="G1105" s="1"/>
    </row>
    <row r="1106" spans="1:7" x14ac:dyDescent="0.25">
      <c r="A1106" s="1"/>
      <c r="B1106" s="2"/>
      <c r="C1106" s="2"/>
      <c r="D1106" s="1"/>
      <c r="F1106" s="1"/>
      <c r="G1106" s="1"/>
    </row>
    <row r="1107" spans="1:7" x14ac:dyDescent="0.25">
      <c r="A1107" s="1"/>
      <c r="B1107" s="2"/>
      <c r="C1107" s="2"/>
      <c r="D1107" s="1"/>
      <c r="F1107" s="1"/>
      <c r="G1107" s="1"/>
    </row>
    <row r="1108" spans="1:7" x14ac:dyDescent="0.25">
      <c r="A1108" s="1"/>
      <c r="B1108" s="2"/>
      <c r="C1108" s="2"/>
      <c r="D1108" s="1"/>
      <c r="F1108" s="1"/>
      <c r="G1108" s="1"/>
    </row>
    <row r="1109" spans="1:7" x14ac:dyDescent="0.25">
      <c r="A1109" s="1"/>
      <c r="B1109" s="2"/>
      <c r="C1109" s="2"/>
      <c r="D1109" s="1"/>
      <c r="F1109" s="1"/>
      <c r="G1109" s="1"/>
    </row>
    <row r="1110" spans="1:7" x14ac:dyDescent="0.25">
      <c r="A1110" s="1"/>
      <c r="B1110" s="2"/>
      <c r="C1110" s="2"/>
      <c r="D1110" s="1"/>
      <c r="F1110" s="1"/>
      <c r="G1110" s="1"/>
    </row>
    <row r="1111" spans="1:7" x14ac:dyDescent="0.25">
      <c r="A1111" s="1"/>
      <c r="B1111" s="2"/>
      <c r="C1111" s="2"/>
      <c r="D1111" s="1"/>
      <c r="F1111" s="1"/>
      <c r="G1111" s="1"/>
    </row>
    <row r="1112" spans="1:7" x14ac:dyDescent="0.25">
      <c r="A1112" s="1"/>
      <c r="B1112" s="2"/>
      <c r="C1112" s="2"/>
      <c r="D1112" s="1"/>
      <c r="F1112" s="1"/>
      <c r="G1112" s="1"/>
    </row>
    <row r="1113" spans="1:7" x14ac:dyDescent="0.25">
      <c r="A1113" s="1"/>
      <c r="B1113" s="2"/>
      <c r="C1113" s="2"/>
      <c r="D1113" s="1"/>
      <c r="F1113" s="1"/>
      <c r="G1113" s="1"/>
    </row>
    <row r="1114" spans="1:7" x14ac:dyDescent="0.25">
      <c r="A1114" s="1"/>
      <c r="B1114" s="2"/>
      <c r="C1114" s="2"/>
      <c r="D1114" s="1"/>
      <c r="F1114" s="1"/>
      <c r="G1114" s="1"/>
    </row>
    <row r="1115" spans="1:7" x14ac:dyDescent="0.25">
      <c r="A1115" s="1"/>
      <c r="B1115" s="2"/>
      <c r="C1115" s="2"/>
      <c r="D1115" s="1"/>
      <c r="F1115" s="1"/>
      <c r="G1115" s="1"/>
    </row>
    <row r="1116" spans="1:7" x14ac:dyDescent="0.25">
      <c r="A1116" s="1"/>
      <c r="B1116" s="2"/>
      <c r="C1116" s="2"/>
      <c r="D1116" s="1"/>
      <c r="F1116" s="1"/>
      <c r="G1116" s="1"/>
    </row>
    <row r="1117" spans="1:7" x14ac:dyDescent="0.25">
      <c r="A1117" s="1"/>
      <c r="B1117" s="2"/>
      <c r="C1117" s="2"/>
      <c r="D1117" s="1"/>
      <c r="F1117" s="1"/>
      <c r="G1117" s="1"/>
    </row>
    <row r="1118" spans="1:7" x14ac:dyDescent="0.25">
      <c r="A1118" s="1"/>
      <c r="B1118" s="2"/>
      <c r="C1118" s="2"/>
      <c r="D1118" s="1"/>
      <c r="F1118" s="1"/>
      <c r="G1118" s="1"/>
    </row>
    <row r="1119" spans="1:7" x14ac:dyDescent="0.25">
      <c r="A1119" s="1"/>
      <c r="B1119" s="2"/>
      <c r="C1119" s="2"/>
      <c r="D1119" s="1"/>
      <c r="F1119" s="1"/>
      <c r="G1119" s="1"/>
    </row>
    <row r="1120" spans="1:7" x14ac:dyDescent="0.25">
      <c r="A1120" s="1"/>
      <c r="B1120" s="2"/>
      <c r="C1120" s="2"/>
      <c r="D1120" s="1"/>
      <c r="F1120" s="1"/>
      <c r="G1120" s="1"/>
    </row>
    <row r="1121" spans="1:7" x14ac:dyDescent="0.25">
      <c r="A1121" s="1"/>
      <c r="B1121" s="2"/>
      <c r="C1121" s="2"/>
      <c r="D1121" s="1"/>
      <c r="F1121" s="1"/>
      <c r="G1121" s="1"/>
    </row>
    <row r="1122" spans="1:7" x14ac:dyDescent="0.25">
      <c r="A1122" s="1"/>
      <c r="B1122" s="2"/>
      <c r="C1122" s="2"/>
      <c r="D1122" s="1"/>
      <c r="F1122" s="1"/>
      <c r="G1122" s="1"/>
    </row>
    <row r="1123" spans="1:7" x14ac:dyDescent="0.25">
      <c r="A1123" s="1"/>
      <c r="B1123" s="2"/>
      <c r="C1123" s="2"/>
      <c r="D1123" s="1"/>
      <c r="F1123" s="1"/>
      <c r="G1123" s="1"/>
    </row>
    <row r="1124" spans="1:7" x14ac:dyDescent="0.25">
      <c r="A1124" s="1"/>
      <c r="B1124" s="2"/>
      <c r="C1124" s="2"/>
      <c r="D1124" s="1"/>
      <c r="F1124" s="1"/>
      <c r="G1124" s="1"/>
    </row>
    <row r="1125" spans="1:7" x14ac:dyDescent="0.25">
      <c r="A1125" s="1"/>
      <c r="B1125" s="2"/>
      <c r="C1125" s="2"/>
      <c r="D1125" s="1"/>
      <c r="F1125" s="1"/>
      <c r="G1125" s="1"/>
    </row>
    <row r="1126" spans="1:7" x14ac:dyDescent="0.25">
      <c r="A1126" s="1"/>
      <c r="B1126" s="2"/>
      <c r="C1126" s="2"/>
      <c r="D1126" s="1"/>
      <c r="F1126" s="1"/>
      <c r="G1126" s="1"/>
    </row>
    <row r="1127" spans="1:7" x14ac:dyDescent="0.25">
      <c r="A1127" s="1"/>
      <c r="B1127" s="2"/>
      <c r="C1127" s="2"/>
      <c r="D1127" s="1"/>
      <c r="F1127" s="1"/>
      <c r="G1127" s="1"/>
    </row>
    <row r="1128" spans="1:7" x14ac:dyDescent="0.25">
      <c r="A1128" s="1"/>
      <c r="B1128" s="2"/>
      <c r="C1128" s="2"/>
      <c r="D1128" s="1"/>
      <c r="F1128" s="1"/>
      <c r="G1128" s="1"/>
    </row>
    <row r="1129" spans="1:7" x14ac:dyDescent="0.25">
      <c r="A1129" s="1"/>
      <c r="B1129" s="2"/>
      <c r="C1129" s="2"/>
      <c r="D1129" s="1"/>
      <c r="F1129" s="1"/>
      <c r="G1129" s="1"/>
    </row>
    <row r="1130" spans="1:7" x14ac:dyDescent="0.25">
      <c r="A1130" s="1"/>
      <c r="B1130" s="2"/>
      <c r="C1130" s="2"/>
      <c r="D1130" s="1"/>
      <c r="F1130" s="1"/>
      <c r="G1130" s="1"/>
    </row>
    <row r="1131" spans="1:7" x14ac:dyDescent="0.25">
      <c r="A1131" s="1"/>
      <c r="B1131" s="2"/>
      <c r="C1131" s="2"/>
      <c r="D1131" s="1"/>
      <c r="F1131" s="1"/>
      <c r="G1131" s="1"/>
    </row>
    <row r="1132" spans="1:7" x14ac:dyDescent="0.25">
      <c r="A1132" s="1"/>
      <c r="B1132" s="2"/>
      <c r="C1132" s="2"/>
      <c r="D1132" s="1"/>
      <c r="F1132" s="1"/>
      <c r="G1132" s="1"/>
    </row>
    <row r="1133" spans="1:7" x14ac:dyDescent="0.25">
      <c r="A1133" s="1"/>
      <c r="B1133" s="2"/>
      <c r="C1133" s="2"/>
      <c r="D1133" s="1"/>
      <c r="F1133" s="1"/>
      <c r="G1133" s="1"/>
    </row>
    <row r="1134" spans="1:7" x14ac:dyDescent="0.25">
      <c r="A1134" s="1"/>
      <c r="B1134" s="2"/>
      <c r="C1134" s="2"/>
      <c r="D1134" s="1"/>
      <c r="F1134" s="1"/>
      <c r="G1134" s="1"/>
    </row>
    <row r="1135" spans="1:7" x14ac:dyDescent="0.25">
      <c r="A1135" s="1"/>
      <c r="B1135" s="2"/>
      <c r="C1135" s="2"/>
      <c r="D1135" s="1"/>
      <c r="F1135" s="1"/>
      <c r="G1135" s="1"/>
    </row>
    <row r="1136" spans="1:7" x14ac:dyDescent="0.25">
      <c r="A1136" s="1"/>
      <c r="B1136" s="2"/>
      <c r="C1136" s="2"/>
      <c r="D1136" s="1"/>
      <c r="F1136" s="1"/>
      <c r="G1136" s="1"/>
    </row>
    <row r="1137" spans="1:7" x14ac:dyDescent="0.25">
      <c r="A1137" s="1"/>
      <c r="B1137" s="2"/>
      <c r="C1137" s="2"/>
      <c r="D1137" s="1"/>
      <c r="F1137" s="1"/>
      <c r="G1137" s="1"/>
    </row>
    <row r="1138" spans="1:7" x14ac:dyDescent="0.25">
      <c r="A1138" s="1"/>
      <c r="B1138" s="2"/>
      <c r="C1138" s="2"/>
      <c r="D1138" s="1"/>
      <c r="F1138" s="1"/>
      <c r="G1138" s="1"/>
    </row>
    <row r="1139" spans="1:7" x14ac:dyDescent="0.25">
      <c r="A1139" s="1"/>
      <c r="B1139" s="2"/>
      <c r="C1139" s="2"/>
      <c r="D1139" s="1"/>
      <c r="F1139" s="1"/>
      <c r="G1139" s="1"/>
    </row>
    <row r="1140" spans="1:7" x14ac:dyDescent="0.25">
      <c r="A1140" s="1"/>
      <c r="B1140" s="2"/>
      <c r="C1140" s="2"/>
      <c r="D1140" s="1"/>
      <c r="F1140" s="1"/>
      <c r="G1140" s="1"/>
    </row>
    <row r="1141" spans="1:7" x14ac:dyDescent="0.25">
      <c r="A1141" s="1"/>
      <c r="B1141" s="2"/>
      <c r="C1141" s="2"/>
      <c r="D1141" s="1"/>
      <c r="F1141" s="1"/>
      <c r="G1141" s="1"/>
    </row>
    <row r="1142" spans="1:7" x14ac:dyDescent="0.25">
      <c r="A1142" s="1"/>
      <c r="B1142" s="2"/>
      <c r="C1142" s="2"/>
      <c r="D1142" s="1"/>
      <c r="F1142" s="1"/>
      <c r="G1142" s="1"/>
    </row>
    <row r="1143" spans="1:7" x14ac:dyDescent="0.25">
      <c r="A1143" s="1"/>
      <c r="B1143" s="2"/>
      <c r="C1143" s="2"/>
      <c r="D1143" s="1"/>
      <c r="F1143" s="1"/>
      <c r="G1143" s="1"/>
    </row>
    <row r="1144" spans="1:7" x14ac:dyDescent="0.25">
      <c r="A1144" s="1"/>
      <c r="B1144" s="2"/>
      <c r="C1144" s="2"/>
      <c r="D1144" s="1"/>
      <c r="F1144" s="1"/>
      <c r="G1144" s="1"/>
    </row>
    <row r="1145" spans="1:7" x14ac:dyDescent="0.25">
      <c r="A1145" s="1"/>
      <c r="B1145" s="2"/>
      <c r="C1145" s="2"/>
      <c r="D1145" s="1"/>
      <c r="F1145" s="1"/>
      <c r="G1145" s="1"/>
    </row>
    <row r="1146" spans="1:7" x14ac:dyDescent="0.25">
      <c r="A1146" s="1"/>
      <c r="B1146" s="2"/>
      <c r="C1146" s="2"/>
      <c r="D1146" s="1"/>
      <c r="F1146" s="1"/>
      <c r="G1146" s="1"/>
    </row>
    <row r="1147" spans="1:7" x14ac:dyDescent="0.25">
      <c r="A1147" s="1"/>
      <c r="B1147" s="2"/>
      <c r="C1147" s="2"/>
      <c r="D1147" s="1"/>
      <c r="F1147" s="1"/>
      <c r="G1147" s="1"/>
    </row>
    <row r="1148" spans="1:7" x14ac:dyDescent="0.25">
      <c r="A1148" s="1"/>
      <c r="B1148" s="2"/>
      <c r="C1148" s="2"/>
      <c r="D1148" s="1"/>
      <c r="F1148" s="1"/>
      <c r="G1148" s="1"/>
    </row>
    <row r="1149" spans="1:7" x14ac:dyDescent="0.25">
      <c r="A1149" s="1"/>
      <c r="B1149" s="2"/>
      <c r="C1149" s="2"/>
      <c r="D1149" s="1"/>
      <c r="F1149" s="1"/>
      <c r="G1149" s="1"/>
    </row>
    <row r="1150" spans="1:7" x14ac:dyDescent="0.25">
      <c r="A1150" s="1"/>
      <c r="B1150" s="2"/>
      <c r="C1150" s="2"/>
      <c r="D1150" s="1"/>
      <c r="F1150" s="1"/>
      <c r="G1150" s="1"/>
    </row>
    <row r="1151" spans="1:7" x14ac:dyDescent="0.25">
      <c r="A1151" s="1"/>
      <c r="B1151" s="2"/>
      <c r="C1151" s="2"/>
      <c r="D1151" s="1"/>
      <c r="F1151" s="1"/>
      <c r="G1151" s="1"/>
    </row>
    <row r="1152" spans="1:7" x14ac:dyDescent="0.25">
      <c r="A1152" s="1"/>
      <c r="B1152" s="2"/>
      <c r="C1152" s="2"/>
      <c r="D1152" s="1"/>
      <c r="F1152" s="1"/>
      <c r="G1152" s="1"/>
    </row>
    <row r="1153" spans="1:7" x14ac:dyDescent="0.25">
      <c r="A1153" s="1"/>
      <c r="B1153" s="2"/>
      <c r="C1153" s="2"/>
      <c r="D1153" s="1"/>
      <c r="F1153" s="1"/>
      <c r="G1153" s="1"/>
    </row>
    <row r="1154" spans="1:7" x14ac:dyDescent="0.25">
      <c r="A1154" s="1"/>
      <c r="B1154" s="2"/>
      <c r="C1154" s="2"/>
      <c r="D1154" s="1"/>
      <c r="F1154" s="1"/>
      <c r="G1154" s="1"/>
    </row>
    <row r="1155" spans="1:7" x14ac:dyDescent="0.25">
      <c r="A1155" s="1"/>
      <c r="B1155" s="2"/>
      <c r="C1155" s="2"/>
      <c r="D1155" s="1"/>
      <c r="F1155" s="1"/>
      <c r="G1155" s="1"/>
    </row>
    <row r="1156" spans="1:7" x14ac:dyDescent="0.25">
      <c r="A1156" s="1"/>
      <c r="B1156" s="2"/>
      <c r="C1156" s="2"/>
      <c r="D1156" s="1"/>
      <c r="F1156" s="1"/>
      <c r="G1156" s="1"/>
    </row>
    <row r="1157" spans="1:7" x14ac:dyDescent="0.25">
      <c r="A1157" s="1"/>
      <c r="B1157" s="2"/>
      <c r="C1157" s="2"/>
      <c r="D1157" s="1"/>
      <c r="F1157" s="1"/>
      <c r="G1157" s="1"/>
    </row>
    <row r="1158" spans="1:7" x14ac:dyDescent="0.25">
      <c r="A1158" s="1"/>
      <c r="B1158" s="2"/>
      <c r="C1158" s="2"/>
      <c r="D1158" s="1"/>
      <c r="F1158" s="1"/>
      <c r="G1158" s="1"/>
    </row>
    <row r="1159" spans="1:7" x14ac:dyDescent="0.25">
      <c r="A1159" s="1"/>
      <c r="B1159" s="2"/>
      <c r="C1159" s="2"/>
      <c r="D1159" s="1"/>
      <c r="F1159" s="1"/>
      <c r="G1159" s="1"/>
    </row>
    <row r="1160" spans="1:7" x14ac:dyDescent="0.25">
      <c r="A1160" s="1"/>
      <c r="B1160" s="2"/>
      <c r="C1160" s="2"/>
      <c r="D1160" s="1"/>
      <c r="F1160" s="1"/>
      <c r="G1160" s="1"/>
    </row>
    <row r="1161" spans="1:7" x14ac:dyDescent="0.25">
      <c r="A1161" s="1"/>
      <c r="B1161" s="2"/>
      <c r="C1161" s="2"/>
      <c r="D1161" s="1"/>
      <c r="F1161" s="1"/>
      <c r="G1161" s="1"/>
    </row>
    <row r="1162" spans="1:7" x14ac:dyDescent="0.25">
      <c r="A1162" s="1"/>
      <c r="B1162" s="2"/>
      <c r="C1162" s="2"/>
      <c r="D1162" s="1"/>
      <c r="F1162" s="1"/>
      <c r="G1162" s="1"/>
    </row>
    <row r="1163" spans="1:7" x14ac:dyDescent="0.25">
      <c r="A1163" s="1"/>
      <c r="B1163" s="2"/>
      <c r="C1163" s="2"/>
      <c r="D1163" s="1"/>
      <c r="F1163" s="1"/>
      <c r="G1163" s="1"/>
    </row>
    <row r="1164" spans="1:7" x14ac:dyDescent="0.25">
      <c r="A1164" s="1"/>
      <c r="B1164" s="2"/>
      <c r="C1164" s="2"/>
      <c r="D1164" s="1"/>
      <c r="F1164" s="1"/>
      <c r="G1164" s="1"/>
    </row>
    <row r="1165" spans="1:7" x14ac:dyDescent="0.25">
      <c r="A1165" s="1"/>
      <c r="B1165" s="2"/>
      <c r="C1165" s="2"/>
      <c r="D1165" s="1"/>
      <c r="F1165" s="1"/>
      <c r="G1165" s="1"/>
    </row>
    <row r="1166" spans="1:7" x14ac:dyDescent="0.25">
      <c r="A1166" s="1"/>
      <c r="B1166" s="2"/>
      <c r="C1166" s="2"/>
      <c r="D1166" s="1"/>
      <c r="F1166" s="1"/>
      <c r="G1166" s="1"/>
    </row>
    <row r="1167" spans="1:7" x14ac:dyDescent="0.25">
      <c r="A1167" s="1"/>
      <c r="B1167" s="2"/>
      <c r="C1167" s="2"/>
      <c r="D1167" s="1"/>
      <c r="F1167" s="1"/>
      <c r="G1167" s="1"/>
    </row>
    <row r="1168" spans="1:7" x14ac:dyDescent="0.25">
      <c r="A1168" s="1"/>
      <c r="B1168" s="2"/>
      <c r="C1168" s="2"/>
      <c r="D1168" s="1"/>
      <c r="F1168" s="1"/>
      <c r="G1168" s="1"/>
    </row>
    <row r="1169" spans="1:7" x14ac:dyDescent="0.25">
      <c r="A1169" s="1"/>
      <c r="B1169" s="2"/>
      <c r="C1169" s="2"/>
      <c r="D1169" s="1"/>
      <c r="F1169" s="1"/>
      <c r="G1169" s="1"/>
    </row>
    <row r="1170" spans="1:7" x14ac:dyDescent="0.25">
      <c r="A1170" s="1"/>
      <c r="B1170" s="2"/>
      <c r="C1170" s="2"/>
      <c r="D1170" s="1"/>
      <c r="F1170" s="1"/>
      <c r="G1170" s="1"/>
    </row>
    <row r="1171" spans="1:7" x14ac:dyDescent="0.25">
      <c r="A1171" s="1"/>
      <c r="B1171" s="2"/>
      <c r="C1171" s="2"/>
      <c r="D1171" s="1"/>
      <c r="F1171" s="1"/>
      <c r="G1171" s="1"/>
    </row>
    <row r="1172" spans="1:7" x14ac:dyDescent="0.25">
      <c r="A1172" s="1"/>
      <c r="B1172" s="2"/>
      <c r="C1172" s="2"/>
      <c r="D1172" s="1"/>
      <c r="F1172" s="1"/>
      <c r="G1172" s="1"/>
    </row>
    <row r="1173" spans="1:7" x14ac:dyDescent="0.25">
      <c r="A1173" s="1"/>
      <c r="B1173" s="2"/>
      <c r="C1173" s="2"/>
      <c r="D1173" s="1"/>
      <c r="F1173" s="1"/>
      <c r="G1173" s="1"/>
    </row>
    <row r="1174" spans="1:7" x14ac:dyDescent="0.25">
      <c r="A1174" s="1"/>
      <c r="B1174" s="2"/>
      <c r="C1174" s="2"/>
      <c r="D1174" s="1"/>
      <c r="F1174" s="1"/>
      <c r="G1174" s="1"/>
    </row>
    <row r="1175" spans="1:7" x14ac:dyDescent="0.25">
      <c r="A1175" s="1"/>
      <c r="B1175" s="2"/>
      <c r="C1175" s="2"/>
      <c r="D1175" s="1"/>
      <c r="F1175" s="1"/>
      <c r="G1175" s="1"/>
    </row>
    <row r="1176" spans="1:7" x14ac:dyDescent="0.25">
      <c r="A1176" s="1"/>
      <c r="B1176" s="2"/>
      <c r="C1176" s="2"/>
      <c r="D1176" s="1"/>
      <c r="F1176" s="1"/>
      <c r="G1176" s="1"/>
    </row>
    <row r="1177" spans="1:7" x14ac:dyDescent="0.25">
      <c r="A1177" s="1"/>
      <c r="B1177" s="2"/>
      <c r="C1177" s="2"/>
      <c r="D1177" s="1"/>
      <c r="F1177" s="1"/>
      <c r="G1177" s="1"/>
    </row>
    <row r="1178" spans="1:7" x14ac:dyDescent="0.25">
      <c r="A1178" s="1"/>
      <c r="B1178" s="2"/>
      <c r="C1178" s="2"/>
      <c r="D1178" s="1"/>
      <c r="F1178" s="1"/>
      <c r="G1178" s="1"/>
    </row>
    <row r="1179" spans="1:7" x14ac:dyDescent="0.25">
      <c r="A1179" s="1"/>
      <c r="B1179" s="2"/>
      <c r="C1179" s="2"/>
      <c r="D1179" s="1"/>
      <c r="F1179" s="1"/>
      <c r="G1179" s="1"/>
    </row>
    <row r="1180" spans="1:7" x14ac:dyDescent="0.25">
      <c r="A1180" s="1"/>
      <c r="B1180" s="2"/>
      <c r="C1180" s="2"/>
      <c r="D1180" s="1"/>
      <c r="F1180" s="1"/>
      <c r="G1180" s="1"/>
    </row>
    <row r="1181" spans="1:7" x14ac:dyDescent="0.25">
      <c r="A1181" s="1"/>
      <c r="B1181" s="2"/>
      <c r="C1181" s="2"/>
      <c r="D1181" s="1"/>
      <c r="F1181" s="1"/>
      <c r="G1181" s="1"/>
    </row>
    <row r="1182" spans="1:7" x14ac:dyDescent="0.25">
      <c r="A1182" s="1"/>
      <c r="B1182" s="2"/>
      <c r="C1182" s="2"/>
      <c r="D1182" s="1"/>
      <c r="F1182" s="1"/>
      <c r="G1182" s="1"/>
    </row>
    <row r="1183" spans="1:7" x14ac:dyDescent="0.25">
      <c r="A1183" s="1"/>
      <c r="B1183" s="2"/>
      <c r="C1183" s="2"/>
      <c r="D1183" s="1"/>
      <c r="F1183" s="1"/>
      <c r="G1183" s="1"/>
    </row>
    <row r="1184" spans="1:7" x14ac:dyDescent="0.25">
      <c r="A1184" s="1"/>
      <c r="B1184" s="2"/>
      <c r="C1184" s="2"/>
      <c r="D1184" s="1"/>
      <c r="F1184" s="1"/>
      <c r="G1184" s="1"/>
    </row>
    <row r="1185" spans="1:7" x14ac:dyDescent="0.25">
      <c r="A1185" s="1"/>
      <c r="B1185" s="2"/>
      <c r="C1185" s="2"/>
      <c r="D1185" s="1"/>
      <c r="F1185" s="1"/>
      <c r="G1185" s="1"/>
    </row>
    <row r="1186" spans="1:7" x14ac:dyDescent="0.25">
      <c r="A1186" s="1"/>
      <c r="B1186" s="2"/>
      <c r="C1186" s="2"/>
      <c r="D1186" s="1"/>
      <c r="F1186" s="1"/>
      <c r="G1186" s="1"/>
    </row>
    <row r="1187" spans="1:7" x14ac:dyDescent="0.25">
      <c r="A1187" s="1"/>
      <c r="B1187" s="2"/>
      <c r="C1187" s="2"/>
      <c r="D1187" s="1"/>
      <c r="F1187" s="1"/>
      <c r="G1187" s="1"/>
    </row>
    <row r="1188" spans="1:7" x14ac:dyDescent="0.25">
      <c r="A1188" s="1"/>
      <c r="B1188" s="2"/>
      <c r="C1188" s="2"/>
      <c r="D1188" s="1"/>
      <c r="F1188" s="1"/>
      <c r="G1188" s="1"/>
    </row>
    <row r="1189" spans="1:7" x14ac:dyDescent="0.25">
      <c r="A1189" s="1"/>
      <c r="B1189" s="2"/>
      <c r="C1189" s="2"/>
      <c r="D1189" s="1"/>
      <c r="F1189" s="1"/>
      <c r="G1189" s="1"/>
    </row>
    <row r="1190" spans="1:7" x14ac:dyDescent="0.25">
      <c r="A1190" s="1"/>
      <c r="B1190" s="2"/>
      <c r="C1190" s="2"/>
      <c r="D1190" s="1"/>
      <c r="F1190" s="1"/>
      <c r="G1190" s="1"/>
    </row>
    <row r="1191" spans="1:7" x14ac:dyDescent="0.25">
      <c r="A1191" s="1"/>
      <c r="B1191" s="2"/>
      <c r="C1191" s="2"/>
      <c r="D1191" s="1"/>
      <c r="F1191" s="1"/>
      <c r="G1191" s="1"/>
    </row>
    <row r="1192" spans="1:7" x14ac:dyDescent="0.25">
      <c r="A1192" s="1"/>
      <c r="B1192" s="2"/>
      <c r="C1192" s="2"/>
      <c r="D1192" s="1"/>
      <c r="F1192" s="1"/>
      <c r="G1192" s="1"/>
    </row>
    <row r="1193" spans="1:7" x14ac:dyDescent="0.25">
      <c r="A1193" s="1"/>
      <c r="B1193" s="2"/>
      <c r="C1193" s="2"/>
      <c r="D1193" s="1"/>
      <c r="F1193" s="1"/>
      <c r="G1193" s="1"/>
    </row>
    <row r="1194" spans="1:7" x14ac:dyDescent="0.25">
      <c r="A1194" s="1"/>
      <c r="B1194" s="2"/>
      <c r="C1194" s="2"/>
      <c r="D1194" s="1"/>
      <c r="F1194" s="1"/>
      <c r="G1194" s="1"/>
    </row>
    <row r="1195" spans="1:7" x14ac:dyDescent="0.25">
      <c r="A1195" s="1"/>
      <c r="B1195" s="2"/>
      <c r="C1195" s="2"/>
      <c r="D1195" s="1"/>
      <c r="F1195" s="1"/>
      <c r="G1195" s="1"/>
    </row>
    <row r="1196" spans="1:7" x14ac:dyDescent="0.25">
      <c r="A1196" s="1"/>
      <c r="B1196" s="2"/>
      <c r="C1196" s="2"/>
      <c r="D1196" s="1"/>
      <c r="F1196" s="1"/>
      <c r="G1196" s="1"/>
    </row>
    <row r="1197" spans="1:7" x14ac:dyDescent="0.25">
      <c r="A1197" s="1"/>
      <c r="B1197" s="2"/>
      <c r="C1197" s="2"/>
      <c r="D1197" s="1"/>
      <c r="F1197" s="1"/>
      <c r="G1197" s="1"/>
    </row>
    <row r="1198" spans="1:7" x14ac:dyDescent="0.25">
      <c r="A1198" s="1"/>
      <c r="B1198" s="2"/>
      <c r="C1198" s="2"/>
      <c r="D1198" s="1"/>
      <c r="F1198" s="1"/>
      <c r="G1198" s="1"/>
    </row>
    <row r="1199" spans="1:7" x14ac:dyDescent="0.25">
      <c r="A1199" s="1"/>
      <c r="B1199" s="2"/>
      <c r="C1199" s="2"/>
      <c r="D1199" s="1"/>
      <c r="F1199" s="1"/>
      <c r="G1199" s="1"/>
    </row>
    <row r="1200" spans="1:7" x14ac:dyDescent="0.25">
      <c r="A1200" s="1"/>
      <c r="B1200" s="2"/>
      <c r="C1200" s="2"/>
      <c r="D1200" s="1"/>
      <c r="F1200" s="1"/>
      <c r="G1200" s="1"/>
    </row>
    <row r="1201" spans="1:7" x14ac:dyDescent="0.25">
      <c r="A1201" s="1"/>
      <c r="B1201" s="2"/>
      <c r="C1201" s="2"/>
      <c r="D1201" s="1"/>
      <c r="F1201" s="1"/>
      <c r="G1201" s="1"/>
    </row>
    <row r="1202" spans="1:7" x14ac:dyDescent="0.25">
      <c r="A1202" s="1"/>
      <c r="B1202" s="2"/>
      <c r="C1202" s="2"/>
      <c r="D1202" s="1"/>
      <c r="F1202" s="1"/>
      <c r="G1202" s="1"/>
    </row>
    <row r="1203" spans="1:7" x14ac:dyDescent="0.25">
      <c r="A1203" s="1"/>
      <c r="B1203" s="2"/>
      <c r="C1203" s="2"/>
      <c r="D1203" s="1"/>
      <c r="F1203" s="1"/>
      <c r="G1203" s="1"/>
    </row>
    <row r="1204" spans="1:7" x14ac:dyDescent="0.25">
      <c r="A1204" s="1"/>
      <c r="B1204" s="2"/>
      <c r="C1204" s="2"/>
      <c r="D1204" s="1"/>
      <c r="F1204" s="1"/>
      <c r="G1204" s="1"/>
    </row>
    <row r="1205" spans="1:7" x14ac:dyDescent="0.25">
      <c r="A1205" s="1"/>
      <c r="B1205" s="2"/>
      <c r="C1205" s="2"/>
      <c r="D1205" s="1"/>
      <c r="F1205" s="1"/>
      <c r="G1205" s="1"/>
    </row>
    <row r="1206" spans="1:7" x14ac:dyDescent="0.25">
      <c r="A1206" s="1"/>
      <c r="B1206" s="2"/>
      <c r="C1206" s="2"/>
      <c r="D1206" s="1"/>
      <c r="F1206" s="1"/>
      <c r="G1206" s="1"/>
    </row>
    <row r="1207" spans="1:7" x14ac:dyDescent="0.25">
      <c r="A1207" s="1"/>
      <c r="B1207" s="2"/>
      <c r="C1207" s="2"/>
      <c r="D1207" s="1"/>
      <c r="F1207" s="1"/>
      <c r="G1207" s="1"/>
    </row>
    <row r="1208" spans="1:7" x14ac:dyDescent="0.25">
      <c r="A1208" s="1"/>
      <c r="B1208" s="2"/>
      <c r="C1208" s="2"/>
      <c r="D1208" s="1"/>
      <c r="F1208" s="1"/>
      <c r="G1208" s="1"/>
    </row>
    <row r="1209" spans="1:7" x14ac:dyDescent="0.25">
      <c r="A1209" s="1"/>
      <c r="B1209" s="2"/>
      <c r="C1209" s="2"/>
      <c r="D1209" s="1"/>
      <c r="F1209" s="1"/>
      <c r="G1209" s="1"/>
    </row>
    <row r="1210" spans="1:7" x14ac:dyDescent="0.25">
      <c r="A1210" s="1"/>
      <c r="B1210" s="2"/>
      <c r="C1210" s="2"/>
      <c r="D1210" s="1"/>
      <c r="F1210" s="1"/>
      <c r="G1210" s="1"/>
    </row>
    <row r="1211" spans="1:7" x14ac:dyDescent="0.25">
      <c r="A1211" s="1"/>
      <c r="B1211" s="2"/>
      <c r="C1211" s="2"/>
      <c r="D1211" s="1"/>
      <c r="F1211" s="1"/>
      <c r="G1211" s="1"/>
    </row>
    <row r="1212" spans="1:7" x14ac:dyDescent="0.25">
      <c r="A1212" s="1"/>
      <c r="B1212" s="2"/>
      <c r="C1212" s="2"/>
      <c r="D1212" s="1"/>
      <c r="F1212" s="1"/>
      <c r="G1212" s="1"/>
    </row>
    <row r="1213" spans="1:7" x14ac:dyDescent="0.25">
      <c r="A1213" s="1"/>
      <c r="B1213" s="2"/>
      <c r="C1213" s="2"/>
      <c r="D1213" s="1"/>
      <c r="F1213" s="1"/>
      <c r="G1213" s="1"/>
    </row>
    <row r="1214" spans="1:7" x14ac:dyDescent="0.25">
      <c r="A1214" s="1"/>
      <c r="B1214" s="2"/>
      <c r="C1214" s="2"/>
      <c r="D1214" s="1"/>
      <c r="F1214" s="1"/>
      <c r="G1214" s="1"/>
    </row>
    <row r="1215" spans="1:7" x14ac:dyDescent="0.25">
      <c r="A1215" s="1"/>
      <c r="B1215" s="2"/>
      <c r="C1215" s="2"/>
      <c r="D1215" s="1"/>
      <c r="F1215" s="1"/>
      <c r="G1215" s="1"/>
    </row>
    <row r="1216" spans="1:7" x14ac:dyDescent="0.25">
      <c r="A1216" s="1"/>
      <c r="B1216" s="2"/>
      <c r="C1216" s="2"/>
      <c r="D1216" s="1"/>
      <c r="F1216" s="1"/>
      <c r="G1216" s="1"/>
    </row>
    <row r="1217" spans="1:7" x14ac:dyDescent="0.25">
      <c r="A1217" s="1"/>
      <c r="B1217" s="2"/>
      <c r="C1217" s="2"/>
      <c r="D1217" s="1"/>
      <c r="F1217" s="1"/>
      <c r="G1217" s="1"/>
    </row>
    <row r="1218" spans="1:7" x14ac:dyDescent="0.25">
      <c r="A1218" s="1"/>
      <c r="B1218" s="2"/>
      <c r="C1218" s="2"/>
      <c r="D1218" s="1"/>
      <c r="F1218" s="1"/>
      <c r="G1218" s="1"/>
    </row>
    <row r="1219" spans="1:7" x14ac:dyDescent="0.25">
      <c r="A1219" s="1"/>
      <c r="B1219" s="2"/>
      <c r="C1219" s="2"/>
      <c r="D1219" s="1"/>
      <c r="F1219" s="1"/>
      <c r="G1219" s="1"/>
    </row>
    <row r="1220" spans="1:7" x14ac:dyDescent="0.25">
      <c r="A1220" s="1"/>
      <c r="B1220" s="2"/>
      <c r="C1220" s="2"/>
      <c r="D1220" s="1"/>
      <c r="F1220" s="1"/>
      <c r="G1220" s="1"/>
    </row>
    <row r="1221" spans="1:7" x14ac:dyDescent="0.25">
      <c r="A1221" s="1"/>
      <c r="B1221" s="2"/>
      <c r="C1221" s="2"/>
      <c r="D1221" s="1"/>
      <c r="F1221" s="1"/>
      <c r="G1221" s="1"/>
    </row>
    <row r="1222" spans="1:7" x14ac:dyDescent="0.25">
      <c r="A1222" s="1"/>
      <c r="B1222" s="2"/>
      <c r="C1222" s="2"/>
      <c r="D1222" s="1"/>
      <c r="F1222" s="1"/>
      <c r="G1222" s="1"/>
    </row>
    <row r="1223" spans="1:7" x14ac:dyDescent="0.25">
      <c r="A1223" s="1"/>
      <c r="B1223" s="2"/>
      <c r="C1223" s="2"/>
      <c r="D1223" s="1"/>
      <c r="F1223" s="1"/>
      <c r="G1223" s="1"/>
    </row>
    <row r="1224" spans="1:7" x14ac:dyDescent="0.25">
      <c r="A1224" s="1"/>
      <c r="B1224" s="2"/>
      <c r="C1224" s="2"/>
      <c r="D1224" s="1"/>
      <c r="F1224" s="1"/>
      <c r="G1224" s="1"/>
    </row>
    <row r="1225" spans="1:7" x14ac:dyDescent="0.25">
      <c r="A1225" s="1"/>
      <c r="B1225" s="2"/>
      <c r="C1225" s="2"/>
      <c r="D1225" s="1"/>
      <c r="F1225" s="1"/>
      <c r="G1225" s="1"/>
    </row>
    <row r="1226" spans="1:7" x14ac:dyDescent="0.25">
      <c r="A1226" s="1"/>
      <c r="B1226" s="2"/>
      <c r="C1226" s="2"/>
      <c r="D1226" s="1"/>
      <c r="F1226" s="1"/>
      <c r="G1226" s="1"/>
    </row>
    <row r="1227" spans="1:7" x14ac:dyDescent="0.25">
      <c r="A1227" s="1"/>
      <c r="B1227" s="2"/>
      <c r="C1227" s="2"/>
      <c r="D1227" s="1"/>
      <c r="F1227" s="1"/>
      <c r="G1227" s="1"/>
    </row>
    <row r="1228" spans="1:7" x14ac:dyDescent="0.25">
      <c r="A1228" s="1"/>
      <c r="B1228" s="2"/>
      <c r="C1228" s="2"/>
      <c r="D1228" s="1"/>
      <c r="F1228" s="1"/>
      <c r="G1228" s="1"/>
    </row>
    <row r="1229" spans="1:7" x14ac:dyDescent="0.25">
      <c r="A1229" s="1"/>
      <c r="B1229" s="2"/>
      <c r="C1229" s="2"/>
      <c r="D1229" s="1"/>
      <c r="F1229" s="1"/>
      <c r="G1229" s="1"/>
    </row>
    <row r="1230" spans="1:7" x14ac:dyDescent="0.25">
      <c r="A1230" s="1"/>
      <c r="B1230" s="2"/>
      <c r="C1230" s="2"/>
      <c r="D1230" s="1"/>
      <c r="F1230" s="1"/>
      <c r="G1230" s="1"/>
    </row>
    <row r="1231" spans="1:7" x14ac:dyDescent="0.25">
      <c r="A1231" s="1"/>
      <c r="B1231" s="2"/>
      <c r="C1231" s="2"/>
      <c r="D1231" s="1"/>
      <c r="F1231" s="1"/>
      <c r="G1231" s="1"/>
    </row>
    <row r="1232" spans="1:7" x14ac:dyDescent="0.25">
      <c r="A1232" s="1"/>
      <c r="B1232" s="2"/>
      <c r="C1232" s="2"/>
      <c r="D1232" s="1"/>
      <c r="F1232" s="1"/>
      <c r="G1232" s="1"/>
    </row>
    <row r="1233" spans="1:7" x14ac:dyDescent="0.25">
      <c r="A1233" s="1"/>
      <c r="B1233" s="2"/>
      <c r="C1233" s="2"/>
      <c r="D1233" s="1"/>
      <c r="F1233" s="1"/>
      <c r="G1233" s="1"/>
    </row>
    <row r="1234" spans="1:7" x14ac:dyDescent="0.25">
      <c r="A1234" s="1"/>
      <c r="B1234" s="2"/>
      <c r="C1234" s="2"/>
      <c r="D1234" s="1"/>
      <c r="F1234" s="1"/>
      <c r="G1234" s="1"/>
    </row>
    <row r="1235" spans="1:7" x14ac:dyDescent="0.25">
      <c r="A1235" s="1"/>
      <c r="B1235" s="2"/>
      <c r="C1235" s="2"/>
      <c r="D1235" s="1"/>
      <c r="F1235" s="1"/>
      <c r="G1235" s="1"/>
    </row>
    <row r="1236" spans="1:7" x14ac:dyDescent="0.25">
      <c r="A1236" s="1"/>
      <c r="B1236" s="2"/>
      <c r="C1236" s="2"/>
      <c r="D1236" s="1"/>
      <c r="F1236" s="1"/>
      <c r="G1236" s="1"/>
    </row>
    <row r="1237" spans="1:7" x14ac:dyDescent="0.25">
      <c r="A1237" s="1"/>
      <c r="B1237" s="2"/>
      <c r="C1237" s="2"/>
      <c r="D1237" s="1"/>
      <c r="F1237" s="1"/>
      <c r="G1237" s="1"/>
    </row>
    <row r="1238" spans="1:7" x14ac:dyDescent="0.25">
      <c r="A1238" s="1"/>
      <c r="B1238" s="2"/>
      <c r="C1238" s="2"/>
      <c r="D1238" s="1"/>
      <c r="F1238" s="1"/>
      <c r="G1238" s="1"/>
    </row>
    <row r="1239" spans="1:7" x14ac:dyDescent="0.25">
      <c r="A1239" s="1"/>
      <c r="B1239" s="2"/>
      <c r="C1239" s="2"/>
      <c r="D1239" s="1"/>
      <c r="F1239" s="1"/>
      <c r="G1239" s="1"/>
    </row>
    <row r="1240" spans="1:7" x14ac:dyDescent="0.25">
      <c r="A1240" s="1"/>
      <c r="B1240" s="2"/>
      <c r="C1240" s="2"/>
      <c r="D1240" s="1"/>
      <c r="F1240" s="1"/>
      <c r="G1240" s="1"/>
    </row>
    <row r="1241" spans="1:7" x14ac:dyDescent="0.25">
      <c r="A1241" s="1"/>
      <c r="B1241" s="2"/>
      <c r="C1241" s="2"/>
      <c r="D1241" s="1"/>
      <c r="F1241" s="1"/>
      <c r="G1241" s="1"/>
    </row>
    <row r="1242" spans="1:7" x14ac:dyDescent="0.25">
      <c r="A1242" s="1"/>
      <c r="B1242" s="2"/>
      <c r="C1242" s="2"/>
      <c r="D1242" s="1"/>
      <c r="F1242" s="1"/>
      <c r="G1242" s="1"/>
    </row>
    <row r="1243" spans="1:7" x14ac:dyDescent="0.25">
      <c r="A1243" s="1"/>
      <c r="B1243" s="2"/>
      <c r="C1243" s="2"/>
      <c r="D1243" s="1"/>
      <c r="F1243" s="1"/>
      <c r="G1243" s="1"/>
    </row>
    <row r="1244" spans="1:7" x14ac:dyDescent="0.25">
      <c r="A1244" s="1"/>
      <c r="B1244" s="2"/>
      <c r="C1244" s="2"/>
      <c r="D1244" s="1"/>
      <c r="F1244" s="1"/>
      <c r="G1244" s="1"/>
    </row>
    <row r="1245" spans="1:7" x14ac:dyDescent="0.25">
      <c r="A1245" s="1"/>
      <c r="B1245" s="2"/>
      <c r="C1245" s="2"/>
      <c r="D1245" s="1"/>
      <c r="F1245" s="1"/>
      <c r="G1245" s="1"/>
    </row>
    <row r="1246" spans="1:7" x14ac:dyDescent="0.25">
      <c r="A1246" s="1"/>
      <c r="B1246" s="2"/>
      <c r="C1246" s="2"/>
      <c r="D1246" s="1"/>
      <c r="F1246" s="1"/>
      <c r="G1246" s="1"/>
    </row>
    <row r="1247" spans="1:7" x14ac:dyDescent="0.25">
      <c r="A1247" s="1"/>
      <c r="B1247" s="2"/>
      <c r="C1247" s="2"/>
      <c r="D1247" s="1"/>
      <c r="F1247" s="1"/>
      <c r="G1247" s="1"/>
    </row>
    <row r="1248" spans="1:7" x14ac:dyDescent="0.25">
      <c r="A1248" s="1"/>
      <c r="B1248" s="2"/>
      <c r="C1248" s="2"/>
      <c r="D1248" s="1"/>
      <c r="F1248" s="1"/>
      <c r="G1248" s="1"/>
    </row>
    <row r="1249" spans="1:7" x14ac:dyDescent="0.25">
      <c r="A1249" s="1"/>
      <c r="B1249" s="2"/>
      <c r="C1249" s="2"/>
      <c r="D1249" s="1"/>
      <c r="F1249" s="1"/>
      <c r="G1249" s="1"/>
    </row>
    <row r="1250" spans="1:7" x14ac:dyDescent="0.25">
      <c r="A1250" s="1"/>
      <c r="B1250" s="2"/>
      <c r="C1250" s="2"/>
      <c r="D1250" s="1"/>
      <c r="F1250" s="1"/>
      <c r="G1250" s="1"/>
    </row>
    <row r="1251" spans="1:7" x14ac:dyDescent="0.25">
      <c r="A1251" s="1"/>
      <c r="B1251" s="2"/>
      <c r="C1251" s="2"/>
      <c r="D1251" s="1"/>
      <c r="F1251" s="1"/>
      <c r="G1251" s="1"/>
    </row>
    <row r="1252" spans="1:7" x14ac:dyDescent="0.25">
      <c r="A1252" s="1"/>
      <c r="B1252" s="2"/>
      <c r="C1252" s="2"/>
      <c r="D1252" s="1"/>
      <c r="F1252" s="1"/>
      <c r="G1252" s="1"/>
    </row>
    <row r="1253" spans="1:7" x14ac:dyDescent="0.25">
      <c r="A1253" s="1"/>
      <c r="B1253" s="2"/>
      <c r="C1253" s="2"/>
      <c r="D1253" s="1"/>
      <c r="F1253" s="1"/>
      <c r="G1253" s="1"/>
    </row>
    <row r="1254" spans="1:7" x14ac:dyDescent="0.25">
      <c r="A1254" s="1"/>
      <c r="B1254" s="2"/>
      <c r="C1254" s="2"/>
      <c r="D1254" s="1"/>
      <c r="F1254" s="1"/>
      <c r="G1254" s="1"/>
    </row>
    <row r="1255" spans="1:7" x14ac:dyDescent="0.25">
      <c r="A1255" s="1"/>
      <c r="B1255" s="2"/>
      <c r="C1255" s="2"/>
      <c r="D1255" s="1"/>
      <c r="F1255" s="1"/>
      <c r="G1255" s="1"/>
    </row>
    <row r="1256" spans="1:7" x14ac:dyDescent="0.25">
      <c r="A1256" s="1"/>
      <c r="B1256" s="2"/>
      <c r="C1256" s="2"/>
      <c r="D1256" s="1"/>
      <c r="F1256" s="1"/>
      <c r="G1256" s="1"/>
    </row>
    <row r="1257" spans="1:7" x14ac:dyDescent="0.25">
      <c r="A1257" s="1"/>
      <c r="B1257" s="2"/>
      <c r="C1257" s="2"/>
      <c r="D1257" s="1"/>
      <c r="F1257" s="1"/>
      <c r="G1257" s="1"/>
    </row>
    <row r="1258" spans="1:7" x14ac:dyDescent="0.25">
      <c r="A1258" s="1"/>
      <c r="B1258" s="2"/>
      <c r="C1258" s="2"/>
      <c r="D1258" s="1"/>
      <c r="F1258" s="1"/>
      <c r="G1258" s="1"/>
    </row>
    <row r="1259" spans="1:7" x14ac:dyDescent="0.25">
      <c r="A1259" s="1"/>
      <c r="B1259" s="2"/>
      <c r="C1259" s="2"/>
      <c r="D1259" s="1"/>
      <c r="F1259" s="1"/>
      <c r="G1259" s="1"/>
    </row>
    <row r="1260" spans="1:7" x14ac:dyDescent="0.25">
      <c r="A1260" s="1"/>
      <c r="B1260" s="2"/>
      <c r="C1260" s="2"/>
      <c r="D1260" s="1"/>
      <c r="F1260" s="1"/>
      <c r="G1260" s="1"/>
    </row>
    <row r="1261" spans="1:7" x14ac:dyDescent="0.25">
      <c r="A1261" s="1"/>
      <c r="B1261" s="2"/>
      <c r="C1261" s="2"/>
      <c r="D1261" s="1"/>
      <c r="F1261" s="1"/>
      <c r="G1261" s="1"/>
    </row>
    <row r="1262" spans="1:7" x14ac:dyDescent="0.25">
      <c r="A1262" s="1"/>
      <c r="B1262" s="2"/>
      <c r="C1262" s="2"/>
      <c r="D1262" s="1"/>
      <c r="F1262" s="1"/>
      <c r="G1262" s="1"/>
    </row>
    <row r="1263" spans="1:7" x14ac:dyDescent="0.25">
      <c r="A1263" s="1"/>
      <c r="B1263" s="2"/>
      <c r="C1263" s="2"/>
      <c r="D1263" s="1"/>
      <c r="F1263" s="1"/>
      <c r="G1263" s="1"/>
    </row>
    <row r="1264" spans="1:7" x14ac:dyDescent="0.25">
      <c r="A1264" s="1"/>
      <c r="B1264" s="2"/>
      <c r="C1264" s="2"/>
      <c r="D1264" s="1"/>
      <c r="F1264" s="1"/>
      <c r="G1264" s="1"/>
    </row>
    <row r="1265" spans="1:7" x14ac:dyDescent="0.25">
      <c r="A1265" s="1"/>
      <c r="B1265" s="2"/>
      <c r="C1265" s="2"/>
      <c r="D1265" s="1"/>
      <c r="F1265" s="1"/>
      <c r="G1265" s="1"/>
    </row>
    <row r="1266" spans="1:7" x14ac:dyDescent="0.25">
      <c r="A1266" s="1"/>
      <c r="B1266" s="2"/>
      <c r="C1266" s="2"/>
      <c r="D1266" s="1"/>
      <c r="F1266" s="1"/>
      <c r="G1266" s="1"/>
    </row>
    <row r="1267" spans="1:7" x14ac:dyDescent="0.25">
      <c r="A1267" s="1"/>
      <c r="B1267" s="2"/>
      <c r="C1267" s="2"/>
      <c r="D1267" s="1"/>
      <c r="F1267" s="1"/>
      <c r="G1267" s="1"/>
    </row>
    <row r="1268" spans="1:7" x14ac:dyDescent="0.25">
      <c r="A1268" s="1"/>
      <c r="B1268" s="2"/>
      <c r="C1268" s="2"/>
      <c r="D1268" s="1"/>
      <c r="F1268" s="1"/>
      <c r="G1268" s="1"/>
    </row>
    <row r="1269" spans="1:7" x14ac:dyDescent="0.25">
      <c r="A1269" s="1"/>
      <c r="B1269" s="2"/>
      <c r="C1269" s="2"/>
      <c r="D1269" s="1"/>
      <c r="F1269" s="1"/>
      <c r="G1269" s="1"/>
    </row>
    <row r="1270" spans="1:7" x14ac:dyDescent="0.25">
      <c r="A1270" s="1"/>
      <c r="B1270" s="2"/>
      <c r="C1270" s="2"/>
      <c r="D1270" s="1"/>
      <c r="F1270" s="1"/>
      <c r="G1270" s="1"/>
    </row>
    <row r="1271" spans="1:7" x14ac:dyDescent="0.25">
      <c r="A1271" s="1"/>
      <c r="B1271" s="2"/>
      <c r="C1271" s="2"/>
      <c r="D1271" s="1"/>
      <c r="F1271" s="1"/>
      <c r="G1271" s="1"/>
    </row>
    <row r="1272" spans="1:7" x14ac:dyDescent="0.25">
      <c r="A1272" s="1"/>
      <c r="B1272" s="2"/>
      <c r="C1272" s="2"/>
      <c r="D1272" s="1"/>
      <c r="F1272" s="1"/>
      <c r="G1272" s="1"/>
    </row>
    <row r="1273" spans="1:7" x14ac:dyDescent="0.25">
      <c r="A1273" s="1"/>
      <c r="B1273" s="2"/>
      <c r="C1273" s="2"/>
      <c r="D1273" s="1"/>
      <c r="F1273" s="1"/>
      <c r="G1273" s="1"/>
    </row>
    <row r="1274" spans="1:7" x14ac:dyDescent="0.25">
      <c r="A1274" s="1"/>
      <c r="B1274" s="2"/>
      <c r="C1274" s="2"/>
      <c r="D1274" s="1"/>
      <c r="F1274" s="1"/>
      <c r="G1274" s="1"/>
    </row>
    <row r="1275" spans="1:7" x14ac:dyDescent="0.25">
      <c r="A1275" s="1"/>
      <c r="B1275" s="2"/>
      <c r="C1275" s="2"/>
      <c r="D1275" s="1"/>
      <c r="F1275" s="1"/>
      <c r="G1275" s="1"/>
    </row>
    <row r="1276" spans="1:7" x14ac:dyDescent="0.25">
      <c r="A1276" s="1"/>
      <c r="B1276" s="2"/>
      <c r="C1276" s="2"/>
      <c r="D1276" s="1"/>
      <c r="F1276" s="1"/>
      <c r="G1276" s="1"/>
    </row>
    <row r="1277" spans="1:7" x14ac:dyDescent="0.25">
      <c r="A1277" s="1"/>
      <c r="B1277" s="2"/>
      <c r="C1277" s="2"/>
      <c r="D1277" s="1"/>
      <c r="F1277" s="1"/>
      <c r="G1277" s="1"/>
    </row>
    <row r="1278" spans="1:7" x14ac:dyDescent="0.25">
      <c r="A1278" s="1"/>
      <c r="B1278" s="2"/>
      <c r="C1278" s="2"/>
      <c r="D1278" s="1"/>
      <c r="F1278" s="1"/>
      <c r="G1278" s="1"/>
    </row>
    <row r="1279" spans="1:7" x14ac:dyDescent="0.25">
      <c r="A1279" s="1"/>
      <c r="B1279" s="2"/>
      <c r="C1279" s="2"/>
      <c r="D1279" s="1"/>
      <c r="F1279" s="1"/>
      <c r="G1279" s="1"/>
    </row>
    <row r="1280" spans="1:7" x14ac:dyDescent="0.25">
      <c r="A1280" s="1"/>
      <c r="B1280" s="2"/>
      <c r="C1280" s="2"/>
      <c r="D1280" s="1"/>
      <c r="F1280" s="1"/>
      <c r="G1280" s="1"/>
    </row>
    <row r="1281" spans="1:7" x14ac:dyDescent="0.25">
      <c r="A1281" s="1"/>
      <c r="B1281" s="2"/>
      <c r="C1281" s="2"/>
      <c r="D1281" s="1"/>
      <c r="F1281" s="1"/>
      <c r="G1281" s="1"/>
    </row>
    <row r="1282" spans="1:7" x14ac:dyDescent="0.25">
      <c r="A1282" s="1"/>
      <c r="B1282" s="2"/>
      <c r="C1282" s="2"/>
      <c r="D1282" s="1"/>
      <c r="F1282" s="1"/>
      <c r="G1282" s="1"/>
    </row>
    <row r="1283" spans="1:7" x14ac:dyDescent="0.25">
      <c r="A1283" s="1"/>
      <c r="B1283" s="2"/>
      <c r="C1283" s="2"/>
      <c r="D1283" s="1"/>
      <c r="F1283" s="1"/>
      <c r="G1283" s="1"/>
    </row>
    <row r="1284" spans="1:7" x14ac:dyDescent="0.25">
      <c r="A1284" s="1"/>
      <c r="B1284" s="2"/>
      <c r="C1284" s="2"/>
      <c r="D1284" s="1"/>
      <c r="F1284" s="1"/>
      <c r="G1284" s="1"/>
    </row>
    <row r="1285" spans="1:7" x14ac:dyDescent="0.25">
      <c r="A1285" s="1"/>
      <c r="B1285" s="2"/>
      <c r="C1285" s="2"/>
      <c r="D1285" s="1"/>
      <c r="F1285" s="1"/>
      <c r="G1285" s="1"/>
    </row>
    <row r="1286" spans="1:7" x14ac:dyDescent="0.25">
      <c r="A1286" s="1"/>
      <c r="B1286" s="2"/>
      <c r="C1286" s="2"/>
      <c r="D1286" s="1"/>
      <c r="F1286" s="1"/>
      <c r="G1286" s="1"/>
    </row>
    <row r="1287" spans="1:7" x14ac:dyDescent="0.25">
      <c r="A1287" s="1"/>
      <c r="B1287" s="2"/>
      <c r="C1287" s="2"/>
      <c r="D1287" s="1"/>
      <c r="F1287" s="1"/>
      <c r="G1287" s="1"/>
    </row>
    <row r="1288" spans="1:7" x14ac:dyDescent="0.25">
      <c r="A1288" s="1"/>
      <c r="B1288" s="2"/>
      <c r="C1288" s="2"/>
      <c r="D1288" s="1"/>
      <c r="F1288" s="1"/>
      <c r="G1288" s="1"/>
    </row>
    <row r="1289" spans="1:7" x14ac:dyDescent="0.25">
      <c r="A1289" s="1"/>
      <c r="B1289" s="2"/>
      <c r="C1289" s="2"/>
      <c r="D1289" s="1"/>
      <c r="F1289" s="1"/>
      <c r="G1289" s="1"/>
    </row>
    <row r="1290" spans="1:7" x14ac:dyDescent="0.25">
      <c r="A1290" s="1"/>
      <c r="B1290" s="2"/>
      <c r="C1290" s="2"/>
      <c r="D1290" s="1"/>
      <c r="F1290" s="1"/>
      <c r="G1290" s="1"/>
    </row>
    <row r="1291" spans="1:7" x14ac:dyDescent="0.25">
      <c r="A1291" s="1"/>
      <c r="B1291" s="2"/>
      <c r="C1291" s="2"/>
      <c r="D1291" s="1"/>
      <c r="F1291" s="1"/>
      <c r="G1291" s="1"/>
    </row>
    <row r="1292" spans="1:7" x14ac:dyDescent="0.25">
      <c r="A1292" s="1"/>
      <c r="B1292" s="2"/>
      <c r="C1292" s="2"/>
      <c r="D1292" s="1"/>
      <c r="F1292" s="1"/>
      <c r="G1292" s="1"/>
    </row>
    <row r="1293" spans="1:7" x14ac:dyDescent="0.25">
      <c r="A1293" s="1"/>
      <c r="B1293" s="2"/>
      <c r="C1293" s="2"/>
      <c r="D1293" s="1"/>
      <c r="F1293" s="1"/>
      <c r="G1293" s="1"/>
    </row>
    <row r="1294" spans="1:7" x14ac:dyDescent="0.25">
      <c r="A1294" s="1"/>
      <c r="B1294" s="2"/>
      <c r="C1294" s="2"/>
      <c r="D1294" s="1"/>
      <c r="F1294" s="1"/>
      <c r="G1294" s="1"/>
    </row>
    <row r="1295" spans="1:7" x14ac:dyDescent="0.25">
      <c r="A1295" s="1"/>
      <c r="B1295" s="2"/>
      <c r="C1295" s="2"/>
      <c r="D1295" s="1"/>
      <c r="F1295" s="1"/>
      <c r="G1295" s="1"/>
    </row>
    <row r="1296" spans="1:7" x14ac:dyDescent="0.25">
      <c r="A1296" s="1"/>
      <c r="B1296" s="2"/>
      <c r="C1296" s="2"/>
      <c r="D1296" s="1"/>
      <c r="F1296" s="1"/>
      <c r="G1296" s="1"/>
    </row>
    <row r="1297" spans="1:7" x14ac:dyDescent="0.25">
      <c r="A1297" s="1"/>
      <c r="B1297" s="2"/>
      <c r="C1297" s="2"/>
      <c r="D1297" s="1"/>
      <c r="F1297" s="1"/>
      <c r="G1297" s="1"/>
    </row>
    <row r="1298" spans="1:7" x14ac:dyDescent="0.25">
      <c r="A1298" s="1"/>
      <c r="B1298" s="2"/>
      <c r="C1298" s="2"/>
      <c r="D1298" s="1"/>
      <c r="F1298" s="1"/>
      <c r="G1298" s="1"/>
    </row>
    <row r="1299" spans="1:7" x14ac:dyDescent="0.25">
      <c r="A1299" s="1"/>
      <c r="B1299" s="2"/>
      <c r="C1299" s="2"/>
      <c r="D1299" s="1"/>
      <c r="F1299" s="1"/>
      <c r="G1299" s="1"/>
    </row>
    <row r="1300" spans="1:7" x14ac:dyDescent="0.25">
      <c r="A1300" s="1"/>
      <c r="B1300" s="2"/>
      <c r="C1300" s="2"/>
      <c r="D1300" s="1"/>
      <c r="F1300" s="1"/>
      <c r="G1300" s="1"/>
    </row>
    <row r="1301" spans="1:7" x14ac:dyDescent="0.25">
      <c r="A1301" s="1"/>
      <c r="B1301" s="2"/>
      <c r="C1301" s="2"/>
      <c r="D1301" s="1"/>
      <c r="F1301" s="1"/>
      <c r="G1301" s="1"/>
    </row>
    <row r="1302" spans="1:7" x14ac:dyDescent="0.25">
      <c r="A1302" s="1"/>
      <c r="B1302" s="2"/>
      <c r="C1302" s="2"/>
      <c r="D1302" s="1"/>
      <c r="F1302" s="1"/>
      <c r="G1302" s="1"/>
    </row>
    <row r="1303" spans="1:7" x14ac:dyDescent="0.25">
      <c r="A1303" s="1"/>
      <c r="B1303" s="2"/>
      <c r="C1303" s="2"/>
      <c r="D1303" s="1"/>
      <c r="F1303" s="1"/>
      <c r="G1303" s="1"/>
    </row>
    <row r="1304" spans="1:7" x14ac:dyDescent="0.25">
      <c r="A1304" s="1"/>
      <c r="B1304" s="2"/>
      <c r="C1304" s="2"/>
      <c r="D1304" s="1"/>
      <c r="F1304" s="1"/>
      <c r="G1304" s="1"/>
    </row>
    <row r="1305" spans="1:7" x14ac:dyDescent="0.25">
      <c r="A1305" s="1"/>
      <c r="B1305" s="2"/>
      <c r="C1305" s="2"/>
      <c r="D1305" s="1"/>
      <c r="F1305" s="1"/>
      <c r="G1305" s="1"/>
    </row>
    <row r="1306" spans="1:7" x14ac:dyDescent="0.25">
      <c r="A1306" s="1"/>
      <c r="B1306" s="2"/>
      <c r="C1306" s="2"/>
      <c r="D1306" s="1"/>
      <c r="F1306" s="1"/>
      <c r="G1306" s="1"/>
    </row>
    <row r="1307" spans="1:7" x14ac:dyDescent="0.25">
      <c r="A1307" s="1"/>
      <c r="B1307" s="2"/>
      <c r="C1307" s="2"/>
      <c r="D1307" s="1"/>
      <c r="F1307" s="1"/>
      <c r="G1307" s="1"/>
    </row>
    <row r="1308" spans="1:7" x14ac:dyDescent="0.25">
      <c r="A1308" s="1"/>
      <c r="B1308" s="2"/>
      <c r="C1308" s="2"/>
      <c r="D1308" s="1"/>
      <c r="F1308" s="1"/>
      <c r="G1308" s="1"/>
    </row>
    <row r="1309" spans="1:7" x14ac:dyDescent="0.25">
      <c r="A1309" s="1"/>
      <c r="B1309" s="2"/>
      <c r="C1309" s="2"/>
      <c r="D1309" s="1"/>
      <c r="F1309" s="1"/>
      <c r="G1309" s="1"/>
    </row>
    <row r="1310" spans="1:7" x14ac:dyDescent="0.25">
      <c r="A1310" s="1"/>
      <c r="B1310" s="2"/>
      <c r="C1310" s="2"/>
      <c r="D1310" s="1"/>
      <c r="F1310" s="1"/>
      <c r="G1310" s="1"/>
    </row>
    <row r="1311" spans="1:7" x14ac:dyDescent="0.25">
      <c r="A1311" s="1"/>
      <c r="B1311" s="2"/>
      <c r="C1311" s="2"/>
      <c r="D1311" s="1"/>
      <c r="F1311" s="1"/>
      <c r="G1311" s="1"/>
    </row>
    <row r="1312" spans="1:7" x14ac:dyDescent="0.25">
      <c r="A1312" s="1"/>
      <c r="B1312" s="2"/>
      <c r="C1312" s="2"/>
      <c r="D1312" s="1"/>
      <c r="F1312" s="1"/>
      <c r="G1312" s="1"/>
    </row>
    <row r="1313" spans="1:7" x14ac:dyDescent="0.25">
      <c r="A1313" s="1"/>
      <c r="B1313" s="2"/>
      <c r="C1313" s="2"/>
      <c r="D1313" s="1"/>
      <c r="F1313" s="1"/>
      <c r="G1313" s="1"/>
    </row>
    <row r="1314" spans="1:7" x14ac:dyDescent="0.25">
      <c r="A1314" s="1"/>
      <c r="B1314" s="2"/>
      <c r="C1314" s="2"/>
      <c r="D1314" s="1"/>
      <c r="F1314" s="1"/>
      <c r="G1314" s="1"/>
    </row>
    <row r="1315" spans="1:7" x14ac:dyDescent="0.25">
      <c r="A1315" s="1"/>
      <c r="B1315" s="2"/>
      <c r="C1315" s="2"/>
      <c r="D1315" s="1"/>
      <c r="F1315" s="1"/>
      <c r="G1315" s="1"/>
    </row>
    <row r="1316" spans="1:7" x14ac:dyDescent="0.25">
      <c r="A1316" s="1"/>
      <c r="B1316" s="2"/>
      <c r="C1316" s="2"/>
      <c r="D1316" s="1"/>
      <c r="F1316" s="1"/>
      <c r="G1316" s="1"/>
    </row>
    <row r="1317" spans="1:7" x14ac:dyDescent="0.25">
      <c r="A1317" s="1"/>
      <c r="B1317" s="2"/>
      <c r="C1317" s="2"/>
      <c r="D1317" s="1"/>
      <c r="F1317" s="1"/>
      <c r="G1317" s="1"/>
    </row>
    <row r="1318" spans="1:7" x14ac:dyDescent="0.25">
      <c r="A1318" s="1"/>
      <c r="B1318" s="2"/>
      <c r="C1318" s="2"/>
      <c r="D1318" s="1"/>
      <c r="F1318" s="1"/>
      <c r="G1318" s="1"/>
    </row>
    <row r="1319" spans="1:7" x14ac:dyDescent="0.25">
      <c r="A1319" s="1"/>
      <c r="B1319" s="2"/>
      <c r="C1319" s="2"/>
      <c r="D1319" s="1"/>
      <c r="F1319" s="1"/>
      <c r="G1319" s="1"/>
    </row>
    <row r="1320" spans="1:7" x14ac:dyDescent="0.25">
      <c r="A1320" s="1"/>
      <c r="B1320" s="2"/>
      <c r="C1320" s="2"/>
      <c r="D1320" s="1"/>
      <c r="F1320" s="1"/>
      <c r="G1320" s="1"/>
    </row>
    <row r="1321" spans="1:7" x14ac:dyDescent="0.25">
      <c r="A1321" s="1"/>
      <c r="B1321" s="2"/>
      <c r="C1321" s="2"/>
      <c r="D1321" s="1"/>
      <c r="F1321" s="1"/>
      <c r="G1321" s="1"/>
    </row>
    <row r="1322" spans="1:7" x14ac:dyDescent="0.25">
      <c r="A1322" s="1"/>
      <c r="B1322" s="2"/>
      <c r="C1322" s="2"/>
      <c r="D1322" s="1"/>
      <c r="F1322" s="1"/>
      <c r="G1322" s="1"/>
    </row>
    <row r="1323" spans="1:7" x14ac:dyDescent="0.25">
      <c r="A1323" s="1"/>
      <c r="B1323" s="2"/>
      <c r="C1323" s="2"/>
      <c r="D1323" s="1"/>
      <c r="F1323" s="1"/>
      <c r="G1323" s="1"/>
    </row>
    <row r="1324" spans="1:7" x14ac:dyDescent="0.25">
      <c r="A1324" s="1"/>
      <c r="B1324" s="2"/>
      <c r="C1324" s="2"/>
      <c r="D1324" s="1"/>
      <c r="F1324" s="1"/>
      <c r="G1324" s="1"/>
    </row>
    <row r="1325" spans="1:7" x14ac:dyDescent="0.25">
      <c r="A1325" s="1"/>
      <c r="B1325" s="2"/>
      <c r="C1325" s="2"/>
      <c r="D1325" s="1"/>
      <c r="F1325" s="1"/>
      <c r="G1325" s="1"/>
    </row>
    <row r="1326" spans="1:7" x14ac:dyDescent="0.25">
      <c r="A1326" s="1"/>
      <c r="B1326" s="2"/>
      <c r="C1326" s="2"/>
      <c r="D1326" s="1"/>
      <c r="F1326" s="1"/>
      <c r="G1326" s="1"/>
    </row>
    <row r="1327" spans="1:7" x14ac:dyDescent="0.25">
      <c r="A1327" s="1"/>
      <c r="B1327" s="2"/>
      <c r="C1327" s="2"/>
      <c r="D1327" s="1"/>
      <c r="F1327" s="1"/>
      <c r="G1327" s="1"/>
    </row>
    <row r="1328" spans="1:7" x14ac:dyDescent="0.25">
      <c r="A1328" s="1"/>
      <c r="B1328" s="2"/>
      <c r="C1328" s="2"/>
      <c r="D1328" s="1"/>
      <c r="F1328" s="1"/>
      <c r="G1328" s="1"/>
    </row>
    <row r="1329" spans="1:7" x14ac:dyDescent="0.25">
      <c r="A1329" s="1"/>
      <c r="B1329" s="2"/>
      <c r="C1329" s="2"/>
      <c r="D1329" s="1"/>
      <c r="F1329" s="1"/>
      <c r="G1329" s="1"/>
    </row>
    <row r="1330" spans="1:7" x14ac:dyDescent="0.25">
      <c r="A1330" s="1"/>
      <c r="B1330" s="2"/>
      <c r="C1330" s="2"/>
      <c r="D1330" s="1"/>
      <c r="F1330" s="1"/>
      <c r="G1330" s="1"/>
    </row>
    <row r="1331" spans="1:7" x14ac:dyDescent="0.25">
      <c r="A1331" s="1"/>
      <c r="B1331" s="2"/>
      <c r="C1331" s="2"/>
      <c r="D1331" s="1"/>
      <c r="F1331" s="1"/>
      <c r="G1331" s="1"/>
    </row>
    <row r="1332" spans="1:7" x14ac:dyDescent="0.25">
      <c r="A1332" s="1"/>
      <c r="B1332" s="2"/>
      <c r="C1332" s="2"/>
      <c r="D1332" s="1"/>
      <c r="F1332" s="1"/>
      <c r="G1332" s="1"/>
    </row>
    <row r="1333" spans="1:7" x14ac:dyDescent="0.25">
      <c r="A1333" s="1"/>
      <c r="B1333" s="2"/>
      <c r="C1333" s="2"/>
      <c r="D1333" s="1"/>
      <c r="F1333" s="1"/>
      <c r="G1333" s="1"/>
    </row>
    <row r="1334" spans="1:7" x14ac:dyDescent="0.25">
      <c r="A1334" s="1"/>
      <c r="B1334" s="2"/>
      <c r="C1334" s="2"/>
      <c r="D1334" s="1"/>
      <c r="F1334" s="1"/>
      <c r="G1334" s="1"/>
    </row>
    <row r="1335" spans="1:7" x14ac:dyDescent="0.25">
      <c r="A1335" s="1"/>
      <c r="B1335" s="2"/>
      <c r="C1335" s="2"/>
      <c r="D1335" s="1"/>
      <c r="F1335" s="1"/>
      <c r="G1335" s="1"/>
    </row>
    <row r="1336" spans="1:7" x14ac:dyDescent="0.25">
      <c r="A1336" s="1"/>
      <c r="B1336" s="2"/>
      <c r="C1336" s="2"/>
      <c r="D1336" s="1"/>
      <c r="F1336" s="1"/>
      <c r="G1336" s="1"/>
    </row>
    <row r="1337" spans="1:7" x14ac:dyDescent="0.25">
      <c r="A1337" s="1"/>
      <c r="B1337" s="2"/>
      <c r="C1337" s="2"/>
      <c r="D1337" s="1"/>
      <c r="F1337" s="1"/>
      <c r="G1337" s="1"/>
    </row>
    <row r="1338" spans="1:7" x14ac:dyDescent="0.25">
      <c r="A1338" s="1"/>
      <c r="B1338" s="2"/>
      <c r="C1338" s="2"/>
      <c r="D1338" s="1"/>
      <c r="F1338" s="1"/>
      <c r="G1338" s="1"/>
    </row>
    <row r="1339" spans="1:7" x14ac:dyDescent="0.25">
      <c r="A1339" s="1"/>
      <c r="B1339" s="2"/>
      <c r="C1339" s="2"/>
      <c r="D1339" s="1"/>
      <c r="F1339" s="1"/>
      <c r="G1339" s="1"/>
    </row>
    <row r="1340" spans="1:7" x14ac:dyDescent="0.25">
      <c r="A1340" s="1"/>
      <c r="B1340" s="2"/>
      <c r="C1340" s="2"/>
      <c r="D1340" s="1"/>
      <c r="F1340" s="1"/>
      <c r="G1340" s="1"/>
    </row>
    <row r="1341" spans="1:7" x14ac:dyDescent="0.25">
      <c r="A1341" s="1"/>
      <c r="B1341" s="2"/>
      <c r="C1341" s="2"/>
      <c r="D1341" s="1"/>
      <c r="F1341" s="1"/>
      <c r="G1341" s="1"/>
    </row>
    <row r="1342" spans="1:7" x14ac:dyDescent="0.25">
      <c r="A1342" s="1"/>
      <c r="B1342" s="2"/>
      <c r="C1342" s="2"/>
      <c r="D1342" s="1"/>
      <c r="F1342" s="1"/>
      <c r="G1342" s="1"/>
    </row>
    <row r="1343" spans="1:7" x14ac:dyDescent="0.25">
      <c r="A1343" s="1"/>
      <c r="B1343" s="2"/>
      <c r="C1343" s="2"/>
      <c r="D1343" s="1"/>
      <c r="F1343" s="1"/>
      <c r="G1343" s="1"/>
    </row>
    <row r="1344" spans="1:7" x14ac:dyDescent="0.25">
      <c r="A1344" s="1"/>
      <c r="B1344" s="2"/>
      <c r="C1344" s="2"/>
      <c r="D1344" s="1"/>
      <c r="F1344" s="1"/>
      <c r="G1344" s="1"/>
    </row>
    <row r="1345" spans="1:7" x14ac:dyDescent="0.25">
      <c r="A1345" s="1"/>
      <c r="B1345" s="2"/>
      <c r="C1345" s="2"/>
      <c r="D1345" s="1"/>
      <c r="F1345" s="1"/>
      <c r="G1345" s="1"/>
    </row>
    <row r="1346" spans="1:7" x14ac:dyDescent="0.25">
      <c r="A1346" s="1"/>
      <c r="B1346" s="2"/>
      <c r="C1346" s="2"/>
      <c r="D1346" s="1"/>
      <c r="F1346" s="1"/>
      <c r="G1346" s="1"/>
    </row>
    <row r="1347" spans="1:7" x14ac:dyDescent="0.25">
      <c r="A1347" s="1"/>
      <c r="B1347" s="2"/>
      <c r="C1347" s="2"/>
      <c r="D1347" s="1"/>
      <c r="F1347" s="1"/>
      <c r="G1347" s="1"/>
    </row>
    <row r="1348" spans="1:7" x14ac:dyDescent="0.25">
      <c r="A1348" s="1"/>
      <c r="B1348" s="2"/>
      <c r="C1348" s="2"/>
      <c r="D1348" s="1"/>
      <c r="F1348" s="1"/>
      <c r="G1348" s="1"/>
    </row>
    <row r="1349" spans="1:7" x14ac:dyDescent="0.25">
      <c r="A1349" s="1"/>
      <c r="B1349" s="2"/>
      <c r="C1349" s="2"/>
      <c r="D1349" s="1"/>
      <c r="F1349" s="1"/>
      <c r="G1349" s="1"/>
    </row>
    <row r="1350" spans="1:7" x14ac:dyDescent="0.25">
      <c r="A1350" s="1"/>
      <c r="B1350" s="2"/>
      <c r="C1350" s="2"/>
      <c r="D1350" s="1"/>
      <c r="F1350" s="1"/>
      <c r="G1350" s="1"/>
    </row>
    <row r="1351" spans="1:7" x14ac:dyDescent="0.25">
      <c r="A1351" s="1"/>
      <c r="B1351" s="2"/>
      <c r="C1351" s="2"/>
      <c r="D1351" s="1"/>
      <c r="F1351" s="1"/>
      <c r="G1351" s="1"/>
    </row>
    <row r="1352" spans="1:7" x14ac:dyDescent="0.25">
      <c r="A1352" s="1"/>
      <c r="B1352" s="2"/>
      <c r="C1352" s="2"/>
      <c r="D1352" s="1"/>
      <c r="F1352" s="1"/>
      <c r="G1352" s="1"/>
    </row>
    <row r="1353" spans="1:7" x14ac:dyDescent="0.25">
      <c r="A1353" s="1"/>
      <c r="B1353" s="2"/>
      <c r="C1353" s="2"/>
      <c r="D1353" s="1"/>
      <c r="F1353" s="1"/>
      <c r="G1353" s="1"/>
    </row>
    <row r="1354" spans="1:7" x14ac:dyDescent="0.25">
      <c r="A1354" s="1"/>
      <c r="B1354" s="2"/>
      <c r="C1354" s="2"/>
      <c r="D1354" s="1"/>
      <c r="F1354" s="1"/>
      <c r="G1354" s="1"/>
    </row>
    <row r="1355" spans="1:7" x14ac:dyDescent="0.25">
      <c r="A1355" s="1"/>
      <c r="B1355" s="2"/>
      <c r="C1355" s="2"/>
      <c r="D1355" s="1"/>
      <c r="F1355" s="1"/>
      <c r="G1355" s="1"/>
    </row>
    <row r="1356" spans="1:7" x14ac:dyDescent="0.25">
      <c r="A1356" s="1"/>
      <c r="B1356" s="2"/>
      <c r="C1356" s="2"/>
      <c r="D1356" s="1"/>
      <c r="F1356" s="1"/>
      <c r="G1356" s="1"/>
    </row>
    <row r="1357" spans="1:7" x14ac:dyDescent="0.25">
      <c r="A1357" s="1"/>
      <c r="B1357" s="2"/>
      <c r="C1357" s="2"/>
      <c r="D1357" s="1"/>
      <c r="F1357" s="1"/>
      <c r="G1357" s="1"/>
    </row>
    <row r="1358" spans="1:7" x14ac:dyDescent="0.25">
      <c r="A1358" s="1"/>
      <c r="B1358" s="2"/>
      <c r="C1358" s="2"/>
      <c r="D1358" s="1"/>
      <c r="F1358" s="1"/>
      <c r="G1358" s="1"/>
    </row>
    <row r="1359" spans="1:7" x14ac:dyDescent="0.25">
      <c r="A1359" s="1"/>
      <c r="B1359" s="2"/>
      <c r="C1359" s="2"/>
      <c r="D1359" s="1"/>
      <c r="F1359" s="1"/>
      <c r="G1359" s="1"/>
    </row>
    <row r="1360" spans="1:7" x14ac:dyDescent="0.25">
      <c r="A1360" s="1"/>
      <c r="B1360" s="2"/>
      <c r="C1360" s="2"/>
      <c r="D1360" s="1"/>
      <c r="F1360" s="1"/>
      <c r="G1360" s="1"/>
    </row>
    <row r="1361" spans="1:7" x14ac:dyDescent="0.25">
      <c r="A1361" s="1"/>
      <c r="B1361" s="2"/>
      <c r="C1361" s="2"/>
      <c r="D1361" s="1"/>
      <c r="F1361" s="1"/>
      <c r="G1361" s="1"/>
    </row>
    <row r="1362" spans="1:7" x14ac:dyDescent="0.25">
      <c r="A1362" s="1"/>
      <c r="B1362" s="2"/>
      <c r="C1362" s="2"/>
      <c r="D1362" s="1"/>
      <c r="F1362" s="1"/>
      <c r="G1362" s="1"/>
    </row>
    <row r="1363" spans="1:7" x14ac:dyDescent="0.25">
      <c r="A1363" s="1"/>
      <c r="B1363" s="2"/>
      <c r="C1363" s="2"/>
      <c r="D1363" s="1"/>
      <c r="F1363" s="1"/>
      <c r="G1363" s="1"/>
    </row>
    <row r="1364" spans="1:7" x14ac:dyDescent="0.25">
      <c r="A1364" s="1"/>
      <c r="B1364" s="2"/>
      <c r="C1364" s="2"/>
      <c r="D1364" s="1"/>
      <c r="F1364" s="1"/>
      <c r="G1364" s="1"/>
    </row>
    <row r="1365" spans="1:7" x14ac:dyDescent="0.25">
      <c r="A1365" s="1"/>
      <c r="B1365" s="2"/>
      <c r="C1365" s="2"/>
      <c r="D1365" s="1"/>
      <c r="F1365" s="1"/>
      <c r="G1365" s="1"/>
    </row>
    <row r="1366" spans="1:7" x14ac:dyDescent="0.25">
      <c r="A1366" s="1"/>
      <c r="B1366" s="2"/>
      <c r="C1366" s="2"/>
      <c r="D1366" s="1"/>
      <c r="F1366" s="1"/>
      <c r="G1366" s="1"/>
    </row>
    <row r="1367" spans="1:7" x14ac:dyDescent="0.25">
      <c r="A1367" s="1"/>
      <c r="B1367" s="2"/>
      <c r="C1367" s="2"/>
      <c r="D1367" s="1"/>
      <c r="F1367" s="1"/>
      <c r="G1367" s="1"/>
    </row>
    <row r="1368" spans="1:7" x14ac:dyDescent="0.25">
      <c r="A1368" s="1"/>
      <c r="B1368" s="2"/>
      <c r="C1368" s="2"/>
      <c r="D1368" s="1"/>
      <c r="F1368" s="1"/>
      <c r="G1368" s="1"/>
    </row>
    <row r="1369" spans="1:7" x14ac:dyDescent="0.25">
      <c r="A1369" s="1"/>
      <c r="B1369" s="2"/>
      <c r="C1369" s="2"/>
      <c r="D1369" s="1"/>
      <c r="F1369" s="1"/>
      <c r="G1369" s="1"/>
    </row>
    <row r="1370" spans="1:7" x14ac:dyDescent="0.25">
      <c r="A1370" s="1"/>
      <c r="B1370" s="2"/>
      <c r="C1370" s="2"/>
      <c r="D1370" s="1"/>
      <c r="F1370" s="1"/>
      <c r="G1370" s="1"/>
    </row>
    <row r="1371" spans="1:7" x14ac:dyDescent="0.25">
      <c r="A1371" s="1"/>
      <c r="B1371" s="2"/>
      <c r="C1371" s="2"/>
      <c r="D1371" s="1"/>
      <c r="F1371" s="1"/>
      <c r="G1371" s="1"/>
    </row>
    <row r="1372" spans="1:7" x14ac:dyDescent="0.25">
      <c r="A1372" s="1"/>
      <c r="B1372" s="2"/>
      <c r="C1372" s="2"/>
      <c r="D1372" s="1"/>
      <c r="F1372" s="1"/>
      <c r="G1372" s="1"/>
    </row>
    <row r="1373" spans="1:7" x14ac:dyDescent="0.25">
      <c r="A1373" s="1"/>
      <c r="B1373" s="2"/>
      <c r="C1373" s="2"/>
      <c r="D1373" s="1"/>
      <c r="F1373" s="1"/>
      <c r="G1373" s="1"/>
    </row>
    <row r="1374" spans="1:7" x14ac:dyDescent="0.25">
      <c r="A1374" s="1"/>
      <c r="B1374" s="2"/>
      <c r="C1374" s="2"/>
      <c r="D1374" s="1"/>
      <c r="F1374" s="1"/>
      <c r="G1374" s="1"/>
    </row>
    <row r="1375" spans="1:7" x14ac:dyDescent="0.25">
      <c r="A1375" s="1"/>
      <c r="B1375" s="2"/>
      <c r="C1375" s="2"/>
      <c r="D1375" s="1"/>
      <c r="F1375" s="1"/>
      <c r="G1375" s="1"/>
    </row>
    <row r="1376" spans="1:7" x14ac:dyDescent="0.25">
      <c r="A1376" s="1"/>
      <c r="B1376" s="2"/>
      <c r="C1376" s="2"/>
      <c r="D1376" s="1"/>
      <c r="F1376" s="1"/>
      <c r="G1376" s="1"/>
    </row>
    <row r="1377" spans="1:7" x14ac:dyDescent="0.25">
      <c r="A1377" s="1"/>
      <c r="B1377" s="2"/>
      <c r="C1377" s="2"/>
      <c r="D1377" s="1"/>
      <c r="F1377" s="1"/>
      <c r="G1377" s="1"/>
    </row>
    <row r="1378" spans="1:7" x14ac:dyDescent="0.25">
      <c r="A1378" s="1"/>
      <c r="B1378" s="2"/>
      <c r="C1378" s="2"/>
      <c r="D1378" s="1"/>
      <c r="F1378" s="1"/>
      <c r="G1378" s="1"/>
    </row>
    <row r="1379" spans="1:7" x14ac:dyDescent="0.25">
      <c r="A1379" s="1"/>
      <c r="B1379" s="2"/>
      <c r="C1379" s="2"/>
      <c r="D1379" s="1"/>
      <c r="F1379" s="1"/>
      <c r="G1379" s="1"/>
    </row>
    <row r="1380" spans="1:7" x14ac:dyDescent="0.25">
      <c r="A1380" s="1"/>
      <c r="B1380" s="2"/>
      <c r="C1380" s="2"/>
      <c r="D1380" s="1"/>
      <c r="F1380" s="1"/>
      <c r="G1380" s="1"/>
    </row>
    <row r="1381" spans="1:7" x14ac:dyDescent="0.25">
      <c r="A1381" s="1"/>
      <c r="B1381" s="2"/>
      <c r="C1381" s="2"/>
      <c r="D1381" s="1"/>
      <c r="F1381" s="1"/>
      <c r="G1381" s="1"/>
    </row>
    <row r="1382" spans="1:7" x14ac:dyDescent="0.25">
      <c r="A1382" s="1"/>
      <c r="B1382" s="2"/>
      <c r="C1382" s="2"/>
      <c r="D1382" s="1"/>
      <c r="F1382" s="1"/>
      <c r="G1382" s="1"/>
    </row>
    <row r="1383" spans="1:7" x14ac:dyDescent="0.25">
      <c r="A1383" s="1"/>
      <c r="B1383" s="2"/>
      <c r="C1383" s="2"/>
      <c r="D1383" s="1"/>
      <c r="F1383" s="1"/>
      <c r="G1383" s="1"/>
    </row>
    <row r="1384" spans="1:7" x14ac:dyDescent="0.25">
      <c r="A1384" s="1"/>
      <c r="B1384" s="2"/>
      <c r="C1384" s="2"/>
      <c r="D1384" s="1"/>
      <c r="F1384" s="1"/>
      <c r="G1384" s="1"/>
    </row>
    <row r="1385" spans="1:7" x14ac:dyDescent="0.25">
      <c r="A1385" s="1"/>
      <c r="B1385" s="2"/>
      <c r="C1385" s="2"/>
      <c r="D1385" s="1"/>
      <c r="F1385" s="1"/>
      <c r="G1385" s="1"/>
    </row>
    <row r="1386" spans="1:7" x14ac:dyDescent="0.25">
      <c r="A1386" s="1"/>
      <c r="B1386" s="2"/>
      <c r="C1386" s="2"/>
      <c r="D1386" s="1"/>
      <c r="F1386" s="1"/>
      <c r="G1386" s="1"/>
    </row>
    <row r="1387" spans="1:7" x14ac:dyDescent="0.25">
      <c r="A1387" s="1"/>
      <c r="B1387" s="2"/>
      <c r="C1387" s="2"/>
      <c r="D1387" s="1"/>
      <c r="F1387" s="1"/>
      <c r="G1387" s="1"/>
    </row>
    <row r="1388" spans="1:7" x14ac:dyDescent="0.25">
      <c r="A1388" s="1"/>
      <c r="B1388" s="2"/>
      <c r="C1388" s="2"/>
      <c r="D1388" s="1"/>
      <c r="F1388" s="1"/>
      <c r="G1388" s="1"/>
    </row>
    <row r="1389" spans="1:7" x14ac:dyDescent="0.25">
      <c r="A1389" s="1"/>
      <c r="B1389" s="2"/>
      <c r="C1389" s="2"/>
      <c r="D1389" s="1"/>
      <c r="F1389" s="1"/>
      <c r="G1389" s="1"/>
    </row>
    <row r="1390" spans="1:7" x14ac:dyDescent="0.25">
      <c r="A1390" s="1"/>
      <c r="B1390" s="2"/>
      <c r="C1390" s="2"/>
      <c r="D1390" s="1"/>
      <c r="F1390" s="1"/>
      <c r="G1390" s="1"/>
    </row>
    <row r="1391" spans="1:7" x14ac:dyDescent="0.25">
      <c r="A1391" s="1"/>
      <c r="B1391" s="2"/>
      <c r="C1391" s="2"/>
      <c r="D1391" s="1"/>
      <c r="F1391" s="1"/>
      <c r="G1391" s="1"/>
    </row>
    <row r="1392" spans="1:7" x14ac:dyDescent="0.25">
      <c r="A1392" s="1"/>
      <c r="B1392" s="2"/>
      <c r="C1392" s="2"/>
      <c r="D1392" s="1"/>
      <c r="F1392" s="1"/>
      <c r="G1392" s="1"/>
    </row>
    <row r="1393" spans="1:7" x14ac:dyDescent="0.25">
      <c r="A1393" s="1"/>
      <c r="B1393" s="2"/>
      <c r="C1393" s="2"/>
      <c r="D1393" s="1"/>
      <c r="F1393" s="1"/>
      <c r="G1393" s="1"/>
    </row>
    <row r="1394" spans="1:7" x14ac:dyDescent="0.25">
      <c r="A1394" s="1"/>
      <c r="B1394" s="2"/>
      <c r="C1394" s="2"/>
      <c r="D1394" s="1"/>
      <c r="F1394" s="1"/>
      <c r="G1394" s="1"/>
    </row>
    <row r="1395" spans="1:7" x14ac:dyDescent="0.25">
      <c r="A1395" s="1"/>
      <c r="B1395" s="2"/>
      <c r="C1395" s="2"/>
      <c r="D1395" s="1"/>
      <c r="F1395" s="1"/>
      <c r="G1395" s="1"/>
    </row>
    <row r="1396" spans="1:7" x14ac:dyDescent="0.25">
      <c r="A1396" s="1"/>
      <c r="B1396" s="2"/>
      <c r="C1396" s="2"/>
      <c r="D1396" s="1"/>
      <c r="F1396" s="1"/>
      <c r="G1396" s="1"/>
    </row>
    <row r="1397" spans="1:7" x14ac:dyDescent="0.25">
      <c r="A1397" s="1"/>
      <c r="B1397" s="2"/>
      <c r="C1397" s="2"/>
      <c r="D1397" s="1"/>
      <c r="F1397" s="1"/>
      <c r="G1397" s="1"/>
    </row>
    <row r="1398" spans="1:7" x14ac:dyDescent="0.25">
      <c r="A1398" s="1"/>
      <c r="B1398" s="2"/>
      <c r="C1398" s="2"/>
      <c r="D1398" s="1"/>
      <c r="F1398" s="1"/>
      <c r="G1398" s="1"/>
    </row>
    <row r="1399" spans="1:7" x14ac:dyDescent="0.25">
      <c r="A1399" s="1"/>
      <c r="B1399" s="2"/>
      <c r="C1399" s="2"/>
      <c r="D1399" s="1"/>
      <c r="F1399" s="1"/>
      <c r="G1399" s="1"/>
    </row>
    <row r="1400" spans="1:7" x14ac:dyDescent="0.25">
      <c r="A1400" s="1"/>
      <c r="B1400" s="2"/>
      <c r="C1400" s="2"/>
      <c r="D1400" s="1"/>
      <c r="F1400" s="1"/>
      <c r="G1400" s="1"/>
    </row>
    <row r="1401" spans="1:7" x14ac:dyDescent="0.25">
      <c r="A1401" s="1"/>
      <c r="B1401" s="2"/>
      <c r="C1401" s="2"/>
      <c r="D1401" s="1"/>
      <c r="F1401" s="1"/>
      <c r="G1401" s="1"/>
    </row>
    <row r="1402" spans="1:7" x14ac:dyDescent="0.25">
      <c r="A1402" s="1"/>
      <c r="B1402" s="2"/>
      <c r="C1402" s="2"/>
      <c r="D1402" s="1"/>
      <c r="F1402" s="1"/>
      <c r="G1402" s="1"/>
    </row>
    <row r="1403" spans="1:7" x14ac:dyDescent="0.25">
      <c r="A1403" s="1"/>
      <c r="B1403" s="2"/>
      <c r="C1403" s="2"/>
      <c r="D1403" s="1"/>
      <c r="F1403" s="1"/>
      <c r="G1403" s="1"/>
    </row>
    <row r="1404" spans="1:7" x14ac:dyDescent="0.25">
      <c r="A1404" s="1"/>
      <c r="B1404" s="2"/>
      <c r="C1404" s="2"/>
      <c r="D1404" s="1"/>
      <c r="F1404" s="1"/>
      <c r="G1404" s="1"/>
    </row>
    <row r="1405" spans="1:7" x14ac:dyDescent="0.25">
      <c r="A1405" s="1"/>
      <c r="B1405" s="2"/>
      <c r="C1405" s="2"/>
      <c r="D1405" s="1"/>
      <c r="F1405" s="1"/>
      <c r="G1405" s="1"/>
    </row>
    <row r="1406" spans="1:7" x14ac:dyDescent="0.25">
      <c r="A1406" s="1"/>
      <c r="B1406" s="2"/>
      <c r="C1406" s="2"/>
      <c r="D1406" s="1"/>
      <c r="F1406" s="1"/>
      <c r="G1406" s="1"/>
    </row>
    <row r="1407" spans="1:7" x14ac:dyDescent="0.25">
      <c r="A1407" s="1"/>
      <c r="B1407" s="2"/>
      <c r="C1407" s="2"/>
      <c r="D1407" s="1"/>
      <c r="F1407" s="1"/>
      <c r="G1407" s="1"/>
    </row>
    <row r="1408" spans="1:7" x14ac:dyDescent="0.25">
      <c r="A1408" s="1"/>
      <c r="B1408" s="2"/>
      <c r="C1408" s="2"/>
      <c r="D1408" s="1"/>
      <c r="F1408" s="1"/>
      <c r="G1408" s="1"/>
    </row>
    <row r="1409" spans="1:7" x14ac:dyDescent="0.25">
      <c r="A1409" s="1"/>
      <c r="B1409" s="2"/>
      <c r="C1409" s="2"/>
      <c r="D1409" s="1"/>
      <c r="F1409" s="1"/>
      <c r="G1409" s="1"/>
    </row>
    <row r="1410" spans="1:7" x14ac:dyDescent="0.25">
      <c r="A1410" s="1"/>
      <c r="B1410" s="2"/>
      <c r="C1410" s="2"/>
      <c r="D1410" s="1"/>
      <c r="F1410" s="1"/>
      <c r="G1410" s="1"/>
    </row>
    <row r="1411" spans="1:7" x14ac:dyDescent="0.25">
      <c r="A1411" s="1"/>
      <c r="B1411" s="2"/>
      <c r="C1411" s="2"/>
      <c r="D1411" s="1"/>
      <c r="F1411" s="1"/>
      <c r="G1411" s="1"/>
    </row>
    <row r="1412" spans="1:7" x14ac:dyDescent="0.25">
      <c r="A1412" s="1"/>
      <c r="B1412" s="2"/>
      <c r="C1412" s="2"/>
      <c r="D1412" s="1"/>
      <c r="F1412" s="1"/>
      <c r="G1412" s="1"/>
    </row>
    <row r="1413" spans="1:7" x14ac:dyDescent="0.25">
      <c r="A1413" s="1"/>
      <c r="B1413" s="2"/>
      <c r="C1413" s="2"/>
      <c r="D1413" s="1"/>
      <c r="F1413" s="1"/>
      <c r="G1413" s="1"/>
    </row>
    <row r="1414" spans="1:7" x14ac:dyDescent="0.25">
      <c r="A1414" s="1"/>
      <c r="B1414" s="2"/>
      <c r="C1414" s="2"/>
      <c r="D1414" s="1"/>
      <c r="F1414" s="1"/>
      <c r="G1414" s="1"/>
    </row>
    <row r="1415" spans="1:7" x14ac:dyDescent="0.25">
      <c r="A1415" s="1"/>
      <c r="B1415" s="2"/>
      <c r="C1415" s="2"/>
      <c r="D1415" s="1"/>
      <c r="F1415" s="1"/>
      <c r="G1415" s="1"/>
    </row>
    <row r="1416" spans="1:7" x14ac:dyDescent="0.25">
      <c r="A1416" s="1"/>
      <c r="B1416" s="2"/>
      <c r="C1416" s="2"/>
      <c r="D1416" s="1"/>
      <c r="F1416" s="1"/>
      <c r="G1416" s="1"/>
    </row>
    <row r="1417" spans="1:7" x14ac:dyDescent="0.25">
      <c r="A1417" s="1"/>
      <c r="B1417" s="2"/>
      <c r="C1417" s="2"/>
      <c r="D1417" s="1"/>
      <c r="F1417" s="1"/>
      <c r="G1417" s="1"/>
    </row>
    <row r="1418" spans="1:7" x14ac:dyDescent="0.25">
      <c r="A1418" s="1"/>
      <c r="B1418" s="2"/>
      <c r="C1418" s="2"/>
      <c r="D1418" s="1"/>
      <c r="F1418" s="1"/>
      <c r="G1418" s="1"/>
    </row>
    <row r="1419" spans="1:7" x14ac:dyDescent="0.25">
      <c r="A1419" s="1"/>
      <c r="B1419" s="2"/>
      <c r="C1419" s="2"/>
      <c r="D1419" s="1"/>
      <c r="F1419" s="1"/>
      <c r="G1419" s="1"/>
    </row>
    <row r="1420" spans="1:7" x14ac:dyDescent="0.25">
      <c r="A1420" s="1"/>
      <c r="B1420" s="2"/>
      <c r="C1420" s="2"/>
      <c r="D1420" s="1"/>
      <c r="F1420" s="1"/>
      <c r="G1420" s="1"/>
    </row>
    <row r="1421" spans="1:7" x14ac:dyDescent="0.25">
      <c r="A1421" s="1"/>
      <c r="B1421" s="2"/>
      <c r="C1421" s="2"/>
      <c r="D1421" s="1"/>
      <c r="F1421" s="1"/>
      <c r="G1421" s="1"/>
    </row>
    <row r="1422" spans="1:7" x14ac:dyDescent="0.25">
      <c r="A1422" s="1"/>
      <c r="B1422" s="2"/>
      <c r="C1422" s="2"/>
      <c r="D1422" s="1"/>
      <c r="F1422" s="1"/>
      <c r="G1422" s="1"/>
    </row>
    <row r="1423" spans="1:7" x14ac:dyDescent="0.25">
      <c r="A1423" s="1"/>
      <c r="B1423" s="2"/>
      <c r="C1423" s="2"/>
      <c r="D1423" s="1"/>
      <c r="F1423" s="1"/>
      <c r="G1423" s="1"/>
    </row>
    <row r="1424" spans="1:7" x14ac:dyDescent="0.25">
      <c r="A1424" s="1"/>
      <c r="B1424" s="2"/>
      <c r="C1424" s="2"/>
      <c r="D1424" s="1"/>
      <c r="F1424" s="1"/>
      <c r="G1424" s="1"/>
    </row>
    <row r="1425" spans="1:7" x14ac:dyDescent="0.25">
      <c r="A1425" s="1"/>
      <c r="B1425" s="2"/>
      <c r="C1425" s="2"/>
      <c r="D1425" s="1"/>
      <c r="F1425" s="1"/>
      <c r="G1425" s="1"/>
    </row>
    <row r="1426" spans="1:7" x14ac:dyDescent="0.25">
      <c r="A1426" s="1"/>
      <c r="B1426" s="2"/>
      <c r="C1426" s="2"/>
      <c r="D1426" s="1"/>
      <c r="F1426" s="1"/>
      <c r="G1426" s="1"/>
    </row>
    <row r="1427" spans="1:7" x14ac:dyDescent="0.25">
      <c r="A1427" s="1"/>
      <c r="B1427" s="2"/>
      <c r="C1427" s="2"/>
      <c r="D1427" s="1"/>
      <c r="F1427" s="1"/>
      <c r="G1427" s="1"/>
    </row>
    <row r="1428" spans="1:7" x14ac:dyDescent="0.25">
      <c r="A1428" s="1"/>
      <c r="B1428" s="2"/>
      <c r="C1428" s="2"/>
      <c r="D1428" s="1"/>
      <c r="F1428" s="1"/>
      <c r="G1428" s="1"/>
    </row>
    <row r="1429" spans="1:7" x14ac:dyDescent="0.25">
      <c r="A1429" s="1"/>
      <c r="B1429" s="2"/>
      <c r="C1429" s="2"/>
      <c r="D1429" s="1"/>
      <c r="F1429" s="1"/>
      <c r="G1429" s="1"/>
    </row>
    <row r="1430" spans="1:7" x14ac:dyDescent="0.25">
      <c r="A1430" s="1"/>
      <c r="B1430" s="2"/>
      <c r="C1430" s="2"/>
      <c r="D1430" s="1"/>
      <c r="F1430" s="1"/>
      <c r="G1430" s="1"/>
    </row>
    <row r="1431" spans="1:7" x14ac:dyDescent="0.25">
      <c r="A1431" s="1"/>
      <c r="B1431" s="2"/>
      <c r="C1431" s="2"/>
      <c r="D1431" s="1"/>
      <c r="F1431" s="1"/>
      <c r="G1431" s="1"/>
    </row>
    <row r="1432" spans="1:7" x14ac:dyDescent="0.25">
      <c r="A1432" s="1"/>
      <c r="B1432" s="2"/>
      <c r="C1432" s="2"/>
      <c r="D1432" s="1"/>
      <c r="F1432" s="1"/>
      <c r="G1432" s="1"/>
    </row>
    <row r="1433" spans="1:7" x14ac:dyDescent="0.25">
      <c r="A1433" s="1"/>
      <c r="B1433" s="2"/>
      <c r="C1433" s="2"/>
      <c r="D1433" s="1"/>
      <c r="F1433" s="1"/>
      <c r="G1433" s="1"/>
    </row>
    <row r="1434" spans="1:7" x14ac:dyDescent="0.25">
      <c r="A1434" s="1"/>
      <c r="B1434" s="2"/>
      <c r="C1434" s="2"/>
      <c r="D1434" s="1"/>
      <c r="F1434" s="1"/>
      <c r="G1434" s="1"/>
    </row>
    <row r="1435" spans="1:7" x14ac:dyDescent="0.25">
      <c r="A1435" s="1"/>
      <c r="B1435" s="2"/>
      <c r="C1435" s="2"/>
      <c r="D1435" s="1"/>
      <c r="F1435" s="1"/>
      <c r="G1435" s="1"/>
    </row>
    <row r="1436" spans="1:7" x14ac:dyDescent="0.25">
      <c r="A1436" s="1"/>
      <c r="B1436" s="2"/>
      <c r="C1436" s="2"/>
      <c r="D1436" s="1"/>
      <c r="F1436" s="1"/>
      <c r="G1436" s="1"/>
    </row>
    <row r="1437" spans="1:7" x14ac:dyDescent="0.25">
      <c r="A1437" s="1"/>
      <c r="B1437" s="2"/>
      <c r="C1437" s="2"/>
      <c r="D1437" s="1"/>
      <c r="F1437" s="1"/>
      <c r="G1437" s="1"/>
    </row>
    <row r="1438" spans="1:7" x14ac:dyDescent="0.25">
      <c r="A1438" s="1"/>
      <c r="B1438" s="2"/>
      <c r="C1438" s="2"/>
      <c r="D1438" s="1"/>
      <c r="F1438" s="1"/>
      <c r="G1438" s="1"/>
    </row>
    <row r="1439" spans="1:7" x14ac:dyDescent="0.25">
      <c r="A1439" s="1"/>
      <c r="B1439" s="2"/>
      <c r="C1439" s="2"/>
      <c r="D1439" s="1"/>
      <c r="F1439" s="1"/>
      <c r="G1439" s="1"/>
    </row>
    <row r="1440" spans="1:7" x14ac:dyDescent="0.25">
      <c r="A1440" s="1"/>
      <c r="B1440" s="2"/>
      <c r="C1440" s="2"/>
      <c r="D1440" s="1"/>
      <c r="F1440" s="1"/>
      <c r="G1440" s="1"/>
    </row>
    <row r="1441" spans="1:7" x14ac:dyDescent="0.25">
      <c r="A1441" s="1"/>
      <c r="B1441" s="2"/>
      <c r="C1441" s="2"/>
      <c r="D1441" s="1"/>
      <c r="F1441" s="1"/>
      <c r="G1441" s="1"/>
    </row>
    <row r="1442" spans="1:7" x14ac:dyDescent="0.25">
      <c r="A1442" s="1"/>
      <c r="B1442" s="2"/>
      <c r="C1442" s="2"/>
      <c r="D1442" s="1"/>
      <c r="F1442" s="1"/>
      <c r="G1442" s="1"/>
    </row>
    <row r="1443" spans="1:7" x14ac:dyDescent="0.25">
      <c r="A1443" s="1"/>
      <c r="B1443" s="2"/>
      <c r="C1443" s="2"/>
      <c r="D1443" s="1"/>
      <c r="F1443" s="1"/>
      <c r="G1443" s="1"/>
    </row>
    <row r="1444" spans="1:7" x14ac:dyDescent="0.25">
      <c r="A1444" s="1"/>
      <c r="B1444" s="2"/>
      <c r="C1444" s="2"/>
      <c r="D1444" s="1"/>
      <c r="F1444" s="1"/>
      <c r="G1444" s="1"/>
    </row>
    <row r="1445" spans="1:7" x14ac:dyDescent="0.25">
      <c r="A1445" s="1"/>
      <c r="B1445" s="2"/>
      <c r="C1445" s="2"/>
      <c r="D1445" s="1"/>
      <c r="F1445" s="1"/>
      <c r="G1445" s="1"/>
    </row>
    <row r="1446" spans="1:7" x14ac:dyDescent="0.25">
      <c r="A1446" s="1"/>
      <c r="B1446" s="2"/>
      <c r="C1446" s="2"/>
      <c r="D1446" s="1"/>
      <c r="F1446" s="1"/>
      <c r="G1446" s="1"/>
    </row>
    <row r="1447" spans="1:7" x14ac:dyDescent="0.25">
      <c r="A1447" s="1"/>
      <c r="B1447" s="2"/>
      <c r="C1447" s="2"/>
      <c r="D1447" s="1"/>
      <c r="F1447" s="1"/>
      <c r="G1447" s="1"/>
    </row>
    <row r="1448" spans="1:7" x14ac:dyDescent="0.25">
      <c r="A1448" s="1"/>
      <c r="B1448" s="2"/>
      <c r="C1448" s="2"/>
      <c r="D1448" s="1"/>
      <c r="F1448" s="1"/>
      <c r="G1448" s="1"/>
    </row>
    <row r="1449" spans="1:7" x14ac:dyDescent="0.25">
      <c r="A1449" s="1"/>
      <c r="B1449" s="2"/>
      <c r="C1449" s="2"/>
      <c r="D1449" s="1"/>
      <c r="F1449" s="1"/>
      <c r="G1449" s="1"/>
    </row>
    <row r="1450" spans="1:7" x14ac:dyDescent="0.25">
      <c r="A1450" s="1"/>
      <c r="B1450" s="2"/>
      <c r="C1450" s="2"/>
      <c r="D1450" s="1"/>
      <c r="F1450" s="1"/>
      <c r="G1450" s="1"/>
    </row>
    <row r="1451" spans="1:7" x14ac:dyDescent="0.25">
      <c r="A1451" s="1"/>
      <c r="B1451" s="2"/>
      <c r="C1451" s="2"/>
      <c r="D1451" s="1"/>
      <c r="F1451" s="1"/>
      <c r="G1451" s="1"/>
    </row>
    <row r="1452" spans="1:7" x14ac:dyDescent="0.25">
      <c r="A1452" s="1"/>
      <c r="B1452" s="2"/>
      <c r="C1452" s="2"/>
      <c r="D1452" s="1"/>
      <c r="F1452" s="1"/>
      <c r="G1452" s="1"/>
    </row>
    <row r="1453" spans="1:7" x14ac:dyDescent="0.25">
      <c r="A1453" s="1"/>
      <c r="B1453" s="2"/>
      <c r="C1453" s="2"/>
      <c r="D1453" s="1"/>
      <c r="F1453" s="1"/>
      <c r="G1453" s="1"/>
    </row>
    <row r="1454" spans="1:7" x14ac:dyDescent="0.25">
      <c r="A1454" s="1"/>
      <c r="B1454" s="2"/>
      <c r="C1454" s="2"/>
      <c r="D1454" s="1"/>
      <c r="F1454" s="1"/>
      <c r="G1454" s="1"/>
    </row>
    <row r="1455" spans="1:7" x14ac:dyDescent="0.25">
      <c r="A1455" s="1"/>
      <c r="B1455" s="2"/>
      <c r="C1455" s="2"/>
      <c r="D1455" s="1"/>
      <c r="F1455" s="1"/>
      <c r="G1455" s="1"/>
    </row>
    <row r="1456" spans="1:7" x14ac:dyDescent="0.25">
      <c r="A1456" s="1"/>
      <c r="B1456" s="2"/>
      <c r="C1456" s="2"/>
      <c r="D1456" s="1"/>
      <c r="F1456" s="1"/>
      <c r="G1456" s="1"/>
    </row>
    <row r="1457" spans="1:7" x14ac:dyDescent="0.25">
      <c r="A1457" s="1"/>
      <c r="B1457" s="2"/>
      <c r="C1457" s="2"/>
      <c r="D1457" s="1"/>
      <c r="F1457" s="1"/>
      <c r="G1457" s="1"/>
    </row>
    <row r="1458" spans="1:7" x14ac:dyDescent="0.25">
      <c r="A1458" s="1"/>
      <c r="B1458" s="2"/>
      <c r="C1458" s="2"/>
      <c r="D1458" s="1"/>
      <c r="F1458" s="1"/>
      <c r="G1458" s="1"/>
    </row>
    <row r="1459" spans="1:7" x14ac:dyDescent="0.25">
      <c r="A1459" s="1"/>
      <c r="B1459" s="2"/>
      <c r="C1459" s="2"/>
      <c r="D1459" s="1"/>
      <c r="F1459" s="1"/>
      <c r="G1459" s="1"/>
    </row>
    <row r="1460" spans="1:7" x14ac:dyDescent="0.25">
      <c r="A1460" s="1"/>
      <c r="B1460" s="2"/>
      <c r="C1460" s="2"/>
      <c r="D1460" s="1"/>
      <c r="F1460" s="1"/>
      <c r="G1460" s="1"/>
    </row>
    <row r="1461" spans="1:7" x14ac:dyDescent="0.25">
      <c r="A1461" s="1"/>
      <c r="B1461" s="2"/>
      <c r="C1461" s="2"/>
      <c r="D1461" s="1"/>
      <c r="F1461" s="1"/>
      <c r="G1461" s="1"/>
    </row>
    <row r="1462" spans="1:7" x14ac:dyDescent="0.25">
      <c r="A1462" s="1"/>
      <c r="B1462" s="2"/>
      <c r="C1462" s="2"/>
      <c r="D1462" s="1"/>
      <c r="F1462" s="1"/>
      <c r="G1462" s="1"/>
    </row>
    <row r="1463" spans="1:7" x14ac:dyDescent="0.25">
      <c r="A1463" s="1"/>
      <c r="B1463" s="2"/>
      <c r="C1463" s="2"/>
      <c r="D1463" s="1"/>
      <c r="F1463" s="1"/>
      <c r="G1463" s="1"/>
    </row>
    <row r="1464" spans="1:7" x14ac:dyDescent="0.25">
      <c r="A1464" s="1"/>
      <c r="B1464" s="2"/>
      <c r="C1464" s="2"/>
      <c r="D1464" s="1"/>
      <c r="F1464" s="1"/>
      <c r="G1464" s="1"/>
    </row>
    <row r="1465" spans="1:7" x14ac:dyDescent="0.25">
      <c r="A1465" s="1"/>
      <c r="B1465" s="2"/>
      <c r="C1465" s="2"/>
      <c r="D1465" s="1"/>
      <c r="F1465" s="1"/>
      <c r="G1465" s="1"/>
    </row>
    <row r="1466" spans="1:7" x14ac:dyDescent="0.25">
      <c r="A1466" s="1"/>
      <c r="B1466" s="2"/>
      <c r="C1466" s="2"/>
      <c r="D1466" s="1"/>
      <c r="F1466" s="1"/>
      <c r="G1466" s="1"/>
    </row>
    <row r="1467" spans="1:7" x14ac:dyDescent="0.25">
      <c r="A1467" s="1"/>
      <c r="B1467" s="2"/>
      <c r="C1467" s="2"/>
      <c r="D1467" s="1"/>
      <c r="F1467" s="1"/>
      <c r="G1467" s="1"/>
    </row>
    <row r="1468" spans="1:7" x14ac:dyDescent="0.25">
      <c r="A1468" s="1"/>
      <c r="B1468" s="2"/>
      <c r="C1468" s="2"/>
      <c r="D1468" s="1"/>
      <c r="F1468" s="1"/>
      <c r="G1468" s="1"/>
    </row>
    <row r="1469" spans="1:7" x14ac:dyDescent="0.25">
      <c r="A1469" s="1"/>
      <c r="B1469" s="2"/>
      <c r="C1469" s="2"/>
      <c r="D1469" s="1"/>
      <c r="F1469" s="1"/>
      <c r="G1469" s="1"/>
    </row>
    <row r="1470" spans="1:7" x14ac:dyDescent="0.25">
      <c r="A1470" s="1"/>
      <c r="B1470" s="2"/>
      <c r="C1470" s="2"/>
      <c r="D1470" s="1"/>
      <c r="F1470" s="1"/>
      <c r="G1470" s="1"/>
    </row>
    <row r="1471" spans="1:7" x14ac:dyDescent="0.25">
      <c r="A1471" s="1"/>
      <c r="B1471" s="2"/>
      <c r="C1471" s="2"/>
      <c r="D1471" s="1"/>
      <c r="F1471" s="1"/>
      <c r="G1471" s="1"/>
    </row>
    <row r="1472" spans="1:7" x14ac:dyDescent="0.25">
      <c r="A1472" s="1"/>
      <c r="B1472" s="2"/>
      <c r="C1472" s="2"/>
      <c r="D1472" s="1"/>
      <c r="F1472" s="1"/>
      <c r="G1472" s="1"/>
    </row>
    <row r="1473" spans="1:7" x14ac:dyDescent="0.25">
      <c r="A1473" s="1"/>
      <c r="B1473" s="2"/>
      <c r="C1473" s="2"/>
      <c r="D1473" s="1"/>
      <c r="F1473" s="1"/>
      <c r="G1473" s="1"/>
    </row>
    <row r="1474" spans="1:7" x14ac:dyDescent="0.25">
      <c r="A1474" s="1"/>
      <c r="B1474" s="2"/>
      <c r="C1474" s="2"/>
      <c r="D1474" s="1"/>
      <c r="F1474" s="1"/>
      <c r="G1474" s="1"/>
    </row>
    <row r="1475" spans="1:7" x14ac:dyDescent="0.25">
      <c r="A1475" s="1"/>
      <c r="B1475" s="2"/>
      <c r="C1475" s="2"/>
      <c r="D1475" s="1"/>
      <c r="F1475" s="1"/>
      <c r="G1475" s="1"/>
    </row>
    <row r="1476" spans="1:7" x14ac:dyDescent="0.25">
      <c r="A1476" s="1"/>
      <c r="B1476" s="2"/>
      <c r="C1476" s="2"/>
      <c r="D1476" s="1"/>
      <c r="F1476" s="1"/>
      <c r="G1476" s="1"/>
    </row>
    <row r="1477" spans="1:7" x14ac:dyDescent="0.25">
      <c r="A1477" s="1"/>
      <c r="B1477" s="2"/>
      <c r="C1477" s="2"/>
      <c r="D1477" s="1"/>
      <c r="F1477" s="1"/>
      <c r="G1477" s="1"/>
    </row>
    <row r="1478" spans="1:7" x14ac:dyDescent="0.25">
      <c r="A1478" s="1"/>
      <c r="B1478" s="2"/>
      <c r="C1478" s="2"/>
      <c r="D1478" s="1"/>
      <c r="F1478" s="1"/>
      <c r="G1478" s="1"/>
    </row>
    <row r="1479" spans="1:7" x14ac:dyDescent="0.25">
      <c r="A1479" s="1"/>
      <c r="B1479" s="2"/>
      <c r="C1479" s="2"/>
      <c r="D1479" s="1"/>
      <c r="F1479" s="1"/>
      <c r="G1479" s="1"/>
    </row>
    <row r="1480" spans="1:7" x14ac:dyDescent="0.25">
      <c r="A1480" s="1"/>
      <c r="B1480" s="2"/>
      <c r="C1480" s="2"/>
      <c r="D1480" s="1"/>
      <c r="F1480" s="1"/>
      <c r="G1480" s="1"/>
    </row>
    <row r="1481" spans="1:7" x14ac:dyDescent="0.25">
      <c r="A1481" s="1"/>
      <c r="B1481" s="2"/>
      <c r="C1481" s="2"/>
      <c r="D1481" s="1"/>
      <c r="F1481" s="1"/>
      <c r="G1481" s="1"/>
    </row>
    <row r="1482" spans="1:7" x14ac:dyDescent="0.25">
      <c r="A1482" s="1"/>
      <c r="B1482" s="2"/>
      <c r="C1482" s="2"/>
      <c r="D1482" s="1"/>
      <c r="F1482" s="1"/>
      <c r="G1482" s="1"/>
    </row>
    <row r="1483" spans="1:7" x14ac:dyDescent="0.25">
      <c r="A1483" s="1"/>
      <c r="B1483" s="2"/>
      <c r="C1483" s="2"/>
      <c r="D1483" s="1"/>
      <c r="F1483" s="1"/>
      <c r="G1483" s="1"/>
    </row>
    <row r="1484" spans="1:7" x14ac:dyDescent="0.25">
      <c r="A1484" s="1"/>
      <c r="B1484" s="2"/>
      <c r="C1484" s="2"/>
      <c r="D1484" s="1"/>
      <c r="F1484" s="1"/>
      <c r="G1484" s="1"/>
    </row>
    <row r="1485" spans="1:7" x14ac:dyDescent="0.25">
      <c r="A1485" s="1"/>
      <c r="B1485" s="2"/>
      <c r="C1485" s="2"/>
      <c r="D1485" s="1"/>
      <c r="F1485" s="1"/>
      <c r="G1485" s="1"/>
    </row>
    <row r="1486" spans="1:7" x14ac:dyDescent="0.25">
      <c r="A1486" s="1"/>
      <c r="B1486" s="2"/>
      <c r="C1486" s="2"/>
      <c r="D1486" s="1"/>
      <c r="F1486" s="1"/>
      <c r="G1486" s="1"/>
    </row>
    <row r="1487" spans="1:7" x14ac:dyDescent="0.25">
      <c r="A1487" s="1"/>
      <c r="B1487" s="2"/>
      <c r="C1487" s="2"/>
      <c r="D1487" s="1"/>
      <c r="F1487" s="1"/>
      <c r="G1487" s="1"/>
    </row>
    <row r="1488" spans="1:7" x14ac:dyDescent="0.25">
      <c r="A1488" s="1"/>
      <c r="B1488" s="2"/>
      <c r="C1488" s="2"/>
      <c r="D1488" s="1"/>
      <c r="F1488" s="1"/>
      <c r="G1488" s="1"/>
    </row>
    <row r="1489" spans="1:7" x14ac:dyDescent="0.25">
      <c r="A1489" s="1"/>
      <c r="B1489" s="2"/>
      <c r="C1489" s="2"/>
      <c r="D1489" s="1"/>
      <c r="F1489" s="1"/>
      <c r="G1489" s="1"/>
    </row>
    <row r="1490" spans="1:7" x14ac:dyDescent="0.25">
      <c r="A1490" s="1"/>
      <c r="B1490" s="2"/>
      <c r="C1490" s="2"/>
      <c r="D1490" s="1"/>
      <c r="F1490" s="1"/>
      <c r="G1490" s="1"/>
    </row>
    <row r="1491" spans="1:7" x14ac:dyDescent="0.25">
      <c r="A1491" s="1"/>
      <c r="B1491" s="2"/>
      <c r="C1491" s="2"/>
      <c r="D1491" s="1"/>
      <c r="F1491" s="1"/>
      <c r="G1491" s="1"/>
    </row>
    <row r="1492" spans="1:7" x14ac:dyDescent="0.25">
      <c r="A1492" s="1"/>
      <c r="B1492" s="2"/>
      <c r="C1492" s="2"/>
      <c r="D1492" s="1"/>
      <c r="F1492" s="1"/>
      <c r="G1492" s="1"/>
    </row>
    <row r="1493" spans="1:7" x14ac:dyDescent="0.25">
      <c r="A1493" s="1"/>
      <c r="B1493" s="2"/>
      <c r="C1493" s="2"/>
      <c r="D1493" s="1"/>
      <c r="F1493" s="1"/>
      <c r="G1493" s="1"/>
    </row>
    <row r="1494" spans="1:7" x14ac:dyDescent="0.25">
      <c r="A1494" s="1"/>
      <c r="B1494" s="2"/>
      <c r="C1494" s="2"/>
      <c r="D1494" s="1"/>
      <c r="F1494" s="1"/>
      <c r="G1494" s="1"/>
    </row>
    <row r="1495" spans="1:7" x14ac:dyDescent="0.25">
      <c r="A1495" s="1"/>
      <c r="B1495" s="2"/>
      <c r="C1495" s="2"/>
      <c r="D1495" s="1"/>
      <c r="F1495" s="1"/>
      <c r="G1495" s="1"/>
    </row>
    <row r="1496" spans="1:7" x14ac:dyDescent="0.25">
      <c r="A1496" s="1"/>
      <c r="B1496" s="2"/>
      <c r="C1496" s="2"/>
      <c r="D1496" s="1"/>
      <c r="F1496" s="1"/>
      <c r="G1496" s="1"/>
    </row>
    <row r="1497" spans="1:7" x14ac:dyDescent="0.25">
      <c r="A1497" s="1"/>
      <c r="B1497" s="2"/>
      <c r="C1497" s="2"/>
      <c r="D1497" s="1"/>
      <c r="F1497" s="1"/>
      <c r="G1497" s="1"/>
    </row>
    <row r="1498" spans="1:7" x14ac:dyDescent="0.25">
      <c r="A1498" s="1"/>
      <c r="B1498" s="2"/>
      <c r="C1498" s="2"/>
      <c r="D1498" s="1"/>
      <c r="F1498" s="1"/>
      <c r="G1498" s="1"/>
    </row>
    <row r="1499" spans="1:7" x14ac:dyDescent="0.25">
      <c r="A1499" s="1"/>
      <c r="B1499" s="2"/>
      <c r="C1499" s="2"/>
      <c r="D1499" s="1"/>
      <c r="F1499" s="1"/>
      <c r="G1499" s="1"/>
    </row>
    <row r="1500" spans="1:7" x14ac:dyDescent="0.25">
      <c r="A1500" s="1"/>
      <c r="B1500" s="2"/>
      <c r="C1500" s="2"/>
      <c r="D1500" s="1"/>
      <c r="F1500" s="1"/>
      <c r="G1500" s="1"/>
    </row>
    <row r="1501" spans="1:7" x14ac:dyDescent="0.25">
      <c r="A1501" s="1"/>
      <c r="B1501" s="2"/>
      <c r="C1501" s="2"/>
      <c r="D1501" s="1"/>
      <c r="F1501" s="1"/>
      <c r="G1501" s="1"/>
    </row>
    <row r="1502" spans="1:7" x14ac:dyDescent="0.25">
      <c r="A1502" s="1"/>
      <c r="B1502" s="2"/>
      <c r="C1502" s="2"/>
      <c r="D1502" s="1"/>
      <c r="F1502" s="1"/>
      <c r="G1502" s="1"/>
    </row>
    <row r="1503" spans="1:7" x14ac:dyDescent="0.25">
      <c r="A1503" s="1"/>
      <c r="B1503" s="2"/>
      <c r="C1503" s="2"/>
      <c r="D1503" s="1"/>
      <c r="F1503" s="1"/>
      <c r="G1503" s="1"/>
    </row>
    <row r="1504" spans="1:7" x14ac:dyDescent="0.25">
      <c r="A1504" s="1"/>
      <c r="B1504" s="2"/>
      <c r="C1504" s="2"/>
      <c r="D1504" s="1"/>
      <c r="F1504" s="1"/>
      <c r="G1504" s="1"/>
    </row>
    <row r="1505" spans="1:7" x14ac:dyDescent="0.25">
      <c r="A1505" s="1"/>
      <c r="B1505" s="2"/>
      <c r="C1505" s="2"/>
      <c r="D1505" s="1"/>
      <c r="F1505" s="1"/>
      <c r="G1505" s="1"/>
    </row>
    <row r="1506" spans="1:7" x14ac:dyDescent="0.25">
      <c r="A1506" s="1"/>
      <c r="B1506" s="2"/>
      <c r="C1506" s="2"/>
      <c r="D1506" s="1"/>
      <c r="F1506" s="1"/>
      <c r="G1506" s="1"/>
    </row>
    <row r="1507" spans="1:7" x14ac:dyDescent="0.25">
      <c r="A1507" s="1"/>
      <c r="B1507" s="2"/>
      <c r="C1507" s="2"/>
      <c r="D1507" s="1"/>
      <c r="F1507" s="1"/>
      <c r="G1507" s="1"/>
    </row>
    <row r="1508" spans="1:7" x14ac:dyDescent="0.25">
      <c r="A1508" s="1"/>
      <c r="B1508" s="2"/>
      <c r="C1508" s="2"/>
      <c r="D1508" s="1"/>
      <c r="F1508" s="1"/>
      <c r="G1508" s="1"/>
    </row>
    <row r="1509" spans="1:7" x14ac:dyDescent="0.25">
      <c r="A1509" s="1"/>
      <c r="B1509" s="2"/>
      <c r="C1509" s="2"/>
      <c r="D1509" s="1"/>
      <c r="F1509" s="1"/>
      <c r="G1509" s="1"/>
    </row>
    <row r="1510" spans="1:7" x14ac:dyDescent="0.25">
      <c r="A1510" s="1"/>
      <c r="B1510" s="2"/>
      <c r="C1510" s="2"/>
      <c r="D1510" s="1"/>
      <c r="F1510" s="1"/>
      <c r="G1510" s="1"/>
    </row>
    <row r="1511" spans="1:7" x14ac:dyDescent="0.25">
      <c r="A1511" s="1"/>
      <c r="B1511" s="2"/>
      <c r="C1511" s="2"/>
      <c r="D1511" s="1"/>
      <c r="F1511" s="1"/>
      <c r="G1511" s="1"/>
    </row>
    <row r="1512" spans="1:7" x14ac:dyDescent="0.25">
      <c r="A1512" s="1"/>
      <c r="B1512" s="2"/>
      <c r="C1512" s="2"/>
      <c r="D1512" s="1"/>
      <c r="F1512" s="1"/>
      <c r="G1512" s="1"/>
    </row>
    <row r="1513" spans="1:7" x14ac:dyDescent="0.25">
      <c r="A1513" s="1"/>
      <c r="B1513" s="2"/>
      <c r="C1513" s="2"/>
      <c r="D1513" s="1"/>
      <c r="F1513" s="1"/>
      <c r="G1513" s="1"/>
    </row>
    <row r="1514" spans="1:7" x14ac:dyDescent="0.25">
      <c r="A1514" s="1"/>
      <c r="B1514" s="2"/>
      <c r="C1514" s="2"/>
      <c r="D1514" s="1"/>
      <c r="F1514" s="1"/>
      <c r="G1514" s="1"/>
    </row>
    <row r="1515" spans="1:7" x14ac:dyDescent="0.25">
      <c r="A1515" s="1"/>
      <c r="B1515" s="2"/>
      <c r="C1515" s="2"/>
      <c r="D1515" s="1"/>
      <c r="F1515" s="1"/>
      <c r="G1515" s="1"/>
    </row>
    <row r="1516" spans="1:7" x14ac:dyDescent="0.25">
      <c r="A1516" s="1"/>
      <c r="B1516" s="2"/>
      <c r="C1516" s="2"/>
      <c r="D1516" s="1"/>
      <c r="F1516" s="1"/>
      <c r="G1516" s="1"/>
    </row>
    <row r="1517" spans="1:7" x14ac:dyDescent="0.25">
      <c r="A1517" s="1"/>
      <c r="B1517" s="2"/>
      <c r="C1517" s="2"/>
      <c r="D1517" s="1"/>
      <c r="F1517" s="1"/>
      <c r="G1517" s="1"/>
    </row>
    <row r="1518" spans="1:7" x14ac:dyDescent="0.25">
      <c r="A1518" s="1"/>
      <c r="B1518" s="2"/>
      <c r="C1518" s="2"/>
      <c r="D1518" s="1"/>
      <c r="F1518" s="1"/>
      <c r="G1518" s="1"/>
    </row>
    <row r="1519" spans="1:7" x14ac:dyDescent="0.25">
      <c r="A1519" s="1"/>
      <c r="B1519" s="2"/>
      <c r="C1519" s="2"/>
      <c r="D1519" s="1"/>
      <c r="F1519" s="1"/>
      <c r="G1519" s="1"/>
    </row>
    <row r="1520" spans="1:7" x14ac:dyDescent="0.25">
      <c r="A1520" s="1"/>
      <c r="B1520" s="2"/>
      <c r="C1520" s="2"/>
      <c r="D1520" s="1"/>
      <c r="F1520" s="1"/>
      <c r="G1520" s="1"/>
    </row>
    <row r="1521" spans="1:7" x14ac:dyDescent="0.25">
      <c r="A1521" s="1"/>
      <c r="B1521" s="2"/>
      <c r="C1521" s="2"/>
      <c r="D1521" s="1"/>
      <c r="F1521" s="1"/>
      <c r="G1521" s="1"/>
    </row>
    <row r="1522" spans="1:7" x14ac:dyDescent="0.25">
      <c r="A1522" s="1"/>
      <c r="B1522" s="2"/>
      <c r="C1522" s="2"/>
      <c r="D1522" s="1"/>
      <c r="F1522" s="1"/>
      <c r="G1522" s="1"/>
    </row>
    <row r="1523" spans="1:7" x14ac:dyDescent="0.25">
      <c r="A1523" s="1"/>
      <c r="B1523" s="2"/>
      <c r="C1523" s="2"/>
      <c r="D1523" s="1"/>
      <c r="F1523" s="1"/>
      <c r="G1523" s="1"/>
    </row>
    <row r="1524" spans="1:7" x14ac:dyDescent="0.25">
      <c r="A1524" s="1"/>
      <c r="B1524" s="2"/>
      <c r="C1524" s="2"/>
      <c r="D1524" s="1"/>
      <c r="F1524" s="1"/>
      <c r="G1524" s="1"/>
    </row>
    <row r="1525" spans="1:7" x14ac:dyDescent="0.25">
      <c r="A1525" s="1"/>
      <c r="B1525" s="2"/>
      <c r="C1525" s="2"/>
      <c r="D1525" s="1"/>
      <c r="F1525" s="1"/>
      <c r="G1525" s="1"/>
    </row>
    <row r="1526" spans="1:7" x14ac:dyDescent="0.25">
      <c r="A1526" s="1"/>
      <c r="B1526" s="2"/>
      <c r="C1526" s="2"/>
      <c r="D1526" s="1"/>
      <c r="F1526" s="1"/>
      <c r="G1526" s="1"/>
    </row>
    <row r="1527" spans="1:7" x14ac:dyDescent="0.25">
      <c r="A1527" s="1"/>
      <c r="B1527" s="2"/>
      <c r="C1527" s="2"/>
      <c r="D1527" s="1"/>
      <c r="F1527" s="1"/>
      <c r="G1527" s="1"/>
    </row>
    <row r="1528" spans="1:7" x14ac:dyDescent="0.25">
      <c r="A1528" s="1"/>
      <c r="B1528" s="2"/>
      <c r="C1528" s="2"/>
      <c r="D1528" s="1"/>
      <c r="F1528" s="1"/>
      <c r="G1528" s="1"/>
    </row>
    <row r="1529" spans="1:7" x14ac:dyDescent="0.25">
      <c r="A1529" s="1"/>
      <c r="B1529" s="2"/>
      <c r="C1529" s="2"/>
      <c r="D1529" s="1"/>
      <c r="F1529" s="1"/>
      <c r="G1529" s="1"/>
    </row>
    <row r="1530" spans="1:7" x14ac:dyDescent="0.25">
      <c r="A1530" s="1"/>
      <c r="B1530" s="2"/>
      <c r="C1530" s="2"/>
      <c r="D1530" s="1"/>
      <c r="F1530" s="1"/>
      <c r="G1530" s="1"/>
    </row>
    <row r="1531" spans="1:7" x14ac:dyDescent="0.25">
      <c r="A1531" s="1"/>
      <c r="B1531" s="2"/>
      <c r="C1531" s="2"/>
      <c r="D1531" s="1"/>
      <c r="F1531" s="1"/>
      <c r="G1531" s="1"/>
    </row>
    <row r="1532" spans="1:7" x14ac:dyDescent="0.25">
      <c r="A1532" s="1"/>
      <c r="B1532" s="2"/>
      <c r="C1532" s="2"/>
      <c r="D1532" s="1"/>
      <c r="F1532" s="1"/>
      <c r="G1532" s="1"/>
    </row>
    <row r="1533" spans="1:7" x14ac:dyDescent="0.25">
      <c r="A1533" s="1"/>
      <c r="B1533" s="2"/>
      <c r="C1533" s="2"/>
      <c r="D1533" s="1"/>
      <c r="F1533" s="1"/>
      <c r="G1533" s="1"/>
    </row>
    <row r="1534" spans="1:7" x14ac:dyDescent="0.25">
      <c r="A1534" s="1"/>
      <c r="B1534" s="2"/>
      <c r="C1534" s="2"/>
      <c r="D1534" s="1"/>
      <c r="F1534" s="1"/>
      <c r="G1534" s="1"/>
    </row>
    <row r="1535" spans="1:7" x14ac:dyDescent="0.25">
      <c r="A1535" s="1"/>
      <c r="B1535" s="2"/>
      <c r="C1535" s="2"/>
      <c r="D1535" s="1"/>
      <c r="F1535" s="1"/>
      <c r="G1535" s="1"/>
    </row>
    <row r="1536" spans="1:7" x14ac:dyDescent="0.25">
      <c r="A1536" s="1"/>
      <c r="B1536" s="2"/>
      <c r="C1536" s="2"/>
      <c r="D1536" s="1"/>
      <c r="F1536" s="1"/>
      <c r="G1536" s="1"/>
    </row>
    <row r="1537" spans="1:7" x14ac:dyDescent="0.25">
      <c r="A1537" s="1"/>
      <c r="B1537" s="2"/>
      <c r="C1537" s="2"/>
      <c r="D1537" s="1"/>
      <c r="F1537" s="1"/>
      <c r="G1537" s="1"/>
    </row>
    <row r="1538" spans="1:7" x14ac:dyDescent="0.25">
      <c r="A1538" s="1"/>
      <c r="B1538" s="2"/>
      <c r="C1538" s="2"/>
      <c r="D1538" s="1"/>
      <c r="F1538" s="1"/>
      <c r="G1538" s="1"/>
    </row>
    <row r="1539" spans="1:7" x14ac:dyDescent="0.25">
      <c r="A1539" s="1"/>
      <c r="B1539" s="2"/>
      <c r="C1539" s="2"/>
      <c r="D1539" s="1"/>
      <c r="F1539" s="1"/>
      <c r="G1539" s="1"/>
    </row>
    <row r="1540" spans="1:7" x14ac:dyDescent="0.25">
      <c r="A1540" s="1"/>
      <c r="B1540" s="2"/>
      <c r="C1540" s="2"/>
      <c r="D1540" s="1"/>
      <c r="F1540" s="1"/>
      <c r="G1540" s="1"/>
    </row>
    <row r="1541" spans="1:7" x14ac:dyDescent="0.25">
      <c r="A1541" s="1"/>
      <c r="B1541" s="2"/>
      <c r="C1541" s="2"/>
      <c r="D1541" s="1"/>
      <c r="F1541" s="1"/>
      <c r="G1541" s="1"/>
    </row>
    <row r="1542" spans="1:7" x14ac:dyDescent="0.25">
      <c r="A1542" s="1"/>
      <c r="B1542" s="2"/>
      <c r="C1542" s="2"/>
      <c r="D1542" s="1"/>
      <c r="F1542" s="1"/>
      <c r="G1542" s="1"/>
    </row>
    <row r="1543" spans="1:7" x14ac:dyDescent="0.25">
      <c r="A1543" s="1"/>
      <c r="B1543" s="2"/>
      <c r="C1543" s="2"/>
      <c r="D1543" s="1"/>
      <c r="F1543" s="1"/>
      <c r="G1543" s="1"/>
    </row>
    <row r="1544" spans="1:7" x14ac:dyDescent="0.25">
      <c r="A1544" s="1"/>
      <c r="B1544" s="2"/>
      <c r="C1544" s="2"/>
      <c r="D1544" s="1"/>
      <c r="F1544" s="1"/>
      <c r="G1544" s="1"/>
    </row>
    <row r="1545" spans="1:7" x14ac:dyDescent="0.25">
      <c r="A1545" s="1"/>
      <c r="B1545" s="2"/>
      <c r="C1545" s="2"/>
      <c r="D1545" s="1"/>
      <c r="F1545" s="1"/>
      <c r="G1545" s="1"/>
    </row>
    <row r="1546" spans="1:7" x14ac:dyDescent="0.25">
      <c r="A1546" s="1"/>
      <c r="B1546" s="2"/>
      <c r="C1546" s="2"/>
      <c r="D1546" s="1"/>
      <c r="F1546" s="1"/>
      <c r="G1546" s="1"/>
    </row>
    <row r="1547" spans="1:7" x14ac:dyDescent="0.25">
      <c r="A1547" s="1"/>
      <c r="B1547" s="2"/>
      <c r="C1547" s="2"/>
      <c r="D1547" s="1"/>
      <c r="F1547" s="1"/>
      <c r="G1547" s="1"/>
    </row>
    <row r="1548" spans="1:7" x14ac:dyDescent="0.25">
      <c r="A1548" s="1"/>
      <c r="B1548" s="2"/>
      <c r="C1548" s="2"/>
      <c r="D1548" s="1"/>
      <c r="F1548" s="1"/>
      <c r="G1548" s="1"/>
    </row>
    <row r="1549" spans="1:7" x14ac:dyDescent="0.25">
      <c r="A1549" s="1"/>
      <c r="B1549" s="2"/>
      <c r="C1549" s="2"/>
      <c r="D1549" s="1"/>
      <c r="F1549" s="1"/>
      <c r="G1549" s="1"/>
    </row>
    <row r="1550" spans="1:7" x14ac:dyDescent="0.25">
      <c r="A1550" s="1"/>
      <c r="B1550" s="2"/>
      <c r="C1550" s="2"/>
      <c r="D1550" s="1"/>
      <c r="F1550" s="1"/>
      <c r="G1550" s="1"/>
    </row>
    <row r="1551" spans="1:7" x14ac:dyDescent="0.25">
      <c r="A1551" s="1"/>
      <c r="B1551" s="2"/>
      <c r="C1551" s="2"/>
      <c r="D1551" s="1"/>
      <c r="F1551" s="1"/>
      <c r="G1551" s="1"/>
    </row>
    <row r="1552" spans="1:7" x14ac:dyDescent="0.25">
      <c r="A1552" s="1"/>
      <c r="B1552" s="2"/>
      <c r="C1552" s="2"/>
      <c r="D1552" s="1"/>
      <c r="F1552" s="1"/>
      <c r="G1552" s="1"/>
    </row>
    <row r="1553" spans="1:7" x14ac:dyDescent="0.25">
      <c r="A1553" s="1"/>
      <c r="B1553" s="2"/>
      <c r="C1553" s="2"/>
      <c r="D1553" s="1"/>
      <c r="F1553" s="1"/>
      <c r="G1553" s="1"/>
    </row>
    <row r="1554" spans="1:7" x14ac:dyDescent="0.25">
      <c r="A1554" s="1"/>
      <c r="B1554" s="2"/>
      <c r="C1554" s="2"/>
      <c r="D1554" s="1"/>
      <c r="F1554" s="1"/>
      <c r="G1554" s="1"/>
    </row>
    <row r="1555" spans="1:7" x14ac:dyDescent="0.25">
      <c r="A1555" s="1"/>
      <c r="B1555" s="2"/>
      <c r="C1555" s="2"/>
      <c r="D1555" s="1"/>
      <c r="F1555" s="1"/>
      <c r="G1555" s="1"/>
    </row>
    <row r="1556" spans="1:7" x14ac:dyDescent="0.25">
      <c r="A1556" s="1"/>
      <c r="B1556" s="2"/>
      <c r="C1556" s="2"/>
      <c r="D1556" s="1"/>
      <c r="F1556" s="1"/>
      <c r="G1556" s="1"/>
    </row>
    <row r="1557" spans="1:7" x14ac:dyDescent="0.25">
      <c r="A1557" s="1"/>
      <c r="B1557" s="2"/>
      <c r="C1557" s="2"/>
      <c r="D1557" s="1"/>
      <c r="F1557" s="1"/>
      <c r="G1557" s="1"/>
    </row>
    <row r="1558" spans="1:7" x14ac:dyDescent="0.25">
      <c r="A1558" s="1"/>
      <c r="B1558" s="2"/>
      <c r="C1558" s="2"/>
      <c r="D1558" s="1"/>
      <c r="F1558" s="1"/>
      <c r="G1558" s="1"/>
    </row>
    <row r="1559" spans="1:7" x14ac:dyDescent="0.25">
      <c r="A1559" s="1"/>
      <c r="B1559" s="2"/>
      <c r="C1559" s="2"/>
      <c r="D1559" s="1"/>
      <c r="F1559" s="1"/>
      <c r="G1559" s="1"/>
    </row>
    <row r="1560" spans="1:7" x14ac:dyDescent="0.25">
      <c r="A1560" s="1"/>
      <c r="B1560" s="2"/>
      <c r="C1560" s="2"/>
      <c r="D1560" s="1"/>
      <c r="F1560" s="1"/>
      <c r="G1560" s="1"/>
    </row>
    <row r="1561" spans="1:7" x14ac:dyDescent="0.25">
      <c r="A1561" s="1"/>
      <c r="B1561" s="2"/>
      <c r="C1561" s="2"/>
      <c r="D1561" s="1"/>
      <c r="F1561" s="1"/>
      <c r="G1561" s="1"/>
    </row>
    <row r="1562" spans="1:7" x14ac:dyDescent="0.25">
      <c r="A1562" s="1"/>
      <c r="B1562" s="2"/>
      <c r="C1562" s="2"/>
      <c r="D1562" s="1"/>
      <c r="F1562" s="1"/>
      <c r="G1562" s="1"/>
    </row>
    <row r="1563" spans="1:7" x14ac:dyDescent="0.25">
      <c r="A1563" s="1"/>
      <c r="B1563" s="2"/>
      <c r="C1563" s="2"/>
      <c r="D1563" s="1"/>
      <c r="F1563" s="1"/>
      <c r="G1563" s="1"/>
    </row>
    <row r="1564" spans="1:7" x14ac:dyDescent="0.25">
      <c r="A1564" s="1"/>
      <c r="B1564" s="2"/>
      <c r="C1564" s="2"/>
      <c r="D1564" s="1"/>
      <c r="F1564" s="1"/>
      <c r="G1564" s="1"/>
    </row>
    <row r="1565" spans="1:7" x14ac:dyDescent="0.25">
      <c r="A1565" s="1"/>
      <c r="B1565" s="2"/>
      <c r="C1565" s="2"/>
      <c r="D1565" s="1"/>
      <c r="F1565" s="1"/>
      <c r="G1565" s="1"/>
    </row>
    <row r="1566" spans="1:7" x14ac:dyDescent="0.25">
      <c r="A1566" s="1"/>
      <c r="B1566" s="2"/>
      <c r="C1566" s="2"/>
      <c r="D1566" s="1"/>
      <c r="F1566" s="1"/>
      <c r="G1566" s="1"/>
    </row>
    <row r="1567" spans="1:7" x14ac:dyDescent="0.25">
      <c r="A1567" s="1"/>
      <c r="B1567" s="2"/>
      <c r="C1567" s="2"/>
      <c r="D1567" s="1"/>
      <c r="F1567" s="1"/>
      <c r="G1567" s="1"/>
    </row>
    <row r="1568" spans="1:7" x14ac:dyDescent="0.25">
      <c r="A1568" s="1"/>
      <c r="B1568" s="2"/>
      <c r="C1568" s="2"/>
      <c r="D1568" s="1"/>
      <c r="F1568" s="1"/>
      <c r="G1568" s="1"/>
    </row>
    <row r="1569" spans="1:7" x14ac:dyDescent="0.25">
      <c r="A1569" s="1"/>
      <c r="B1569" s="2"/>
      <c r="C1569" s="2"/>
      <c r="D1569" s="1"/>
      <c r="F1569" s="1"/>
      <c r="G1569" s="1"/>
    </row>
    <row r="1570" spans="1:7" x14ac:dyDescent="0.25">
      <c r="A1570" s="1"/>
      <c r="B1570" s="2"/>
      <c r="C1570" s="2"/>
      <c r="D1570" s="1"/>
      <c r="F1570" s="1"/>
      <c r="G1570" s="1"/>
    </row>
    <row r="1571" spans="1:7" x14ac:dyDescent="0.25">
      <c r="A1571" s="1"/>
      <c r="B1571" s="2"/>
      <c r="C1571" s="2"/>
      <c r="D1571" s="1"/>
      <c r="F1571" s="1"/>
      <c r="G1571" s="1"/>
    </row>
    <row r="1572" spans="1:7" x14ac:dyDescent="0.25">
      <c r="A1572" s="1"/>
      <c r="B1572" s="2"/>
      <c r="C1572" s="2"/>
      <c r="D1572" s="1"/>
      <c r="F1572" s="1"/>
      <c r="G1572" s="1"/>
    </row>
    <row r="1573" spans="1:7" x14ac:dyDescent="0.25">
      <c r="A1573" s="1"/>
      <c r="B1573" s="2"/>
      <c r="C1573" s="2"/>
      <c r="D1573" s="1"/>
      <c r="F1573" s="1"/>
      <c r="G1573" s="1"/>
    </row>
    <row r="1574" spans="1:7" x14ac:dyDescent="0.25">
      <c r="A1574" s="1"/>
      <c r="B1574" s="2"/>
      <c r="C1574" s="2"/>
      <c r="D1574" s="1"/>
      <c r="F1574" s="1"/>
      <c r="G1574" s="1"/>
    </row>
    <row r="1575" spans="1:7" x14ac:dyDescent="0.25">
      <c r="A1575" s="1"/>
      <c r="B1575" s="2"/>
      <c r="C1575" s="2"/>
      <c r="D1575" s="1"/>
      <c r="F1575" s="1"/>
      <c r="G1575" s="1"/>
    </row>
    <row r="1576" spans="1:7" x14ac:dyDescent="0.25">
      <c r="A1576" s="1"/>
      <c r="B1576" s="2"/>
      <c r="C1576" s="2"/>
      <c r="D1576" s="1"/>
      <c r="F1576" s="1"/>
      <c r="G1576" s="1"/>
    </row>
    <row r="1577" spans="1:7" x14ac:dyDescent="0.25">
      <c r="A1577" s="1"/>
      <c r="B1577" s="2"/>
      <c r="C1577" s="2"/>
      <c r="D1577" s="1"/>
      <c r="F1577" s="1"/>
      <c r="G1577" s="1"/>
    </row>
    <row r="1578" spans="1:7" x14ac:dyDescent="0.25">
      <c r="A1578" s="1"/>
      <c r="B1578" s="2"/>
      <c r="C1578" s="2"/>
      <c r="D1578" s="1"/>
      <c r="F1578" s="1"/>
      <c r="G1578" s="1"/>
    </row>
    <row r="1579" spans="1:7" x14ac:dyDescent="0.25">
      <c r="A1579" s="1"/>
      <c r="B1579" s="2"/>
      <c r="C1579" s="2"/>
      <c r="D1579" s="1"/>
      <c r="F1579" s="1"/>
      <c r="G1579" s="1"/>
    </row>
    <row r="1580" spans="1:7" x14ac:dyDescent="0.25">
      <c r="A1580" s="1"/>
      <c r="B1580" s="2"/>
      <c r="C1580" s="2"/>
      <c r="D1580" s="1"/>
      <c r="F1580" s="1"/>
      <c r="G1580" s="1"/>
    </row>
    <row r="1581" spans="1:7" x14ac:dyDescent="0.25">
      <c r="A1581" s="1"/>
      <c r="B1581" s="2"/>
      <c r="C1581" s="2"/>
      <c r="D1581" s="1"/>
      <c r="F1581" s="1"/>
      <c r="G1581" s="1"/>
    </row>
    <row r="1582" spans="1:7" x14ac:dyDescent="0.25">
      <c r="A1582" s="1"/>
      <c r="B1582" s="2"/>
      <c r="C1582" s="2"/>
      <c r="D1582" s="1"/>
      <c r="F1582" s="1"/>
      <c r="G1582" s="1"/>
    </row>
    <row r="1583" spans="1:7" x14ac:dyDescent="0.25">
      <c r="A1583" s="1"/>
      <c r="B1583" s="2"/>
      <c r="C1583" s="2"/>
      <c r="D1583" s="1"/>
      <c r="F1583" s="1"/>
      <c r="G1583" s="1"/>
    </row>
    <row r="1584" spans="1:7" x14ac:dyDescent="0.25">
      <c r="A1584" s="1"/>
      <c r="B1584" s="2"/>
      <c r="C1584" s="2"/>
      <c r="D1584" s="1"/>
      <c r="F1584" s="1"/>
      <c r="G1584" s="1"/>
    </row>
    <row r="1585" spans="1:7" x14ac:dyDescent="0.25">
      <c r="A1585" s="1"/>
      <c r="B1585" s="2"/>
      <c r="C1585" s="2"/>
      <c r="D1585" s="1"/>
      <c r="F1585" s="1"/>
      <c r="G1585" s="1"/>
    </row>
    <row r="1586" spans="1:7" x14ac:dyDescent="0.25">
      <c r="A1586" s="1"/>
      <c r="B1586" s="2"/>
      <c r="C1586" s="2"/>
      <c r="D1586" s="1"/>
      <c r="F1586" s="1"/>
      <c r="G1586" s="1"/>
    </row>
    <row r="1587" spans="1:7" x14ac:dyDescent="0.25">
      <c r="A1587" s="1"/>
      <c r="B1587" s="2"/>
      <c r="C1587" s="2"/>
      <c r="D1587" s="1"/>
      <c r="F1587" s="1"/>
      <c r="G1587" s="1"/>
    </row>
    <row r="1588" spans="1:7" x14ac:dyDescent="0.25">
      <c r="A1588" s="1"/>
      <c r="B1588" s="2"/>
      <c r="C1588" s="2"/>
      <c r="D1588" s="1"/>
      <c r="F1588" s="1"/>
      <c r="G1588" s="1"/>
    </row>
    <row r="1589" spans="1:7" x14ac:dyDescent="0.25">
      <c r="A1589" s="1"/>
      <c r="B1589" s="2"/>
      <c r="C1589" s="2"/>
      <c r="D1589" s="1"/>
      <c r="F1589" s="1"/>
      <c r="G1589" s="1"/>
    </row>
    <row r="1590" spans="1:7" x14ac:dyDescent="0.25">
      <c r="A1590" s="1"/>
      <c r="B1590" s="2"/>
      <c r="C1590" s="2"/>
      <c r="D1590" s="1"/>
      <c r="F1590" s="1"/>
      <c r="G1590" s="1"/>
    </row>
    <row r="1591" spans="1:7" x14ac:dyDescent="0.25">
      <c r="A1591" s="1"/>
      <c r="B1591" s="2"/>
      <c r="C1591" s="2"/>
      <c r="D1591" s="1"/>
      <c r="F1591" s="1"/>
      <c r="G1591" s="1"/>
    </row>
    <row r="1592" spans="1:7" x14ac:dyDescent="0.25">
      <c r="A1592" s="1"/>
      <c r="B1592" s="2"/>
      <c r="C1592" s="2"/>
      <c r="D1592" s="1"/>
      <c r="F1592" s="1"/>
      <c r="G1592" s="1"/>
    </row>
    <row r="1593" spans="1:7" x14ac:dyDescent="0.25">
      <c r="A1593" s="1"/>
      <c r="B1593" s="2"/>
      <c r="C1593" s="2"/>
      <c r="D1593" s="1"/>
      <c r="F1593" s="1"/>
      <c r="G1593" s="1"/>
    </row>
    <row r="1594" spans="1:7" x14ac:dyDescent="0.25">
      <c r="A1594" s="1"/>
      <c r="B1594" s="2"/>
      <c r="C1594" s="2"/>
      <c r="D1594" s="1"/>
      <c r="F1594" s="1"/>
      <c r="G1594" s="1"/>
    </row>
    <row r="1595" spans="1:7" x14ac:dyDescent="0.25">
      <c r="A1595" s="1"/>
      <c r="B1595" s="2"/>
      <c r="C1595" s="2"/>
      <c r="D1595" s="1"/>
      <c r="F1595" s="1"/>
      <c r="G1595" s="1"/>
    </row>
    <row r="1596" spans="1:7" x14ac:dyDescent="0.25">
      <c r="A1596" s="1"/>
      <c r="B1596" s="2"/>
      <c r="C1596" s="2"/>
      <c r="D1596" s="1"/>
      <c r="F1596" s="1"/>
      <c r="G1596" s="1"/>
    </row>
    <row r="1597" spans="1:7" x14ac:dyDescent="0.25">
      <c r="A1597" s="1"/>
      <c r="B1597" s="2"/>
      <c r="C1597" s="2"/>
      <c r="D1597" s="1"/>
      <c r="F1597" s="1"/>
      <c r="G1597" s="1"/>
    </row>
    <row r="1598" spans="1:7" x14ac:dyDescent="0.25">
      <c r="A1598" s="1"/>
      <c r="B1598" s="2"/>
      <c r="C1598" s="2"/>
      <c r="D1598" s="1"/>
      <c r="F1598" s="1"/>
      <c r="G1598" s="1"/>
    </row>
    <row r="1599" spans="1:7" x14ac:dyDescent="0.25">
      <c r="A1599" s="1"/>
      <c r="B1599" s="2"/>
      <c r="C1599" s="2"/>
      <c r="D1599" s="1"/>
      <c r="F1599" s="1"/>
      <c r="G1599" s="1"/>
    </row>
    <row r="1600" spans="1:7" x14ac:dyDescent="0.25">
      <c r="A1600" s="1"/>
      <c r="B1600" s="2"/>
      <c r="C1600" s="2"/>
      <c r="D1600" s="1"/>
      <c r="F1600" s="1"/>
      <c r="G1600" s="1"/>
    </row>
    <row r="1601" spans="1:7" x14ac:dyDescent="0.25">
      <c r="A1601" s="1"/>
      <c r="B1601" s="2"/>
      <c r="C1601" s="2"/>
      <c r="D1601" s="1"/>
      <c r="F1601" s="1"/>
      <c r="G1601" s="1"/>
    </row>
    <row r="1602" spans="1:7" x14ac:dyDescent="0.25">
      <c r="A1602" s="1"/>
      <c r="B1602" s="2"/>
      <c r="C1602" s="2"/>
      <c r="D1602" s="1"/>
      <c r="F1602" s="1"/>
      <c r="G1602" s="1"/>
    </row>
    <row r="1603" spans="1:7" x14ac:dyDescent="0.25">
      <c r="A1603" s="1"/>
      <c r="B1603" s="2"/>
      <c r="C1603" s="2"/>
      <c r="D1603" s="1"/>
      <c r="F1603" s="1"/>
      <c r="G1603" s="1"/>
    </row>
    <row r="1604" spans="1:7" x14ac:dyDescent="0.25">
      <c r="A1604" s="1"/>
      <c r="B1604" s="2"/>
      <c r="C1604" s="2"/>
      <c r="D1604" s="1"/>
      <c r="F1604" s="1"/>
      <c r="G1604" s="1"/>
    </row>
    <row r="1605" spans="1:7" x14ac:dyDescent="0.25">
      <c r="A1605" s="1"/>
      <c r="B1605" s="2"/>
      <c r="C1605" s="2"/>
      <c r="D1605" s="1"/>
      <c r="F1605" s="1"/>
      <c r="G1605" s="1"/>
    </row>
    <row r="1606" spans="1:7" x14ac:dyDescent="0.25">
      <c r="A1606" s="1"/>
      <c r="B1606" s="2"/>
      <c r="C1606" s="2"/>
      <c r="D1606" s="1"/>
      <c r="F1606" s="1"/>
      <c r="G1606" s="1"/>
    </row>
    <row r="1607" spans="1:7" x14ac:dyDescent="0.25">
      <c r="A1607" s="1"/>
      <c r="B1607" s="2"/>
      <c r="C1607" s="2"/>
      <c r="D1607" s="1"/>
      <c r="F1607" s="1"/>
      <c r="G1607" s="1"/>
    </row>
    <row r="1608" spans="1:7" x14ac:dyDescent="0.25">
      <c r="A1608" s="1"/>
      <c r="B1608" s="2"/>
      <c r="C1608" s="2"/>
      <c r="D1608" s="1"/>
      <c r="F1608" s="1"/>
      <c r="G1608" s="1"/>
    </row>
    <row r="1609" spans="1:7" x14ac:dyDescent="0.25">
      <c r="A1609" s="1"/>
      <c r="B1609" s="2"/>
      <c r="C1609" s="2"/>
      <c r="D1609" s="1"/>
      <c r="F1609" s="1"/>
      <c r="G1609" s="1"/>
    </row>
    <row r="1610" spans="1:7" x14ac:dyDescent="0.25">
      <c r="A1610" s="1"/>
      <c r="B1610" s="2"/>
      <c r="C1610" s="2"/>
      <c r="D1610" s="1"/>
      <c r="F1610" s="1"/>
      <c r="G1610" s="1"/>
    </row>
    <row r="1611" spans="1:7" x14ac:dyDescent="0.25">
      <c r="A1611" s="1"/>
      <c r="B1611" s="2"/>
      <c r="C1611" s="2"/>
      <c r="D1611" s="1"/>
      <c r="F1611" s="1"/>
      <c r="G1611" s="1"/>
    </row>
    <row r="1612" spans="1:7" x14ac:dyDescent="0.25">
      <c r="A1612" s="1"/>
      <c r="B1612" s="2"/>
      <c r="C1612" s="2"/>
      <c r="D1612" s="1"/>
      <c r="F1612" s="1"/>
      <c r="G1612" s="1"/>
    </row>
    <row r="1613" spans="1:7" x14ac:dyDescent="0.25">
      <c r="A1613" s="1"/>
      <c r="B1613" s="2"/>
      <c r="C1613" s="2"/>
      <c r="D1613" s="1"/>
      <c r="F1613" s="1"/>
      <c r="G1613" s="1"/>
    </row>
    <row r="1614" spans="1:7" x14ac:dyDescent="0.25">
      <c r="A1614" s="1"/>
      <c r="B1614" s="2"/>
      <c r="C1614" s="2"/>
      <c r="D1614" s="1"/>
      <c r="F1614" s="1"/>
      <c r="G1614" s="1"/>
    </row>
    <row r="1615" spans="1:7" x14ac:dyDescent="0.25">
      <c r="A1615" s="1"/>
      <c r="B1615" s="2"/>
      <c r="C1615" s="2"/>
      <c r="D1615" s="1"/>
      <c r="F1615" s="1"/>
      <c r="G1615" s="1"/>
    </row>
    <row r="1616" spans="1:7" x14ac:dyDescent="0.25">
      <c r="A1616" s="1"/>
      <c r="B1616" s="2"/>
      <c r="C1616" s="2"/>
      <c r="D1616" s="1"/>
      <c r="F1616" s="1"/>
      <c r="G1616" s="1"/>
    </row>
    <row r="1617" spans="1:7" x14ac:dyDescent="0.25">
      <c r="A1617" s="1"/>
      <c r="B1617" s="2"/>
      <c r="C1617" s="2"/>
      <c r="D1617" s="1"/>
      <c r="F1617" s="1"/>
      <c r="G1617" s="1"/>
    </row>
    <row r="1618" spans="1:7" x14ac:dyDescent="0.25">
      <c r="A1618" s="1"/>
      <c r="B1618" s="2"/>
      <c r="C1618" s="2"/>
      <c r="D1618" s="1"/>
      <c r="F1618" s="1"/>
      <c r="G1618" s="1"/>
    </row>
    <row r="1619" spans="1:7" x14ac:dyDescent="0.25">
      <c r="A1619" s="1"/>
      <c r="B1619" s="2"/>
      <c r="C1619" s="2"/>
      <c r="D1619" s="1"/>
      <c r="F1619" s="1"/>
      <c r="G1619" s="1"/>
    </row>
    <row r="1620" spans="1:7" x14ac:dyDescent="0.25">
      <c r="A1620" s="1"/>
      <c r="B1620" s="2"/>
      <c r="C1620" s="2"/>
      <c r="D1620" s="1"/>
      <c r="F1620" s="1"/>
      <c r="G1620" s="1"/>
    </row>
    <row r="1621" spans="1:7" x14ac:dyDescent="0.25">
      <c r="A1621" s="1"/>
      <c r="B1621" s="2"/>
      <c r="C1621" s="2"/>
      <c r="D1621" s="1"/>
      <c r="F1621" s="1"/>
      <c r="G1621" s="1"/>
    </row>
    <row r="1622" spans="1:7" x14ac:dyDescent="0.25">
      <c r="A1622" s="1"/>
      <c r="B1622" s="2"/>
      <c r="C1622" s="2"/>
      <c r="D1622" s="1"/>
      <c r="F1622" s="1"/>
      <c r="G1622" s="1"/>
    </row>
    <row r="1623" spans="1:7" x14ac:dyDescent="0.25">
      <c r="A1623" s="1"/>
      <c r="B1623" s="2"/>
      <c r="C1623" s="2"/>
      <c r="D1623" s="1"/>
      <c r="F1623" s="1"/>
      <c r="G1623" s="1"/>
    </row>
    <row r="1624" spans="1:7" x14ac:dyDescent="0.25">
      <c r="A1624" s="1"/>
      <c r="B1624" s="2"/>
      <c r="C1624" s="2"/>
      <c r="D1624" s="1"/>
      <c r="F1624" s="1"/>
      <c r="G1624" s="1"/>
    </row>
    <row r="1625" spans="1:7" x14ac:dyDescent="0.25">
      <c r="A1625" s="1"/>
      <c r="B1625" s="2"/>
      <c r="C1625" s="2"/>
      <c r="D1625" s="1"/>
      <c r="F1625" s="1"/>
      <c r="G1625" s="1"/>
    </row>
    <row r="1626" spans="1:7" x14ac:dyDescent="0.25">
      <c r="A1626" s="1"/>
      <c r="B1626" s="2"/>
      <c r="C1626" s="2"/>
      <c r="D1626" s="1"/>
      <c r="F1626" s="1"/>
      <c r="G1626" s="1"/>
    </row>
    <row r="1627" spans="1:7" x14ac:dyDescent="0.25">
      <c r="A1627" s="1"/>
      <c r="B1627" s="2"/>
      <c r="C1627" s="2"/>
      <c r="D1627" s="1"/>
      <c r="F1627" s="1"/>
      <c r="G1627" s="1"/>
    </row>
    <row r="1628" spans="1:7" x14ac:dyDescent="0.25">
      <c r="A1628" s="1"/>
      <c r="B1628" s="2"/>
      <c r="C1628" s="2"/>
      <c r="D1628" s="1"/>
      <c r="F1628" s="1"/>
      <c r="G1628" s="1"/>
    </row>
    <row r="1629" spans="1:7" x14ac:dyDescent="0.25">
      <c r="A1629" s="1"/>
      <c r="B1629" s="2"/>
      <c r="C1629" s="2"/>
      <c r="D1629" s="1"/>
      <c r="F1629" s="1"/>
      <c r="G1629" s="1"/>
    </row>
    <row r="1630" spans="1:7" x14ac:dyDescent="0.25">
      <c r="A1630" s="1"/>
      <c r="B1630" s="2"/>
      <c r="C1630" s="2"/>
      <c r="D1630" s="1"/>
      <c r="F1630" s="1"/>
      <c r="G1630" s="1"/>
    </row>
    <row r="1631" spans="1:7" x14ac:dyDescent="0.25">
      <c r="A1631" s="1"/>
      <c r="B1631" s="2"/>
      <c r="C1631" s="2"/>
      <c r="D1631" s="1"/>
      <c r="F1631" s="1"/>
      <c r="G1631" s="1"/>
    </row>
    <row r="1632" spans="1:7" x14ac:dyDescent="0.25">
      <c r="A1632" s="1"/>
      <c r="B1632" s="2"/>
      <c r="C1632" s="2"/>
      <c r="D1632" s="1"/>
      <c r="F1632" s="1"/>
      <c r="G1632" s="1"/>
    </row>
    <row r="1633" spans="1:7" x14ac:dyDescent="0.25">
      <c r="A1633" s="1"/>
      <c r="B1633" s="2"/>
      <c r="C1633" s="2"/>
      <c r="D1633" s="1"/>
      <c r="F1633" s="1"/>
      <c r="G1633" s="1"/>
    </row>
    <row r="1634" spans="1:7" x14ac:dyDescent="0.25">
      <c r="A1634" s="1"/>
      <c r="B1634" s="2"/>
      <c r="C1634" s="2"/>
      <c r="D1634" s="1"/>
      <c r="F1634" s="1"/>
      <c r="G1634" s="1"/>
    </row>
    <row r="1635" spans="1:7" x14ac:dyDescent="0.25">
      <c r="A1635" s="1"/>
      <c r="B1635" s="2"/>
      <c r="C1635" s="2"/>
      <c r="D1635" s="1"/>
      <c r="F1635" s="1"/>
      <c r="G1635" s="1"/>
    </row>
    <row r="1636" spans="1:7" x14ac:dyDescent="0.25">
      <c r="A1636" s="1"/>
      <c r="B1636" s="2"/>
      <c r="C1636" s="2"/>
      <c r="D1636" s="1"/>
      <c r="F1636" s="1"/>
      <c r="G1636" s="1"/>
    </row>
    <row r="1637" spans="1:7" x14ac:dyDescent="0.25">
      <c r="A1637" s="1"/>
      <c r="B1637" s="2"/>
      <c r="C1637" s="2"/>
      <c r="D1637" s="1"/>
      <c r="F1637" s="1"/>
      <c r="G1637" s="1"/>
    </row>
    <row r="1638" spans="1:7" x14ac:dyDescent="0.25">
      <c r="A1638" s="1"/>
      <c r="B1638" s="2"/>
      <c r="C1638" s="2"/>
      <c r="D1638" s="1"/>
      <c r="F1638" s="1"/>
      <c r="G1638" s="1"/>
    </row>
    <row r="1639" spans="1:7" x14ac:dyDescent="0.25">
      <c r="A1639" s="1"/>
      <c r="B1639" s="2"/>
      <c r="C1639" s="2"/>
      <c r="D1639" s="1"/>
      <c r="F1639" s="1"/>
      <c r="G1639" s="1"/>
    </row>
    <row r="1640" spans="1:7" x14ac:dyDescent="0.25">
      <c r="A1640" s="1"/>
      <c r="B1640" s="2"/>
      <c r="C1640" s="2"/>
      <c r="D1640" s="1"/>
      <c r="F1640" s="1"/>
      <c r="G1640" s="1"/>
    </row>
    <row r="1641" spans="1:7" x14ac:dyDescent="0.25">
      <c r="A1641" s="1"/>
      <c r="B1641" s="2"/>
      <c r="C1641" s="2"/>
      <c r="D1641" s="1"/>
      <c r="F1641" s="1"/>
      <c r="G1641" s="1"/>
    </row>
    <row r="1642" spans="1:7" x14ac:dyDescent="0.25">
      <c r="A1642" s="1"/>
      <c r="B1642" s="2"/>
      <c r="C1642" s="2"/>
      <c r="D1642" s="1"/>
      <c r="F1642" s="1"/>
      <c r="G1642" s="1"/>
    </row>
    <row r="1643" spans="1:7" x14ac:dyDescent="0.25">
      <c r="A1643" s="1"/>
      <c r="B1643" s="2"/>
      <c r="C1643" s="2"/>
      <c r="D1643" s="1"/>
      <c r="F1643" s="1"/>
      <c r="G1643" s="1"/>
    </row>
    <row r="1644" spans="1:7" x14ac:dyDescent="0.25">
      <c r="A1644" s="1"/>
      <c r="B1644" s="2"/>
      <c r="C1644" s="2"/>
      <c r="D1644" s="1"/>
      <c r="F1644" s="1"/>
      <c r="G1644" s="1"/>
    </row>
    <row r="1645" spans="1:7" x14ac:dyDescent="0.25">
      <c r="A1645" s="1"/>
      <c r="B1645" s="2"/>
      <c r="C1645" s="2"/>
      <c r="D1645" s="1"/>
      <c r="F1645" s="1"/>
      <c r="G1645" s="1"/>
    </row>
    <row r="1646" spans="1:7" x14ac:dyDescent="0.25">
      <c r="A1646" s="1"/>
      <c r="B1646" s="2"/>
      <c r="C1646" s="2"/>
      <c r="D1646" s="1"/>
      <c r="F1646" s="1"/>
      <c r="G1646" s="1"/>
    </row>
    <row r="1647" spans="1:7" x14ac:dyDescent="0.25">
      <c r="A1647" s="1"/>
      <c r="B1647" s="2"/>
      <c r="C1647" s="2"/>
      <c r="D1647" s="1"/>
      <c r="F1647" s="1"/>
      <c r="G1647" s="1"/>
    </row>
    <row r="1648" spans="1:7" x14ac:dyDescent="0.25">
      <c r="A1648" s="1"/>
      <c r="B1648" s="2"/>
      <c r="C1648" s="2"/>
      <c r="D1648" s="1"/>
      <c r="F1648" s="1"/>
      <c r="G1648" s="1"/>
    </row>
    <row r="1649" spans="1:7" x14ac:dyDescent="0.25">
      <c r="A1649" s="1"/>
      <c r="B1649" s="2"/>
      <c r="C1649" s="2"/>
      <c r="D1649" s="1"/>
      <c r="F1649" s="1"/>
      <c r="G1649" s="1"/>
    </row>
    <row r="1650" spans="1:7" x14ac:dyDescent="0.25">
      <c r="A1650" s="1"/>
      <c r="B1650" s="2"/>
      <c r="C1650" s="2"/>
      <c r="D1650" s="1"/>
      <c r="F1650" s="1"/>
      <c r="G1650" s="1"/>
    </row>
    <row r="1651" spans="1:7" x14ac:dyDescent="0.25">
      <c r="A1651" s="1"/>
      <c r="B1651" s="2"/>
      <c r="C1651" s="2"/>
      <c r="D1651" s="1"/>
      <c r="F1651" s="1"/>
      <c r="G1651" s="1"/>
    </row>
    <row r="1652" spans="1:7" x14ac:dyDescent="0.25">
      <c r="A1652" s="1"/>
      <c r="B1652" s="2"/>
      <c r="C1652" s="2"/>
      <c r="D1652" s="1"/>
      <c r="F1652" s="1"/>
      <c r="G1652" s="1"/>
    </row>
    <row r="1653" spans="1:7" x14ac:dyDescent="0.25">
      <c r="A1653" s="1"/>
      <c r="B1653" s="2"/>
      <c r="C1653" s="2"/>
      <c r="D1653" s="1"/>
      <c r="F1653" s="1"/>
      <c r="G1653" s="1"/>
    </row>
    <row r="1654" spans="1:7" x14ac:dyDescent="0.25">
      <c r="A1654" s="1"/>
      <c r="B1654" s="2"/>
      <c r="C1654" s="2"/>
      <c r="D1654" s="1"/>
      <c r="F1654" s="1"/>
      <c r="G1654" s="1"/>
    </row>
    <row r="1655" spans="1:7" x14ac:dyDescent="0.25">
      <c r="A1655" s="1"/>
      <c r="B1655" s="2"/>
      <c r="C1655" s="2"/>
      <c r="D1655" s="1"/>
      <c r="F1655" s="1"/>
      <c r="G1655" s="1"/>
    </row>
    <row r="1656" spans="1:7" x14ac:dyDescent="0.25">
      <c r="A1656" s="1"/>
      <c r="B1656" s="2"/>
      <c r="C1656" s="2"/>
      <c r="D1656" s="1"/>
      <c r="F1656" s="1"/>
      <c r="G1656" s="1"/>
    </row>
    <row r="1657" spans="1:7" x14ac:dyDescent="0.25">
      <c r="A1657" s="1"/>
      <c r="B1657" s="2"/>
      <c r="C1657" s="2"/>
      <c r="D1657" s="1"/>
      <c r="F1657" s="1"/>
      <c r="G1657" s="1"/>
    </row>
    <row r="1658" spans="1:7" x14ac:dyDescent="0.25">
      <c r="A1658" s="1"/>
      <c r="B1658" s="2"/>
      <c r="C1658" s="2"/>
      <c r="D1658" s="1"/>
      <c r="F1658" s="1"/>
      <c r="G1658" s="1"/>
    </row>
    <row r="1659" spans="1:7" x14ac:dyDescent="0.25">
      <c r="A1659" s="1"/>
      <c r="B1659" s="2"/>
      <c r="C1659" s="2"/>
      <c r="D1659" s="1"/>
      <c r="F1659" s="1"/>
      <c r="G1659" s="1"/>
    </row>
    <row r="1660" spans="1:7" x14ac:dyDescent="0.25">
      <c r="A1660" s="1"/>
      <c r="B1660" s="2"/>
      <c r="C1660" s="2"/>
      <c r="D1660" s="1"/>
      <c r="F1660" s="1"/>
      <c r="G1660" s="1"/>
    </row>
    <row r="1661" spans="1:7" x14ac:dyDescent="0.25">
      <c r="A1661" s="1"/>
      <c r="B1661" s="2"/>
      <c r="C1661" s="2"/>
      <c r="D1661" s="1"/>
      <c r="F1661" s="1"/>
      <c r="G1661" s="1"/>
    </row>
    <row r="1662" spans="1:7" x14ac:dyDescent="0.25">
      <c r="A1662" s="1"/>
      <c r="B1662" s="2"/>
      <c r="C1662" s="2"/>
      <c r="D1662" s="1"/>
      <c r="F1662" s="1"/>
      <c r="G1662" s="1"/>
    </row>
    <row r="1663" spans="1:7" x14ac:dyDescent="0.25">
      <c r="A1663" s="1"/>
      <c r="B1663" s="2"/>
      <c r="C1663" s="2"/>
      <c r="D1663" s="1"/>
      <c r="F1663" s="1"/>
      <c r="G1663" s="1"/>
    </row>
    <row r="1664" spans="1:7" x14ac:dyDescent="0.25">
      <c r="A1664" s="1"/>
      <c r="B1664" s="2"/>
      <c r="C1664" s="2"/>
      <c r="D1664" s="1"/>
      <c r="F1664" s="1"/>
      <c r="G1664" s="1"/>
    </row>
    <row r="1665" spans="1:7" x14ac:dyDescent="0.25">
      <c r="A1665" s="1"/>
      <c r="B1665" s="2"/>
      <c r="C1665" s="2"/>
      <c r="D1665" s="1"/>
      <c r="F1665" s="1"/>
      <c r="G1665" s="1"/>
    </row>
    <row r="1666" spans="1:7" x14ac:dyDescent="0.25">
      <c r="A1666" s="1"/>
      <c r="B1666" s="2"/>
      <c r="C1666" s="2"/>
      <c r="D1666" s="1"/>
      <c r="F1666" s="1"/>
      <c r="G1666" s="1"/>
    </row>
    <row r="1667" spans="1:7" x14ac:dyDescent="0.25">
      <c r="A1667" s="1"/>
      <c r="B1667" s="2"/>
      <c r="C1667" s="2"/>
      <c r="D1667" s="1"/>
      <c r="F1667" s="1"/>
      <c r="G1667" s="1"/>
    </row>
    <row r="1668" spans="1:7" x14ac:dyDescent="0.25">
      <c r="A1668" s="1"/>
      <c r="B1668" s="2"/>
      <c r="C1668" s="2"/>
      <c r="D1668" s="1"/>
      <c r="F1668" s="1"/>
      <c r="G1668" s="1"/>
    </row>
    <row r="1669" spans="1:7" x14ac:dyDescent="0.25">
      <c r="A1669" s="1"/>
      <c r="B1669" s="2"/>
      <c r="C1669" s="2"/>
      <c r="D1669" s="1"/>
      <c r="F1669" s="1"/>
      <c r="G1669" s="1"/>
    </row>
    <row r="1670" spans="1:7" x14ac:dyDescent="0.25">
      <c r="A1670" s="1"/>
      <c r="B1670" s="2"/>
      <c r="C1670" s="2"/>
      <c r="D1670" s="1"/>
      <c r="F1670" s="1"/>
      <c r="G1670" s="1"/>
    </row>
    <row r="1671" spans="1:7" x14ac:dyDescent="0.25">
      <c r="A1671" s="1"/>
      <c r="B1671" s="2"/>
      <c r="C1671" s="2"/>
      <c r="D1671" s="1"/>
      <c r="F1671" s="1"/>
      <c r="G1671" s="1"/>
    </row>
    <row r="1672" spans="1:7" x14ac:dyDescent="0.25">
      <c r="A1672" s="1"/>
      <c r="B1672" s="2"/>
      <c r="C1672" s="2"/>
      <c r="D1672" s="1"/>
      <c r="F1672" s="1"/>
      <c r="G1672" s="1"/>
    </row>
    <row r="1673" spans="1:7" x14ac:dyDescent="0.25">
      <c r="A1673" s="1"/>
      <c r="B1673" s="2"/>
      <c r="C1673" s="2"/>
      <c r="D1673" s="1"/>
      <c r="F1673" s="1"/>
      <c r="G1673" s="1"/>
    </row>
    <row r="1674" spans="1:7" x14ac:dyDescent="0.25">
      <c r="A1674" s="1"/>
      <c r="B1674" s="2"/>
      <c r="C1674" s="2"/>
      <c r="D1674" s="1"/>
      <c r="F1674" s="1"/>
      <c r="G1674" s="1"/>
    </row>
    <row r="1675" spans="1:7" x14ac:dyDescent="0.25">
      <c r="A1675" s="1"/>
      <c r="B1675" s="2"/>
      <c r="C1675" s="2"/>
      <c r="D1675" s="1"/>
      <c r="F1675" s="1"/>
      <c r="G1675" s="1"/>
    </row>
    <row r="1676" spans="1:7" x14ac:dyDescent="0.25">
      <c r="A1676" s="1"/>
      <c r="B1676" s="2"/>
      <c r="C1676" s="2"/>
      <c r="D1676" s="1"/>
      <c r="F1676" s="1"/>
      <c r="G1676" s="1"/>
    </row>
    <row r="1677" spans="1:7" x14ac:dyDescent="0.25">
      <c r="A1677" s="1"/>
      <c r="B1677" s="2"/>
      <c r="C1677" s="2"/>
      <c r="D1677" s="1"/>
      <c r="F1677" s="1"/>
      <c r="G1677" s="1"/>
    </row>
    <row r="1678" spans="1:7" x14ac:dyDescent="0.25">
      <c r="A1678" s="1"/>
      <c r="B1678" s="2"/>
      <c r="C1678" s="2"/>
      <c r="D1678" s="1"/>
      <c r="F1678" s="1"/>
      <c r="G1678" s="1"/>
    </row>
    <row r="1679" spans="1:7" x14ac:dyDescent="0.25">
      <c r="A1679" s="1"/>
      <c r="B1679" s="2"/>
      <c r="C1679" s="2"/>
      <c r="D1679" s="1"/>
      <c r="F1679" s="1"/>
      <c r="G1679" s="1"/>
    </row>
    <row r="1680" spans="1:7" x14ac:dyDescent="0.25">
      <c r="A1680" s="1"/>
      <c r="B1680" s="2"/>
      <c r="C1680" s="2"/>
      <c r="D1680" s="1"/>
      <c r="F1680" s="1"/>
      <c r="G1680" s="1"/>
    </row>
    <row r="1681" spans="1:7" x14ac:dyDescent="0.25">
      <c r="A1681" s="1"/>
      <c r="B1681" s="2"/>
      <c r="C1681" s="2"/>
      <c r="D1681" s="1"/>
      <c r="F1681" s="1"/>
      <c r="G1681" s="1"/>
    </row>
    <row r="1682" spans="1:7" x14ac:dyDescent="0.25">
      <c r="A1682" s="1"/>
      <c r="B1682" s="2"/>
      <c r="C1682" s="2"/>
      <c r="D1682" s="1"/>
      <c r="F1682" s="1"/>
      <c r="G1682" s="1"/>
    </row>
    <row r="1683" spans="1:7" x14ac:dyDescent="0.25">
      <c r="A1683" s="1"/>
      <c r="B1683" s="2"/>
      <c r="C1683" s="2"/>
      <c r="D1683" s="1"/>
      <c r="F1683" s="1"/>
      <c r="G1683" s="1"/>
    </row>
    <row r="1684" spans="1:7" x14ac:dyDescent="0.25">
      <c r="A1684" s="1"/>
      <c r="B1684" s="2"/>
      <c r="C1684" s="2"/>
      <c r="D1684" s="1"/>
      <c r="F1684" s="1"/>
      <c r="G1684" s="1"/>
    </row>
    <row r="1685" spans="1:7" x14ac:dyDescent="0.25">
      <c r="A1685" s="1"/>
      <c r="B1685" s="2"/>
      <c r="C1685" s="2"/>
      <c r="D1685" s="1"/>
      <c r="F1685" s="1"/>
      <c r="G1685" s="1"/>
    </row>
    <row r="1686" spans="1:7" x14ac:dyDescent="0.25">
      <c r="A1686" s="1"/>
      <c r="B1686" s="2"/>
      <c r="C1686" s="2"/>
      <c r="D1686" s="1"/>
      <c r="F1686" s="1"/>
      <c r="G1686" s="1"/>
    </row>
    <row r="1687" spans="1:7" x14ac:dyDescent="0.25">
      <c r="A1687" s="1"/>
      <c r="B1687" s="2"/>
      <c r="C1687" s="2"/>
      <c r="D1687" s="1"/>
      <c r="F1687" s="1"/>
      <c r="G1687" s="1"/>
    </row>
    <row r="1688" spans="1:7" x14ac:dyDescent="0.25">
      <c r="A1688" s="1"/>
      <c r="B1688" s="2"/>
      <c r="C1688" s="2"/>
      <c r="D1688" s="1"/>
      <c r="F1688" s="1"/>
      <c r="G1688" s="1"/>
    </row>
    <row r="1689" spans="1:7" x14ac:dyDescent="0.25">
      <c r="A1689" s="1"/>
      <c r="B1689" s="2"/>
      <c r="C1689" s="2"/>
      <c r="D1689" s="1"/>
      <c r="F1689" s="1"/>
      <c r="G1689" s="1"/>
    </row>
    <row r="1690" spans="1:7" x14ac:dyDescent="0.25">
      <c r="A1690" s="1"/>
      <c r="B1690" s="2"/>
      <c r="C1690" s="2"/>
      <c r="D1690" s="1"/>
      <c r="F1690" s="1"/>
      <c r="G1690" s="1"/>
    </row>
    <row r="1691" spans="1:7" x14ac:dyDescent="0.25">
      <c r="A1691" s="1"/>
      <c r="B1691" s="2"/>
      <c r="C1691" s="2"/>
      <c r="D1691" s="1"/>
      <c r="F1691" s="1"/>
      <c r="G1691" s="1"/>
    </row>
    <row r="1692" spans="1:7" x14ac:dyDescent="0.25">
      <c r="A1692" s="1"/>
      <c r="B1692" s="2"/>
      <c r="C1692" s="2"/>
      <c r="D1692" s="1"/>
      <c r="F1692" s="1"/>
      <c r="G1692" s="1"/>
    </row>
    <row r="1693" spans="1:7" x14ac:dyDescent="0.25">
      <c r="A1693" s="1"/>
      <c r="B1693" s="2"/>
      <c r="C1693" s="2"/>
      <c r="D1693" s="1"/>
      <c r="F1693" s="1"/>
      <c r="G1693" s="1"/>
    </row>
    <row r="1694" spans="1:7" x14ac:dyDescent="0.25">
      <c r="A1694" s="1"/>
      <c r="B1694" s="2"/>
      <c r="C1694" s="2"/>
      <c r="D1694" s="1"/>
      <c r="F1694" s="1"/>
      <c r="G1694" s="1"/>
    </row>
    <row r="1695" spans="1:7" x14ac:dyDescent="0.25">
      <c r="A1695" s="1"/>
      <c r="B1695" s="2"/>
      <c r="C1695" s="2"/>
      <c r="D1695" s="1"/>
      <c r="F1695" s="1"/>
      <c r="G1695" s="1"/>
    </row>
    <row r="1696" spans="1:7" x14ac:dyDescent="0.25">
      <c r="A1696" s="1"/>
      <c r="B1696" s="2"/>
      <c r="C1696" s="2"/>
      <c r="D1696" s="1"/>
      <c r="F1696" s="1"/>
      <c r="G1696" s="1"/>
    </row>
    <row r="1697" spans="1:7" x14ac:dyDescent="0.25">
      <c r="A1697" s="1"/>
      <c r="B1697" s="2"/>
      <c r="C1697" s="2"/>
      <c r="D1697" s="1"/>
      <c r="F1697" s="1"/>
      <c r="G1697" s="1"/>
    </row>
    <row r="1698" spans="1:7" x14ac:dyDescent="0.25">
      <c r="A1698" s="1"/>
      <c r="B1698" s="2"/>
      <c r="C1698" s="2"/>
      <c r="D1698" s="1"/>
      <c r="F1698" s="1"/>
      <c r="G1698" s="1"/>
    </row>
    <row r="1699" spans="1:7" x14ac:dyDescent="0.25">
      <c r="A1699" s="1"/>
      <c r="B1699" s="2"/>
      <c r="C1699" s="2"/>
      <c r="D1699" s="1"/>
      <c r="F1699" s="1"/>
      <c r="G1699" s="1"/>
    </row>
    <row r="1700" spans="1:7" x14ac:dyDescent="0.25">
      <c r="A1700" s="1"/>
      <c r="B1700" s="2"/>
      <c r="C1700" s="2"/>
      <c r="D1700" s="1"/>
      <c r="F1700" s="1"/>
      <c r="G1700" s="1"/>
    </row>
    <row r="1701" spans="1:7" x14ac:dyDescent="0.25">
      <c r="A1701" s="1"/>
      <c r="B1701" s="2"/>
      <c r="C1701" s="2"/>
      <c r="D1701" s="1"/>
      <c r="F1701" s="1"/>
      <c r="G1701" s="1"/>
    </row>
    <row r="1702" spans="1:7" x14ac:dyDescent="0.25">
      <c r="A1702" s="1"/>
      <c r="B1702" s="2"/>
      <c r="C1702" s="2"/>
      <c r="D1702" s="1"/>
      <c r="F1702" s="1"/>
      <c r="G1702" s="1"/>
    </row>
    <row r="1703" spans="1:7" x14ac:dyDescent="0.25">
      <c r="A1703" s="1"/>
      <c r="B1703" s="2"/>
      <c r="C1703" s="2"/>
      <c r="D1703" s="1"/>
      <c r="F1703" s="1"/>
      <c r="G1703" s="1"/>
    </row>
    <row r="1704" spans="1:7" x14ac:dyDescent="0.25">
      <c r="A1704" s="1"/>
      <c r="B1704" s="2"/>
      <c r="C1704" s="2"/>
      <c r="D1704" s="1"/>
      <c r="F1704" s="1"/>
      <c r="G1704" s="1"/>
    </row>
    <row r="1705" spans="1:7" x14ac:dyDescent="0.25">
      <c r="A1705" s="1"/>
      <c r="B1705" s="2"/>
      <c r="C1705" s="2"/>
      <c r="D1705" s="1"/>
      <c r="F1705" s="1"/>
      <c r="G1705" s="1"/>
    </row>
    <row r="1706" spans="1:7" x14ac:dyDescent="0.25">
      <c r="A1706" s="1"/>
      <c r="B1706" s="2"/>
      <c r="C1706" s="2"/>
      <c r="D1706" s="1"/>
      <c r="F1706" s="1"/>
      <c r="G1706" s="1"/>
    </row>
    <row r="1707" spans="1:7" x14ac:dyDescent="0.25">
      <c r="A1707" s="1"/>
      <c r="B1707" s="2"/>
      <c r="C1707" s="2"/>
      <c r="D1707" s="1"/>
      <c r="F1707" s="1"/>
      <c r="G1707" s="1"/>
    </row>
    <row r="1708" spans="1:7" x14ac:dyDescent="0.25">
      <c r="A1708" s="1"/>
      <c r="B1708" s="2"/>
      <c r="C1708" s="2"/>
      <c r="D1708" s="1"/>
      <c r="F1708" s="1"/>
      <c r="G1708" s="1"/>
    </row>
    <row r="1709" spans="1:7" x14ac:dyDescent="0.25">
      <c r="A1709" s="1"/>
      <c r="B1709" s="2"/>
      <c r="C1709" s="2"/>
      <c r="D1709" s="1"/>
      <c r="F1709" s="1"/>
      <c r="G1709" s="1"/>
    </row>
    <row r="1710" spans="1:7" x14ac:dyDescent="0.25">
      <c r="A1710" s="1"/>
      <c r="B1710" s="2"/>
      <c r="C1710" s="2"/>
      <c r="D1710" s="1"/>
      <c r="F1710" s="1"/>
      <c r="G1710" s="1"/>
    </row>
    <row r="1711" spans="1:7" x14ac:dyDescent="0.25">
      <c r="A1711" s="1"/>
      <c r="B1711" s="2"/>
      <c r="C1711" s="2"/>
      <c r="D1711" s="1"/>
      <c r="F1711" s="1"/>
      <c r="G1711" s="1"/>
    </row>
    <row r="1712" spans="1:7" x14ac:dyDescent="0.25">
      <c r="A1712" s="1"/>
      <c r="B1712" s="2"/>
      <c r="C1712" s="2"/>
      <c r="D1712" s="1"/>
      <c r="F1712" s="1"/>
      <c r="G1712" s="1"/>
    </row>
    <row r="1713" spans="1:7" x14ac:dyDescent="0.25">
      <c r="A1713" s="1"/>
      <c r="B1713" s="2"/>
      <c r="C1713" s="2"/>
      <c r="D1713" s="1"/>
      <c r="F1713" s="1"/>
      <c r="G1713" s="1"/>
    </row>
    <row r="1714" spans="1:7" x14ac:dyDescent="0.25">
      <c r="A1714" s="1"/>
      <c r="B1714" s="2"/>
      <c r="C1714" s="2"/>
      <c r="D1714" s="1"/>
      <c r="F1714" s="1"/>
      <c r="G1714" s="1"/>
    </row>
    <row r="1715" spans="1:7" x14ac:dyDescent="0.25">
      <c r="A1715" s="1"/>
      <c r="B1715" s="2"/>
      <c r="C1715" s="2"/>
      <c r="D1715" s="1"/>
      <c r="F1715" s="1"/>
      <c r="G1715" s="1"/>
    </row>
    <row r="1716" spans="1:7" x14ac:dyDescent="0.25">
      <c r="A1716" s="1"/>
      <c r="B1716" s="2"/>
      <c r="C1716" s="2"/>
      <c r="D1716" s="1"/>
      <c r="F1716" s="1"/>
      <c r="G1716" s="1"/>
    </row>
    <row r="1717" spans="1:7" x14ac:dyDescent="0.25">
      <c r="A1717" s="1"/>
      <c r="B1717" s="2"/>
      <c r="C1717" s="2"/>
      <c r="D1717" s="1"/>
      <c r="F1717" s="1"/>
      <c r="G1717" s="1"/>
    </row>
    <row r="1718" spans="1:7" x14ac:dyDescent="0.25">
      <c r="A1718" s="1"/>
      <c r="B1718" s="2"/>
      <c r="C1718" s="2"/>
      <c r="D1718" s="1"/>
      <c r="F1718" s="1"/>
      <c r="G1718" s="1"/>
    </row>
    <row r="1719" spans="1:7" x14ac:dyDescent="0.25">
      <c r="A1719" s="1"/>
      <c r="B1719" s="2"/>
      <c r="C1719" s="2"/>
      <c r="D1719" s="1"/>
      <c r="F1719" s="1"/>
      <c r="G1719" s="1"/>
    </row>
    <row r="1720" spans="1:7" x14ac:dyDescent="0.25">
      <c r="A1720" s="1"/>
      <c r="B1720" s="2"/>
      <c r="C1720" s="2"/>
      <c r="D1720" s="1"/>
      <c r="F1720" s="1"/>
      <c r="G1720" s="1"/>
    </row>
    <row r="1721" spans="1:7" x14ac:dyDescent="0.25">
      <c r="A1721" s="1"/>
      <c r="B1721" s="2"/>
      <c r="C1721" s="2"/>
      <c r="D1721" s="1"/>
      <c r="F1721" s="1"/>
      <c r="G1721" s="1"/>
    </row>
    <row r="1722" spans="1:7" x14ac:dyDescent="0.25">
      <c r="A1722" s="1"/>
      <c r="B1722" s="2"/>
      <c r="C1722" s="2"/>
      <c r="D1722" s="1"/>
      <c r="F1722" s="1"/>
      <c r="G1722" s="1"/>
    </row>
    <row r="1723" spans="1:7" x14ac:dyDescent="0.25">
      <c r="A1723" s="1"/>
      <c r="B1723" s="2"/>
      <c r="C1723" s="2"/>
      <c r="D1723" s="1"/>
      <c r="F1723" s="1"/>
      <c r="G1723" s="1"/>
    </row>
    <row r="1724" spans="1:7" x14ac:dyDescent="0.25">
      <c r="A1724" s="1"/>
      <c r="B1724" s="2"/>
      <c r="C1724" s="2"/>
      <c r="D1724" s="1"/>
      <c r="F1724" s="1"/>
      <c r="G1724" s="1"/>
    </row>
    <row r="1725" spans="1:7" x14ac:dyDescent="0.25">
      <c r="A1725" s="1"/>
      <c r="B1725" s="2"/>
      <c r="C1725" s="2"/>
      <c r="D1725" s="1"/>
      <c r="F1725" s="1"/>
      <c r="G1725" s="1"/>
    </row>
    <row r="1726" spans="1:7" x14ac:dyDescent="0.25">
      <c r="A1726" s="1"/>
      <c r="B1726" s="2"/>
      <c r="C1726" s="2"/>
      <c r="D1726" s="1"/>
      <c r="F1726" s="1"/>
      <c r="G1726" s="1"/>
    </row>
    <row r="1727" spans="1:7" x14ac:dyDescent="0.25">
      <c r="A1727" s="1"/>
      <c r="B1727" s="2"/>
      <c r="C1727" s="2"/>
      <c r="D1727" s="1"/>
      <c r="F1727" s="1"/>
      <c r="G1727" s="1"/>
    </row>
    <row r="1728" spans="1:7" x14ac:dyDescent="0.25">
      <c r="A1728" s="1"/>
      <c r="B1728" s="2"/>
      <c r="C1728" s="2"/>
      <c r="D1728" s="1"/>
      <c r="F1728" s="1"/>
      <c r="G1728" s="1"/>
    </row>
    <row r="1729" spans="1:7" x14ac:dyDescent="0.25">
      <c r="A1729" s="1"/>
      <c r="B1729" s="2"/>
      <c r="C1729" s="2"/>
      <c r="D1729" s="1"/>
      <c r="F1729" s="1"/>
      <c r="G1729" s="1"/>
    </row>
    <row r="1730" spans="1:7" x14ac:dyDescent="0.25">
      <c r="A1730" s="1"/>
      <c r="B1730" s="2"/>
      <c r="C1730" s="2"/>
      <c r="D1730" s="1"/>
      <c r="F1730" s="1"/>
      <c r="G1730" s="1"/>
    </row>
    <row r="1731" spans="1:7" x14ac:dyDescent="0.25">
      <c r="A1731" s="1"/>
      <c r="B1731" s="2"/>
      <c r="C1731" s="2"/>
      <c r="D1731" s="1"/>
      <c r="F1731" s="1"/>
      <c r="G1731" s="1"/>
    </row>
    <row r="1732" spans="1:7" x14ac:dyDescent="0.25">
      <c r="A1732" s="1"/>
      <c r="B1732" s="2"/>
      <c r="C1732" s="2"/>
      <c r="D1732" s="1"/>
      <c r="F1732" s="1"/>
      <c r="G1732" s="1"/>
    </row>
    <row r="1733" spans="1:7" x14ac:dyDescent="0.25">
      <c r="A1733" s="1"/>
      <c r="B1733" s="2"/>
      <c r="C1733" s="2"/>
      <c r="D1733" s="1"/>
      <c r="F1733" s="1"/>
      <c r="G1733" s="1"/>
    </row>
    <row r="1734" spans="1:7" x14ac:dyDescent="0.25">
      <c r="A1734" s="1"/>
      <c r="B1734" s="2"/>
      <c r="C1734" s="2"/>
      <c r="D1734" s="1"/>
      <c r="F1734" s="1"/>
      <c r="G1734" s="1"/>
    </row>
    <row r="1735" spans="1:7" x14ac:dyDescent="0.25">
      <c r="A1735" s="1"/>
      <c r="B1735" s="2"/>
      <c r="C1735" s="2"/>
      <c r="D1735" s="1"/>
      <c r="F1735" s="1"/>
      <c r="G1735" s="1"/>
    </row>
    <row r="1736" spans="1:7" x14ac:dyDescent="0.25">
      <c r="A1736" s="1"/>
      <c r="B1736" s="2"/>
      <c r="C1736" s="2"/>
      <c r="D1736" s="1"/>
      <c r="F1736" s="1"/>
      <c r="G1736" s="1"/>
    </row>
    <row r="1737" spans="1:7" x14ac:dyDescent="0.25">
      <c r="A1737" s="1"/>
      <c r="B1737" s="2"/>
      <c r="C1737" s="2"/>
      <c r="D1737" s="1"/>
      <c r="F1737" s="1"/>
      <c r="G1737" s="1"/>
    </row>
    <row r="1738" spans="1:7" x14ac:dyDescent="0.25">
      <c r="A1738" s="1"/>
      <c r="B1738" s="2"/>
      <c r="C1738" s="2"/>
      <c r="D1738" s="1"/>
      <c r="F1738" s="1"/>
      <c r="G1738" s="1"/>
    </row>
    <row r="1739" spans="1:7" x14ac:dyDescent="0.25">
      <c r="A1739" s="1"/>
      <c r="B1739" s="2"/>
      <c r="C1739" s="2"/>
      <c r="D1739" s="1"/>
      <c r="F1739" s="1"/>
      <c r="G1739" s="1"/>
    </row>
    <row r="1740" spans="1:7" x14ac:dyDescent="0.25">
      <c r="A1740" s="1"/>
      <c r="B1740" s="2"/>
      <c r="C1740" s="2"/>
      <c r="D1740" s="1"/>
      <c r="F1740" s="1"/>
      <c r="G1740" s="1"/>
    </row>
    <row r="1741" spans="1:7" x14ac:dyDescent="0.25">
      <c r="A1741" s="1"/>
      <c r="B1741" s="2"/>
      <c r="C1741" s="2"/>
      <c r="D1741" s="1"/>
      <c r="F1741" s="1"/>
      <c r="G1741" s="1"/>
    </row>
    <row r="1742" spans="1:7" x14ac:dyDescent="0.25">
      <c r="A1742" s="1"/>
      <c r="B1742" s="2"/>
      <c r="C1742" s="2"/>
      <c r="D1742" s="1"/>
      <c r="F1742" s="1"/>
      <c r="G1742" s="1"/>
    </row>
    <row r="1743" spans="1:7" x14ac:dyDescent="0.25">
      <c r="A1743" s="1"/>
      <c r="B1743" s="2"/>
      <c r="C1743" s="2"/>
      <c r="D1743" s="1"/>
      <c r="F1743" s="1"/>
      <c r="G1743" s="1"/>
    </row>
    <row r="1744" spans="1:7" x14ac:dyDescent="0.25">
      <c r="A1744" s="1"/>
      <c r="B1744" s="2"/>
      <c r="C1744" s="2"/>
      <c r="D1744" s="1"/>
      <c r="F1744" s="1"/>
      <c r="G1744" s="1"/>
    </row>
    <row r="1745" spans="1:7" x14ac:dyDescent="0.25">
      <c r="A1745" s="1"/>
      <c r="B1745" s="2"/>
      <c r="C1745" s="2"/>
      <c r="D1745" s="1"/>
      <c r="F1745" s="1"/>
      <c r="G1745" s="1"/>
    </row>
    <row r="1746" spans="1:7" x14ac:dyDescent="0.25">
      <c r="A1746" s="1"/>
      <c r="B1746" s="2"/>
      <c r="C1746" s="2"/>
      <c r="D1746" s="1"/>
      <c r="F1746" s="1"/>
      <c r="G1746" s="1"/>
    </row>
    <row r="1747" spans="1:7" x14ac:dyDescent="0.25">
      <c r="A1747" s="1"/>
      <c r="B1747" s="2"/>
      <c r="C1747" s="2"/>
      <c r="D1747" s="1"/>
      <c r="F1747" s="1"/>
      <c r="G1747" s="1"/>
    </row>
    <row r="1748" spans="1:7" x14ac:dyDescent="0.25">
      <c r="A1748" s="1"/>
      <c r="B1748" s="2"/>
      <c r="C1748" s="2"/>
      <c r="D1748" s="1"/>
      <c r="F1748" s="1"/>
      <c r="G1748" s="1"/>
    </row>
    <row r="1749" spans="1:7" x14ac:dyDescent="0.25">
      <c r="A1749" s="1"/>
      <c r="B1749" s="2"/>
      <c r="C1749" s="2"/>
      <c r="D1749" s="1"/>
      <c r="F1749" s="1"/>
      <c r="G1749" s="1"/>
    </row>
    <row r="1750" spans="1:7" x14ac:dyDescent="0.25">
      <c r="A1750" s="1"/>
      <c r="B1750" s="2"/>
      <c r="C1750" s="2"/>
      <c r="D1750" s="1"/>
      <c r="F1750" s="1"/>
      <c r="G1750" s="1"/>
    </row>
    <row r="1751" spans="1:7" x14ac:dyDescent="0.25">
      <c r="A1751" s="1"/>
      <c r="B1751" s="2"/>
      <c r="C1751" s="2"/>
      <c r="D1751" s="1"/>
      <c r="F1751" s="1"/>
      <c r="G1751" s="1"/>
    </row>
    <row r="1752" spans="1:7" x14ac:dyDescent="0.25">
      <c r="A1752" s="1"/>
      <c r="B1752" s="2"/>
      <c r="C1752" s="2"/>
      <c r="D1752" s="1"/>
      <c r="F1752" s="1"/>
      <c r="G1752" s="1"/>
    </row>
    <row r="1753" spans="1:7" x14ac:dyDescent="0.25">
      <c r="A1753" s="1"/>
      <c r="B1753" s="2"/>
      <c r="C1753" s="2"/>
      <c r="D1753" s="1"/>
      <c r="F1753" s="1"/>
      <c r="G1753" s="1"/>
    </row>
    <row r="1754" spans="1:7" x14ac:dyDescent="0.25">
      <c r="A1754" s="1"/>
      <c r="B1754" s="2"/>
      <c r="C1754" s="2"/>
      <c r="D1754" s="1"/>
      <c r="F1754" s="1"/>
      <c r="G1754" s="1"/>
    </row>
    <row r="1755" spans="1:7" x14ac:dyDescent="0.25">
      <c r="A1755" s="1"/>
      <c r="B1755" s="2"/>
      <c r="C1755" s="2"/>
      <c r="D1755" s="1"/>
      <c r="F1755" s="1"/>
      <c r="G1755" s="1"/>
    </row>
    <row r="1756" spans="1:7" x14ac:dyDescent="0.25">
      <c r="A1756" s="1"/>
      <c r="B1756" s="2"/>
      <c r="C1756" s="2"/>
      <c r="D1756" s="1"/>
      <c r="F1756" s="1"/>
      <c r="G1756" s="1"/>
    </row>
    <row r="1757" spans="1:7" x14ac:dyDescent="0.25">
      <c r="A1757" s="1"/>
      <c r="B1757" s="2"/>
      <c r="C1757" s="2"/>
      <c r="D1757" s="1"/>
      <c r="F1757" s="1"/>
      <c r="G1757" s="1"/>
    </row>
    <row r="1758" spans="1:7" x14ac:dyDescent="0.25">
      <c r="A1758" s="1"/>
      <c r="B1758" s="2"/>
      <c r="C1758" s="2"/>
      <c r="D1758" s="1"/>
      <c r="F1758" s="1"/>
      <c r="G1758" s="1"/>
    </row>
    <row r="1759" spans="1:7" x14ac:dyDescent="0.25">
      <c r="A1759" s="1"/>
      <c r="B1759" s="2"/>
      <c r="C1759" s="2"/>
      <c r="D1759" s="1"/>
      <c r="F1759" s="1"/>
      <c r="G1759" s="1"/>
    </row>
    <row r="1760" spans="1:7" x14ac:dyDescent="0.25">
      <c r="A1760" s="1"/>
      <c r="B1760" s="2"/>
      <c r="C1760" s="2"/>
      <c r="D1760" s="1"/>
      <c r="F1760" s="1"/>
      <c r="G1760" s="1"/>
    </row>
    <row r="1761" spans="1:7" x14ac:dyDescent="0.25">
      <c r="A1761" s="1"/>
      <c r="B1761" s="2"/>
      <c r="C1761" s="2"/>
      <c r="D1761" s="1"/>
      <c r="F1761" s="1"/>
      <c r="G1761" s="1"/>
    </row>
    <row r="1762" spans="1:7" x14ac:dyDescent="0.25">
      <c r="A1762" s="1"/>
      <c r="B1762" s="2"/>
      <c r="C1762" s="2"/>
      <c r="D1762" s="1"/>
      <c r="F1762" s="1"/>
      <c r="G1762" s="1"/>
    </row>
    <row r="1763" spans="1:7" x14ac:dyDescent="0.25">
      <c r="A1763" s="1"/>
      <c r="B1763" s="2"/>
      <c r="C1763" s="2"/>
      <c r="D1763" s="1"/>
      <c r="F1763" s="1"/>
      <c r="G1763" s="1"/>
    </row>
    <row r="1764" spans="1:7" x14ac:dyDescent="0.25">
      <c r="A1764" s="1"/>
      <c r="B1764" s="2"/>
      <c r="C1764" s="2"/>
      <c r="D1764" s="1"/>
      <c r="F1764" s="1"/>
      <c r="G1764" s="1"/>
    </row>
    <row r="1765" spans="1:7" x14ac:dyDescent="0.25">
      <c r="A1765" s="1"/>
      <c r="B1765" s="2"/>
      <c r="C1765" s="2"/>
      <c r="D1765" s="1"/>
      <c r="F1765" s="1"/>
      <c r="G1765" s="1"/>
    </row>
    <row r="1766" spans="1:7" x14ac:dyDescent="0.25">
      <c r="A1766" s="1"/>
      <c r="B1766" s="2"/>
      <c r="C1766" s="2"/>
      <c r="D1766" s="1"/>
      <c r="F1766" s="1"/>
      <c r="G1766" s="1"/>
    </row>
    <row r="1767" spans="1:7" x14ac:dyDescent="0.25">
      <c r="A1767" s="1"/>
      <c r="B1767" s="2"/>
      <c r="C1767" s="2"/>
      <c r="D1767" s="1"/>
      <c r="F1767" s="1"/>
      <c r="G1767" s="1"/>
    </row>
    <row r="1768" spans="1:7" x14ac:dyDescent="0.25">
      <c r="A1768" s="1"/>
      <c r="B1768" s="2"/>
      <c r="C1768" s="2"/>
      <c r="D1768" s="1"/>
      <c r="F1768" s="1"/>
      <c r="G1768" s="1"/>
    </row>
    <row r="1769" spans="1:7" x14ac:dyDescent="0.25">
      <c r="A1769" s="1"/>
      <c r="B1769" s="2"/>
      <c r="C1769" s="2"/>
      <c r="D1769" s="1"/>
      <c r="F1769" s="1"/>
      <c r="G1769" s="1"/>
    </row>
    <row r="1770" spans="1:7" x14ac:dyDescent="0.25">
      <c r="A1770" s="1"/>
      <c r="B1770" s="2"/>
      <c r="C1770" s="2"/>
      <c r="D1770" s="1"/>
      <c r="F1770" s="1"/>
      <c r="G1770" s="1"/>
    </row>
    <row r="1771" spans="1:7" x14ac:dyDescent="0.25">
      <c r="A1771" s="1"/>
      <c r="B1771" s="2"/>
      <c r="C1771" s="2"/>
      <c r="D1771" s="1"/>
      <c r="F1771" s="1"/>
      <c r="G1771" s="1"/>
    </row>
    <row r="1772" spans="1:7" x14ac:dyDescent="0.25">
      <c r="A1772" s="1"/>
      <c r="B1772" s="2"/>
      <c r="C1772" s="2"/>
      <c r="D1772" s="1"/>
      <c r="F1772" s="1"/>
      <c r="G1772" s="1"/>
    </row>
    <row r="1773" spans="1:7" x14ac:dyDescent="0.25">
      <c r="A1773" s="1"/>
      <c r="B1773" s="2"/>
      <c r="C1773" s="2"/>
      <c r="D1773" s="1"/>
      <c r="F1773" s="1"/>
      <c r="G1773" s="1"/>
    </row>
    <row r="1774" spans="1:7" x14ac:dyDescent="0.25">
      <c r="A1774" s="1"/>
      <c r="B1774" s="2"/>
      <c r="C1774" s="2"/>
      <c r="D1774" s="1"/>
      <c r="F1774" s="1"/>
      <c r="G1774" s="1"/>
    </row>
    <row r="1775" spans="1:7" x14ac:dyDescent="0.25">
      <c r="A1775" s="1"/>
      <c r="B1775" s="2"/>
      <c r="C1775" s="2"/>
      <c r="D1775" s="1"/>
      <c r="F1775" s="1"/>
      <c r="G1775" s="1"/>
    </row>
    <row r="1776" spans="1:7" x14ac:dyDescent="0.25">
      <c r="A1776" s="1"/>
      <c r="B1776" s="2"/>
      <c r="C1776" s="2"/>
      <c r="D1776" s="1"/>
      <c r="F1776" s="1"/>
      <c r="G1776" s="1"/>
    </row>
    <row r="1777" spans="1:7" x14ac:dyDescent="0.25">
      <c r="A1777" s="1"/>
      <c r="B1777" s="2"/>
      <c r="C1777" s="2"/>
      <c r="D1777" s="1"/>
      <c r="F1777" s="1"/>
      <c r="G1777" s="1"/>
    </row>
    <row r="1778" spans="1:7" x14ac:dyDescent="0.25">
      <c r="A1778" s="1"/>
      <c r="B1778" s="2"/>
      <c r="C1778" s="2"/>
      <c r="D1778" s="1"/>
      <c r="F1778" s="1"/>
      <c r="G1778" s="1"/>
    </row>
    <row r="1779" spans="1:7" x14ac:dyDescent="0.25">
      <c r="A1779" s="1"/>
      <c r="B1779" s="2"/>
      <c r="C1779" s="2"/>
      <c r="D1779" s="1"/>
      <c r="F1779" s="1"/>
      <c r="G1779" s="1"/>
    </row>
    <row r="1780" spans="1:7" x14ac:dyDescent="0.25">
      <c r="A1780" s="1"/>
      <c r="B1780" s="2"/>
      <c r="C1780" s="2"/>
      <c r="D1780" s="1"/>
      <c r="F1780" s="1"/>
      <c r="G1780" s="1"/>
    </row>
    <row r="1781" spans="1:7" x14ac:dyDescent="0.25">
      <c r="A1781" s="1"/>
      <c r="B1781" s="2"/>
      <c r="C1781" s="2"/>
      <c r="D1781" s="1"/>
      <c r="F1781" s="1"/>
      <c r="G1781" s="1"/>
    </row>
    <row r="1782" spans="1:7" x14ac:dyDescent="0.25">
      <c r="A1782" s="1"/>
      <c r="B1782" s="2"/>
      <c r="C1782" s="2"/>
      <c r="D1782" s="1"/>
      <c r="F1782" s="1"/>
      <c r="G1782" s="1"/>
    </row>
    <row r="1783" spans="1:7" x14ac:dyDescent="0.25">
      <c r="A1783" s="1"/>
      <c r="B1783" s="2"/>
      <c r="C1783" s="2"/>
      <c r="D1783" s="1"/>
      <c r="F1783" s="1"/>
      <c r="G1783" s="1"/>
    </row>
    <row r="1784" spans="1:7" x14ac:dyDescent="0.25">
      <c r="A1784" s="1"/>
      <c r="B1784" s="2"/>
      <c r="C1784" s="2"/>
      <c r="D1784" s="1"/>
      <c r="F1784" s="1"/>
      <c r="G1784" s="1"/>
    </row>
    <row r="1785" spans="1:7" x14ac:dyDescent="0.25">
      <c r="A1785" s="1"/>
      <c r="B1785" s="2"/>
      <c r="C1785" s="2"/>
      <c r="D1785" s="1"/>
      <c r="F1785" s="1"/>
      <c r="G1785" s="1"/>
    </row>
    <row r="1786" spans="1:7" x14ac:dyDescent="0.25">
      <c r="A1786" s="1"/>
      <c r="B1786" s="2"/>
      <c r="C1786" s="2"/>
      <c r="D1786" s="1"/>
      <c r="F1786" s="1"/>
      <c r="G1786" s="1"/>
    </row>
    <row r="1787" spans="1:7" x14ac:dyDescent="0.25">
      <c r="A1787" s="1"/>
      <c r="B1787" s="2"/>
      <c r="C1787" s="2"/>
      <c r="D1787" s="1"/>
      <c r="F1787" s="1"/>
      <c r="G1787" s="1"/>
    </row>
    <row r="1788" spans="1:7" x14ac:dyDescent="0.25">
      <c r="A1788" s="1"/>
      <c r="B1788" s="2"/>
      <c r="C1788" s="2"/>
      <c r="D1788" s="1"/>
      <c r="F1788" s="1"/>
      <c r="G1788" s="1"/>
    </row>
    <row r="1789" spans="1:7" x14ac:dyDescent="0.25">
      <c r="A1789" s="1"/>
      <c r="B1789" s="2"/>
      <c r="C1789" s="2"/>
      <c r="D1789" s="1"/>
      <c r="F1789" s="1"/>
      <c r="G1789" s="1"/>
    </row>
    <row r="1790" spans="1:7" x14ac:dyDescent="0.25">
      <c r="A1790" s="1"/>
      <c r="B1790" s="2"/>
      <c r="C1790" s="2"/>
      <c r="D1790" s="1"/>
      <c r="F1790" s="1"/>
      <c r="G1790" s="1"/>
    </row>
    <row r="1791" spans="1:7" x14ac:dyDescent="0.25">
      <c r="A1791" s="1"/>
      <c r="B1791" s="2"/>
      <c r="C1791" s="2"/>
      <c r="D1791" s="1"/>
      <c r="F1791" s="1"/>
      <c r="G1791" s="1"/>
    </row>
    <row r="1792" spans="1:7" x14ac:dyDescent="0.25">
      <c r="A1792" s="1"/>
      <c r="B1792" s="2"/>
      <c r="C1792" s="2"/>
      <c r="D1792" s="1"/>
      <c r="F1792" s="1"/>
      <c r="G1792" s="1"/>
    </row>
    <row r="1793" spans="1:7" x14ac:dyDescent="0.25">
      <c r="A1793" s="1"/>
      <c r="B1793" s="2"/>
      <c r="C1793" s="2"/>
      <c r="D1793" s="1"/>
      <c r="F1793" s="1"/>
      <c r="G1793" s="1"/>
    </row>
    <row r="1794" spans="1:7" x14ac:dyDescent="0.25">
      <c r="A1794" s="1"/>
      <c r="B1794" s="2"/>
      <c r="C1794" s="2"/>
      <c r="D1794" s="1"/>
      <c r="F1794" s="1"/>
      <c r="G1794" s="1"/>
    </row>
    <row r="1795" spans="1:7" x14ac:dyDescent="0.25">
      <c r="A1795" s="1"/>
      <c r="B1795" s="2"/>
      <c r="C1795" s="2"/>
      <c r="D1795" s="1"/>
      <c r="F1795" s="1"/>
      <c r="G1795" s="1"/>
    </row>
    <row r="1796" spans="1:7" x14ac:dyDescent="0.25">
      <c r="A1796" s="1"/>
      <c r="B1796" s="2"/>
      <c r="C1796" s="2"/>
      <c r="D1796" s="1"/>
      <c r="F1796" s="1"/>
      <c r="G1796" s="1"/>
    </row>
    <row r="1797" spans="1:7" x14ac:dyDescent="0.25">
      <c r="A1797" s="1"/>
      <c r="B1797" s="2"/>
      <c r="C1797" s="2"/>
      <c r="D1797" s="1"/>
      <c r="F1797" s="1"/>
      <c r="G1797" s="1"/>
    </row>
    <row r="1798" spans="1:7" x14ac:dyDescent="0.25">
      <c r="A1798" s="1"/>
      <c r="B1798" s="2"/>
      <c r="C1798" s="2"/>
      <c r="D1798" s="1"/>
      <c r="F1798" s="1"/>
      <c r="G1798" s="1"/>
    </row>
    <row r="1799" spans="1:7" x14ac:dyDescent="0.25">
      <c r="A1799" s="1"/>
      <c r="B1799" s="2"/>
      <c r="C1799" s="2"/>
      <c r="D1799" s="1"/>
      <c r="F1799" s="1"/>
      <c r="G1799" s="1"/>
    </row>
    <row r="1800" spans="1:7" x14ac:dyDescent="0.25">
      <c r="A1800" s="1"/>
      <c r="B1800" s="2"/>
      <c r="C1800" s="2"/>
      <c r="D1800" s="1"/>
      <c r="F1800" s="1"/>
      <c r="G1800" s="1"/>
    </row>
    <row r="1801" spans="1:7" x14ac:dyDescent="0.25">
      <c r="A1801" s="1"/>
      <c r="B1801" s="2"/>
      <c r="C1801" s="2"/>
      <c r="D1801" s="1"/>
      <c r="F1801" s="1"/>
      <c r="G1801" s="1"/>
    </row>
    <row r="1802" spans="1:7" x14ac:dyDescent="0.25">
      <c r="A1802" s="1"/>
      <c r="B1802" s="2"/>
      <c r="C1802" s="2"/>
      <c r="D1802" s="1"/>
      <c r="F1802" s="1"/>
      <c r="G1802" s="1"/>
    </row>
    <row r="1803" spans="1:7" x14ac:dyDescent="0.25">
      <c r="A1803" s="1"/>
      <c r="B1803" s="2"/>
      <c r="C1803" s="2"/>
      <c r="D1803" s="1"/>
      <c r="F1803" s="1"/>
      <c r="G1803" s="1"/>
    </row>
    <row r="1804" spans="1:7" x14ac:dyDescent="0.25">
      <c r="A1804" s="1"/>
      <c r="B1804" s="2"/>
      <c r="C1804" s="2"/>
      <c r="D1804" s="1"/>
      <c r="F1804" s="1"/>
      <c r="G1804" s="1"/>
    </row>
    <row r="1805" spans="1:7" x14ac:dyDescent="0.25">
      <c r="A1805" s="1"/>
      <c r="B1805" s="2"/>
      <c r="C1805" s="2"/>
      <c r="D1805" s="1"/>
      <c r="F1805" s="1"/>
      <c r="G1805" s="1"/>
    </row>
    <row r="1806" spans="1:7" x14ac:dyDescent="0.25">
      <c r="A1806" s="1"/>
      <c r="B1806" s="2"/>
      <c r="C1806" s="2"/>
      <c r="D1806" s="1"/>
      <c r="F1806" s="1"/>
      <c r="G1806" s="1"/>
    </row>
    <row r="1807" spans="1:7" x14ac:dyDescent="0.25">
      <c r="A1807" s="1"/>
      <c r="B1807" s="2"/>
      <c r="C1807" s="2"/>
      <c r="D1807" s="1"/>
      <c r="F1807" s="1"/>
      <c r="G1807" s="1"/>
    </row>
    <row r="1808" spans="1:7" x14ac:dyDescent="0.25">
      <c r="A1808" s="1"/>
      <c r="B1808" s="2"/>
      <c r="C1808" s="2"/>
      <c r="D1808" s="1"/>
      <c r="F1808" s="1"/>
      <c r="G1808" s="1"/>
    </row>
    <row r="1809" spans="1:7" x14ac:dyDescent="0.25">
      <c r="A1809" s="1"/>
      <c r="B1809" s="2"/>
      <c r="C1809" s="2"/>
      <c r="D1809" s="1"/>
      <c r="F1809" s="1"/>
      <c r="G1809" s="1"/>
    </row>
    <row r="1810" spans="1:7" x14ac:dyDescent="0.25">
      <c r="A1810" s="1"/>
      <c r="B1810" s="2"/>
      <c r="C1810" s="2"/>
      <c r="D1810" s="1"/>
      <c r="F1810" s="1"/>
      <c r="G1810" s="1"/>
    </row>
    <row r="1811" spans="1:7" x14ac:dyDescent="0.25">
      <c r="A1811" s="1"/>
      <c r="B1811" s="2"/>
      <c r="C1811" s="2"/>
      <c r="D1811" s="1"/>
      <c r="F1811" s="1"/>
      <c r="G1811" s="1"/>
    </row>
    <row r="1812" spans="1:7" x14ac:dyDescent="0.25">
      <c r="A1812" s="1"/>
      <c r="B1812" s="2"/>
      <c r="C1812" s="2"/>
      <c r="D1812" s="1"/>
      <c r="F1812" s="1"/>
      <c r="G1812" s="1"/>
    </row>
    <row r="1813" spans="1:7" x14ac:dyDescent="0.25">
      <c r="A1813" s="1"/>
      <c r="B1813" s="2"/>
      <c r="C1813" s="2"/>
      <c r="D1813" s="1"/>
      <c r="F1813" s="1"/>
      <c r="G1813" s="1"/>
    </row>
    <row r="1814" spans="1:7" x14ac:dyDescent="0.25">
      <c r="A1814" s="1"/>
      <c r="B1814" s="2"/>
      <c r="C1814" s="2"/>
      <c r="D1814" s="1"/>
      <c r="F1814" s="1"/>
      <c r="G1814" s="1"/>
    </row>
    <row r="1815" spans="1:7" x14ac:dyDescent="0.25">
      <c r="A1815" s="1"/>
      <c r="B1815" s="2"/>
      <c r="C1815" s="2"/>
      <c r="D1815" s="1"/>
      <c r="F1815" s="1"/>
      <c r="G1815" s="1"/>
    </row>
    <row r="1816" spans="1:7" x14ac:dyDescent="0.25">
      <c r="A1816" s="1"/>
      <c r="B1816" s="2"/>
      <c r="C1816" s="2"/>
      <c r="D1816" s="1"/>
      <c r="F1816" s="1"/>
      <c r="G1816" s="1"/>
    </row>
    <row r="1817" spans="1:7" x14ac:dyDescent="0.25">
      <c r="A1817" s="1"/>
      <c r="B1817" s="2"/>
      <c r="C1817" s="2"/>
      <c r="D1817" s="1"/>
      <c r="F1817" s="1"/>
      <c r="G1817" s="1"/>
    </row>
    <row r="1818" spans="1:7" x14ac:dyDescent="0.25">
      <c r="A1818" s="1"/>
      <c r="B1818" s="2"/>
      <c r="C1818" s="2"/>
      <c r="D1818" s="1"/>
      <c r="F1818" s="1"/>
      <c r="G1818" s="1"/>
    </row>
    <row r="1819" spans="1:7" x14ac:dyDescent="0.25">
      <c r="A1819" s="1"/>
      <c r="B1819" s="2"/>
      <c r="C1819" s="2"/>
      <c r="D1819" s="1"/>
      <c r="F1819" s="1"/>
      <c r="G1819" s="1"/>
    </row>
    <row r="1820" spans="1:7" x14ac:dyDescent="0.25">
      <c r="A1820" s="1"/>
      <c r="B1820" s="2"/>
      <c r="C1820" s="2"/>
      <c r="D1820" s="1"/>
      <c r="F1820" s="1"/>
      <c r="G1820" s="1"/>
    </row>
    <row r="1821" spans="1:7" x14ac:dyDescent="0.25">
      <c r="A1821" s="1"/>
      <c r="B1821" s="2"/>
      <c r="C1821" s="2"/>
      <c r="D1821" s="1"/>
      <c r="F1821" s="1"/>
      <c r="G1821" s="1"/>
    </row>
    <row r="1822" spans="1:7" x14ac:dyDescent="0.25">
      <c r="A1822" s="1"/>
      <c r="B1822" s="2"/>
      <c r="C1822" s="2"/>
      <c r="D1822" s="1"/>
      <c r="F1822" s="1"/>
      <c r="G1822" s="1"/>
    </row>
    <row r="1823" spans="1:7" x14ac:dyDescent="0.25">
      <c r="A1823" s="1"/>
      <c r="B1823" s="2"/>
      <c r="C1823" s="2"/>
      <c r="D1823" s="1"/>
      <c r="F1823" s="1"/>
      <c r="G1823" s="1"/>
    </row>
    <row r="1824" spans="1:7" x14ac:dyDescent="0.25">
      <c r="A1824" s="1"/>
      <c r="B1824" s="2"/>
      <c r="C1824" s="2"/>
      <c r="D1824" s="1"/>
      <c r="F1824" s="1"/>
      <c r="G1824" s="1"/>
    </row>
    <row r="1825" spans="1:7" x14ac:dyDescent="0.25">
      <c r="A1825" s="1"/>
      <c r="B1825" s="2"/>
      <c r="C1825" s="2"/>
      <c r="D1825" s="1"/>
      <c r="F1825" s="1"/>
      <c r="G1825" s="1"/>
    </row>
    <row r="1826" spans="1:7" x14ac:dyDescent="0.25">
      <c r="A1826" s="1"/>
      <c r="B1826" s="2"/>
      <c r="C1826" s="2"/>
      <c r="D1826" s="1"/>
      <c r="F1826" s="1"/>
      <c r="G1826" s="1"/>
    </row>
    <row r="1827" spans="1:7" x14ac:dyDescent="0.25">
      <c r="A1827" s="1"/>
      <c r="B1827" s="2"/>
      <c r="C1827" s="2"/>
      <c r="D1827" s="1"/>
      <c r="F1827" s="1"/>
      <c r="G1827" s="1"/>
    </row>
    <row r="1828" spans="1:7" x14ac:dyDescent="0.25">
      <c r="A1828" s="1"/>
      <c r="B1828" s="2"/>
      <c r="C1828" s="2"/>
      <c r="D1828" s="1"/>
      <c r="F1828" s="1"/>
      <c r="G1828" s="1"/>
    </row>
    <row r="1829" spans="1:7" x14ac:dyDescent="0.25">
      <c r="A1829" s="1"/>
      <c r="B1829" s="2"/>
      <c r="C1829" s="2"/>
      <c r="D1829" s="1"/>
      <c r="F1829" s="1"/>
      <c r="G1829" s="1"/>
    </row>
    <row r="1830" spans="1:7" x14ac:dyDescent="0.25">
      <c r="A1830" s="1"/>
      <c r="B1830" s="2"/>
      <c r="C1830" s="2"/>
      <c r="D1830" s="1"/>
      <c r="F1830" s="1"/>
      <c r="G1830" s="1"/>
    </row>
    <row r="1831" spans="1:7" x14ac:dyDescent="0.25">
      <c r="A1831" s="1"/>
      <c r="B1831" s="2"/>
      <c r="C1831" s="2"/>
      <c r="D1831" s="1"/>
      <c r="F1831" s="1"/>
      <c r="G1831" s="1"/>
    </row>
    <row r="1832" spans="1:7" x14ac:dyDescent="0.25">
      <c r="A1832" s="1"/>
      <c r="B1832" s="2"/>
      <c r="C1832" s="2"/>
      <c r="D1832" s="1"/>
      <c r="F1832" s="1"/>
      <c r="G1832" s="1"/>
    </row>
    <row r="1833" spans="1:7" x14ac:dyDescent="0.25">
      <c r="A1833" s="1"/>
      <c r="B1833" s="2"/>
      <c r="C1833" s="2"/>
      <c r="D1833" s="1"/>
      <c r="F1833" s="1"/>
      <c r="G1833" s="1"/>
    </row>
    <row r="1834" spans="1:7" x14ac:dyDescent="0.25">
      <c r="A1834" s="1"/>
      <c r="B1834" s="2"/>
      <c r="C1834" s="2"/>
      <c r="D1834" s="1"/>
      <c r="F1834" s="1"/>
      <c r="G1834" s="1"/>
    </row>
    <row r="1835" spans="1:7" x14ac:dyDescent="0.25">
      <c r="A1835" s="1"/>
      <c r="B1835" s="2"/>
      <c r="C1835" s="2"/>
      <c r="D1835" s="1"/>
      <c r="F1835" s="1"/>
      <c r="G1835" s="1"/>
    </row>
    <row r="1836" spans="1:7" x14ac:dyDescent="0.25">
      <c r="A1836" s="1"/>
      <c r="B1836" s="2"/>
      <c r="C1836" s="2"/>
      <c r="D1836" s="1"/>
      <c r="F1836" s="1"/>
      <c r="G1836" s="1"/>
    </row>
    <row r="1837" spans="1:7" x14ac:dyDescent="0.25">
      <c r="A1837" s="1"/>
      <c r="B1837" s="2"/>
      <c r="C1837" s="2"/>
      <c r="D1837" s="1"/>
      <c r="F1837" s="1"/>
      <c r="G1837" s="1"/>
    </row>
    <row r="1838" spans="1:7" x14ac:dyDescent="0.25">
      <c r="A1838" s="1"/>
      <c r="B1838" s="2"/>
      <c r="C1838" s="2"/>
      <c r="D1838" s="1"/>
      <c r="F1838" s="1"/>
      <c r="G1838" s="1"/>
    </row>
    <row r="1839" spans="1:7" x14ac:dyDescent="0.25">
      <c r="A1839" s="1"/>
      <c r="B1839" s="2"/>
      <c r="C1839" s="2"/>
      <c r="D1839" s="1"/>
      <c r="F1839" s="1"/>
      <c r="G1839" s="1"/>
    </row>
    <row r="1840" spans="1:7" x14ac:dyDescent="0.25">
      <c r="A1840" s="1"/>
      <c r="B1840" s="2"/>
      <c r="C1840" s="2"/>
      <c r="D1840" s="1"/>
      <c r="F1840" s="1"/>
      <c r="G1840" s="1"/>
    </row>
    <row r="1841" spans="1:7" x14ac:dyDescent="0.25">
      <c r="A1841" s="1"/>
      <c r="B1841" s="2"/>
      <c r="C1841" s="2"/>
      <c r="D1841" s="1"/>
      <c r="F1841" s="1"/>
      <c r="G1841" s="1"/>
    </row>
    <row r="1842" spans="1:7" x14ac:dyDescent="0.25">
      <c r="A1842" s="1"/>
      <c r="B1842" s="2"/>
      <c r="C1842" s="2"/>
      <c r="D1842" s="1"/>
      <c r="F1842" s="1"/>
      <c r="G1842" s="1"/>
    </row>
    <row r="1843" spans="1:7" x14ac:dyDescent="0.25">
      <c r="A1843" s="1"/>
      <c r="B1843" s="2"/>
      <c r="C1843" s="2"/>
      <c r="D1843" s="1"/>
      <c r="F1843" s="1"/>
      <c r="G1843" s="1"/>
    </row>
    <row r="1844" spans="1:7" x14ac:dyDescent="0.25">
      <c r="A1844" s="1"/>
      <c r="B1844" s="2"/>
      <c r="C1844" s="2"/>
      <c r="D1844" s="1"/>
      <c r="F1844" s="1"/>
      <c r="G1844" s="1"/>
    </row>
    <row r="1845" spans="1:7" x14ac:dyDescent="0.25">
      <c r="A1845" s="1"/>
      <c r="B1845" s="2"/>
      <c r="C1845" s="2"/>
      <c r="D1845" s="1"/>
      <c r="F1845" s="1"/>
      <c r="G1845" s="1"/>
    </row>
    <row r="1846" spans="1:7" x14ac:dyDescent="0.25">
      <c r="A1846" s="1"/>
      <c r="B1846" s="2"/>
      <c r="C1846" s="2"/>
      <c r="D1846" s="1"/>
      <c r="F1846" s="1"/>
      <c r="G1846" s="1"/>
    </row>
    <row r="1847" spans="1:7" x14ac:dyDescent="0.25">
      <c r="A1847" s="1"/>
      <c r="B1847" s="2"/>
      <c r="C1847" s="2"/>
      <c r="D1847" s="1"/>
      <c r="F1847" s="1"/>
      <c r="G1847" s="1"/>
    </row>
    <row r="1848" spans="1:7" x14ac:dyDescent="0.25">
      <c r="A1848" s="1"/>
      <c r="B1848" s="2"/>
      <c r="C1848" s="2"/>
      <c r="D1848" s="1"/>
      <c r="F1848" s="1"/>
      <c r="G1848" s="1"/>
    </row>
    <row r="1849" spans="1:7" x14ac:dyDescent="0.25">
      <c r="A1849" s="1"/>
      <c r="B1849" s="2"/>
      <c r="C1849" s="2"/>
      <c r="D1849" s="1"/>
      <c r="F1849" s="1"/>
      <c r="G1849" s="1"/>
    </row>
    <row r="1850" spans="1:7" x14ac:dyDescent="0.25">
      <c r="A1850" s="1"/>
      <c r="B1850" s="2"/>
      <c r="C1850" s="2"/>
      <c r="D1850" s="1"/>
      <c r="F1850" s="1"/>
      <c r="G1850" s="1"/>
    </row>
    <row r="1851" spans="1:7" x14ac:dyDescent="0.25">
      <c r="A1851" s="1"/>
      <c r="B1851" s="2"/>
      <c r="C1851" s="2"/>
      <c r="D1851" s="1"/>
      <c r="F1851" s="1"/>
      <c r="G1851" s="1"/>
    </row>
    <row r="1852" spans="1:7" x14ac:dyDescent="0.25">
      <c r="A1852" s="1"/>
      <c r="B1852" s="2"/>
      <c r="C1852" s="2"/>
      <c r="D1852" s="1"/>
      <c r="F1852" s="1"/>
      <c r="G1852" s="1"/>
    </row>
    <row r="1853" spans="1:7" x14ac:dyDescent="0.25">
      <c r="A1853" s="1"/>
      <c r="B1853" s="2"/>
      <c r="C1853" s="2"/>
      <c r="D1853" s="1"/>
      <c r="F1853" s="1"/>
      <c r="G1853" s="1"/>
    </row>
    <row r="1854" spans="1:7" x14ac:dyDescent="0.25">
      <c r="A1854" s="1"/>
      <c r="B1854" s="2"/>
      <c r="C1854" s="2"/>
      <c r="D1854" s="1"/>
      <c r="F1854" s="1"/>
      <c r="G1854" s="1"/>
    </row>
    <row r="1855" spans="1:7" x14ac:dyDescent="0.25">
      <c r="A1855" s="1"/>
      <c r="B1855" s="2"/>
      <c r="C1855" s="2"/>
      <c r="D1855" s="1"/>
      <c r="F1855" s="1"/>
      <c r="G1855" s="1"/>
    </row>
    <row r="1856" spans="1:7" x14ac:dyDescent="0.25">
      <c r="A1856" s="1"/>
      <c r="B1856" s="2"/>
      <c r="C1856" s="2"/>
      <c r="D1856" s="1"/>
      <c r="F1856" s="1"/>
      <c r="G1856" s="1"/>
    </row>
    <row r="1857" spans="1:7" x14ac:dyDescent="0.25">
      <c r="A1857" s="1"/>
      <c r="B1857" s="2"/>
      <c r="C1857" s="2"/>
      <c r="D1857" s="1"/>
      <c r="F1857" s="1"/>
      <c r="G1857" s="1"/>
    </row>
    <row r="1858" spans="1:7" x14ac:dyDescent="0.25">
      <c r="A1858" s="1"/>
      <c r="B1858" s="2"/>
      <c r="C1858" s="2"/>
      <c r="D1858" s="1"/>
      <c r="F1858" s="1"/>
      <c r="G1858" s="1"/>
    </row>
    <row r="1859" spans="1:7" x14ac:dyDescent="0.25">
      <c r="A1859" s="1"/>
      <c r="B1859" s="2"/>
      <c r="C1859" s="2"/>
      <c r="D1859" s="1"/>
      <c r="F1859" s="1"/>
      <c r="G1859" s="1"/>
    </row>
    <row r="1860" spans="1:7" x14ac:dyDescent="0.25">
      <c r="A1860" s="1"/>
      <c r="B1860" s="2"/>
      <c r="C1860" s="2"/>
      <c r="D1860" s="1"/>
      <c r="F1860" s="1"/>
      <c r="G1860" s="1"/>
    </row>
    <row r="1861" spans="1:7" x14ac:dyDescent="0.25">
      <c r="A1861" s="1"/>
      <c r="B1861" s="2"/>
      <c r="C1861" s="2"/>
      <c r="D1861" s="1"/>
      <c r="F1861" s="1"/>
      <c r="G1861" s="1"/>
    </row>
    <row r="1862" spans="1:7" x14ac:dyDescent="0.25">
      <c r="A1862" s="1"/>
      <c r="B1862" s="2"/>
      <c r="C1862" s="2"/>
      <c r="D1862" s="1"/>
      <c r="F1862" s="1"/>
      <c r="G1862" s="1"/>
    </row>
    <row r="1863" spans="1:7" x14ac:dyDescent="0.25">
      <c r="A1863" s="1"/>
      <c r="B1863" s="2"/>
      <c r="C1863" s="2"/>
      <c r="D1863" s="1"/>
      <c r="F1863" s="1"/>
      <c r="G1863" s="1"/>
    </row>
    <row r="1864" spans="1:7" x14ac:dyDescent="0.25">
      <c r="A1864" s="1"/>
      <c r="B1864" s="2"/>
      <c r="C1864" s="2"/>
      <c r="D1864" s="1"/>
      <c r="F1864" s="1"/>
      <c r="G1864" s="1"/>
    </row>
    <row r="1865" spans="1:7" x14ac:dyDescent="0.25">
      <c r="A1865" s="1"/>
      <c r="B1865" s="2"/>
      <c r="C1865" s="2"/>
      <c r="D1865" s="1"/>
      <c r="F1865" s="1"/>
      <c r="G1865" s="1"/>
    </row>
    <row r="1866" spans="1:7" x14ac:dyDescent="0.25">
      <c r="A1866" s="1"/>
      <c r="B1866" s="2"/>
      <c r="C1866" s="2"/>
      <c r="D1866" s="1"/>
      <c r="F1866" s="1"/>
      <c r="G1866" s="1"/>
    </row>
    <row r="1867" spans="1:7" x14ac:dyDescent="0.25">
      <c r="A1867" s="1"/>
      <c r="B1867" s="2"/>
      <c r="C1867" s="2"/>
      <c r="D1867" s="1"/>
      <c r="F1867" s="1"/>
      <c r="G1867" s="1"/>
    </row>
    <row r="1868" spans="1:7" x14ac:dyDescent="0.25">
      <c r="A1868" s="1"/>
      <c r="B1868" s="2"/>
      <c r="C1868" s="2"/>
      <c r="D1868" s="1"/>
      <c r="F1868" s="1"/>
      <c r="G1868" s="1"/>
    </row>
    <row r="1869" spans="1:7" x14ac:dyDescent="0.25">
      <c r="A1869" s="1"/>
      <c r="B1869" s="2"/>
      <c r="C1869" s="2"/>
      <c r="D1869" s="1"/>
      <c r="F1869" s="1"/>
      <c r="G1869" s="1"/>
    </row>
    <row r="1870" spans="1:7" x14ac:dyDescent="0.25">
      <c r="A1870" s="1"/>
      <c r="B1870" s="2"/>
      <c r="C1870" s="2"/>
      <c r="D1870" s="1"/>
      <c r="F1870" s="1"/>
      <c r="G1870" s="1"/>
    </row>
    <row r="1871" spans="1:7" x14ac:dyDescent="0.25">
      <c r="A1871" s="1"/>
      <c r="B1871" s="2"/>
      <c r="C1871" s="2"/>
      <c r="D1871" s="1"/>
      <c r="F1871" s="1"/>
      <c r="G1871" s="1"/>
    </row>
    <row r="1872" spans="1:7" x14ac:dyDescent="0.25">
      <c r="A1872" s="1"/>
      <c r="B1872" s="2"/>
      <c r="C1872" s="2"/>
      <c r="D1872" s="1"/>
      <c r="F1872" s="1"/>
      <c r="G1872" s="1"/>
    </row>
    <row r="1873" spans="1:7" x14ac:dyDescent="0.25">
      <c r="A1873" s="1"/>
      <c r="B1873" s="2"/>
      <c r="C1873" s="2"/>
      <c r="D1873" s="1"/>
      <c r="F1873" s="1"/>
      <c r="G1873" s="1"/>
    </row>
    <row r="1874" spans="1:7" x14ac:dyDescent="0.25">
      <c r="A1874" s="1"/>
      <c r="B1874" s="2"/>
      <c r="C1874" s="2"/>
      <c r="D1874" s="1"/>
      <c r="F1874" s="1"/>
      <c r="G1874" s="1"/>
    </row>
    <row r="1875" spans="1:7" x14ac:dyDescent="0.25">
      <c r="A1875" s="1"/>
      <c r="B1875" s="2"/>
      <c r="C1875" s="2"/>
      <c r="D1875" s="1"/>
      <c r="F1875" s="1"/>
      <c r="G1875" s="1"/>
    </row>
    <row r="1876" spans="1:7" x14ac:dyDescent="0.25">
      <c r="A1876" s="1"/>
      <c r="B1876" s="2"/>
      <c r="C1876" s="2"/>
      <c r="D1876" s="1"/>
      <c r="F1876" s="1"/>
      <c r="G1876" s="1"/>
    </row>
    <row r="1877" spans="1:7" x14ac:dyDescent="0.25">
      <c r="A1877" s="1"/>
      <c r="B1877" s="2"/>
      <c r="C1877" s="2"/>
      <c r="D1877" s="1"/>
      <c r="F1877" s="1"/>
      <c r="G1877" s="1"/>
    </row>
    <row r="1878" spans="1:7" x14ac:dyDescent="0.25">
      <c r="A1878" s="1"/>
      <c r="B1878" s="2"/>
      <c r="C1878" s="2"/>
      <c r="D1878" s="1"/>
      <c r="F1878" s="1"/>
      <c r="G1878" s="1"/>
    </row>
    <row r="1879" spans="1:7" x14ac:dyDescent="0.25">
      <c r="A1879" s="1"/>
      <c r="B1879" s="2"/>
      <c r="C1879" s="2"/>
      <c r="D1879" s="1"/>
      <c r="F1879" s="1"/>
      <c r="G1879" s="1"/>
    </row>
    <row r="1880" spans="1:7" x14ac:dyDescent="0.25">
      <c r="A1880" s="1"/>
      <c r="B1880" s="2"/>
      <c r="C1880" s="2"/>
      <c r="D1880" s="1"/>
      <c r="F1880" s="1"/>
      <c r="G1880" s="1"/>
    </row>
    <row r="1881" spans="1:7" x14ac:dyDescent="0.25">
      <c r="A1881" s="1"/>
      <c r="B1881" s="2"/>
      <c r="C1881" s="2"/>
      <c r="D1881" s="1"/>
      <c r="F1881" s="1"/>
      <c r="G1881" s="1"/>
    </row>
    <row r="1882" spans="1:7" x14ac:dyDescent="0.25">
      <c r="A1882" s="1"/>
      <c r="B1882" s="2"/>
      <c r="C1882" s="2"/>
      <c r="D1882" s="1"/>
      <c r="F1882" s="1"/>
      <c r="G1882" s="1"/>
    </row>
    <row r="1883" spans="1:7" x14ac:dyDescent="0.25">
      <c r="A1883" s="1"/>
      <c r="B1883" s="2"/>
      <c r="C1883" s="2"/>
      <c r="D1883" s="1"/>
      <c r="F1883" s="1"/>
      <c r="G1883" s="1"/>
    </row>
    <row r="1884" spans="1:7" x14ac:dyDescent="0.25">
      <c r="A1884" s="1"/>
      <c r="B1884" s="2"/>
      <c r="C1884" s="2"/>
      <c r="D1884" s="1"/>
      <c r="F1884" s="1"/>
      <c r="G1884" s="1"/>
    </row>
    <row r="1885" spans="1:7" x14ac:dyDescent="0.25">
      <c r="A1885" s="1"/>
      <c r="B1885" s="2"/>
      <c r="C1885" s="2"/>
      <c r="D1885" s="1"/>
      <c r="F1885" s="1"/>
      <c r="G1885" s="1"/>
    </row>
    <row r="1886" spans="1:7" x14ac:dyDescent="0.25">
      <c r="A1886" s="1"/>
      <c r="B1886" s="2"/>
      <c r="C1886" s="2"/>
      <c r="D1886" s="1"/>
      <c r="F1886" s="1"/>
      <c r="G1886" s="1"/>
    </row>
    <row r="1887" spans="1:7" x14ac:dyDescent="0.25">
      <c r="A1887" s="1"/>
      <c r="B1887" s="2"/>
      <c r="C1887" s="2"/>
      <c r="D1887" s="1"/>
      <c r="F1887" s="1"/>
      <c r="G1887" s="1"/>
    </row>
    <row r="1888" spans="1:7" x14ac:dyDescent="0.25">
      <c r="A1888" s="1"/>
      <c r="B1888" s="2"/>
      <c r="C1888" s="2"/>
      <c r="D1888" s="1"/>
      <c r="F1888" s="1"/>
      <c r="G1888" s="1"/>
    </row>
    <row r="1889" spans="1:7" x14ac:dyDescent="0.25">
      <c r="A1889" s="1"/>
      <c r="B1889" s="2"/>
      <c r="C1889" s="2"/>
      <c r="D1889" s="1"/>
      <c r="F1889" s="1"/>
      <c r="G1889" s="1"/>
    </row>
    <row r="1890" spans="1:7" x14ac:dyDescent="0.25">
      <c r="A1890" s="1"/>
      <c r="B1890" s="2"/>
      <c r="C1890" s="2"/>
      <c r="D1890" s="1"/>
      <c r="F1890" s="1"/>
      <c r="G1890" s="1"/>
    </row>
    <row r="1891" spans="1:7" x14ac:dyDescent="0.25">
      <c r="A1891" s="1"/>
      <c r="B1891" s="2"/>
      <c r="C1891" s="2"/>
      <c r="D1891" s="1"/>
      <c r="F1891" s="1"/>
      <c r="G1891" s="1"/>
    </row>
    <row r="1892" spans="1:7" x14ac:dyDescent="0.25">
      <c r="A1892" s="1"/>
      <c r="B1892" s="2"/>
      <c r="C1892" s="2"/>
      <c r="D1892" s="1"/>
      <c r="F1892" s="1"/>
      <c r="G1892" s="1"/>
    </row>
    <row r="1893" spans="1:7" x14ac:dyDescent="0.25">
      <c r="A1893" s="1"/>
      <c r="B1893" s="2"/>
      <c r="C1893" s="2"/>
      <c r="D1893" s="1"/>
      <c r="F1893" s="1"/>
      <c r="G1893" s="1"/>
    </row>
    <row r="1894" spans="1:7" x14ac:dyDescent="0.25">
      <c r="A1894" s="1"/>
      <c r="B1894" s="2"/>
      <c r="C1894" s="2"/>
      <c r="D1894" s="1"/>
      <c r="F1894" s="1"/>
      <c r="G1894" s="1"/>
    </row>
    <row r="1895" spans="1:7" x14ac:dyDescent="0.25">
      <c r="A1895" s="1"/>
      <c r="B1895" s="2"/>
      <c r="C1895" s="2"/>
      <c r="D1895" s="1"/>
      <c r="F1895" s="1"/>
      <c r="G1895" s="1"/>
    </row>
    <row r="1896" spans="1:7" x14ac:dyDescent="0.25">
      <c r="A1896" s="1"/>
      <c r="B1896" s="2"/>
      <c r="C1896" s="2"/>
      <c r="D1896" s="1"/>
      <c r="F1896" s="1"/>
      <c r="G1896" s="1"/>
    </row>
    <row r="1897" spans="1:7" x14ac:dyDescent="0.25">
      <c r="A1897" s="1"/>
      <c r="B1897" s="2"/>
      <c r="C1897" s="2"/>
      <c r="D1897" s="1"/>
      <c r="F1897" s="1"/>
      <c r="G1897" s="1"/>
    </row>
    <row r="1898" spans="1:7" x14ac:dyDescent="0.25">
      <c r="A1898" s="1"/>
      <c r="B1898" s="2"/>
      <c r="C1898" s="2"/>
      <c r="D1898" s="1"/>
      <c r="F1898" s="1"/>
      <c r="G1898" s="1"/>
    </row>
    <row r="1899" spans="1:7" x14ac:dyDescent="0.25">
      <c r="A1899" s="1"/>
      <c r="B1899" s="2"/>
      <c r="C1899" s="2"/>
      <c r="D1899" s="1"/>
      <c r="F1899" s="1"/>
      <c r="G1899" s="1"/>
    </row>
    <row r="1900" spans="1:7" x14ac:dyDescent="0.25">
      <c r="A1900" s="1"/>
      <c r="B1900" s="2"/>
      <c r="C1900" s="2"/>
      <c r="D1900" s="1"/>
      <c r="F1900" s="1"/>
      <c r="G1900" s="1"/>
    </row>
    <row r="1901" spans="1:7" x14ac:dyDescent="0.25">
      <c r="A1901" s="1"/>
      <c r="B1901" s="2"/>
      <c r="C1901" s="2"/>
      <c r="D1901" s="1"/>
      <c r="F1901" s="1"/>
      <c r="G1901" s="1"/>
    </row>
    <row r="1902" spans="1:7" x14ac:dyDescent="0.25">
      <c r="A1902" s="1"/>
      <c r="B1902" s="2"/>
      <c r="C1902" s="2"/>
      <c r="D1902" s="1"/>
      <c r="F1902" s="1"/>
      <c r="G1902" s="1"/>
    </row>
    <row r="1903" spans="1:7" x14ac:dyDescent="0.25">
      <c r="A1903" s="1"/>
      <c r="B1903" s="2"/>
      <c r="C1903" s="2"/>
      <c r="D1903" s="1"/>
      <c r="F1903" s="1"/>
      <c r="G1903" s="1"/>
    </row>
    <row r="1904" spans="1:7" x14ac:dyDescent="0.25">
      <c r="A1904" s="1"/>
      <c r="B1904" s="2"/>
      <c r="C1904" s="2"/>
      <c r="D1904" s="1"/>
      <c r="F1904" s="1"/>
      <c r="G1904" s="1"/>
    </row>
    <row r="1905" spans="1:7" x14ac:dyDescent="0.25">
      <c r="A1905" s="1"/>
      <c r="B1905" s="2"/>
      <c r="C1905" s="2"/>
      <c r="D1905" s="1"/>
      <c r="F1905" s="1"/>
      <c r="G1905" s="1"/>
    </row>
    <row r="1906" spans="1:7" x14ac:dyDescent="0.25">
      <c r="A1906" s="1"/>
      <c r="B1906" s="2"/>
      <c r="C1906" s="2"/>
      <c r="D1906" s="1"/>
      <c r="F1906" s="1"/>
      <c r="G1906" s="1"/>
    </row>
    <row r="1907" spans="1:7" x14ac:dyDescent="0.25">
      <c r="A1907" s="1"/>
      <c r="B1907" s="2"/>
      <c r="C1907" s="2"/>
      <c r="D1907" s="1"/>
      <c r="F1907" s="1"/>
      <c r="G1907" s="1"/>
    </row>
    <row r="1908" spans="1:7" x14ac:dyDescent="0.25">
      <c r="A1908" s="1"/>
      <c r="B1908" s="2"/>
      <c r="C1908" s="2"/>
      <c r="D1908" s="1"/>
      <c r="F1908" s="1"/>
      <c r="G1908" s="1"/>
    </row>
    <row r="1909" spans="1:7" x14ac:dyDescent="0.25">
      <c r="A1909" s="1"/>
      <c r="B1909" s="2"/>
      <c r="C1909" s="2"/>
      <c r="D1909" s="1"/>
      <c r="F1909" s="1"/>
      <c r="G1909" s="1"/>
    </row>
    <row r="1910" spans="1:7" x14ac:dyDescent="0.25">
      <c r="A1910" s="1"/>
      <c r="B1910" s="2"/>
      <c r="C1910" s="2"/>
      <c r="D1910" s="1"/>
      <c r="F1910" s="1"/>
      <c r="G1910" s="1"/>
    </row>
    <row r="1911" spans="1:7" x14ac:dyDescent="0.25">
      <c r="A1911" s="1"/>
      <c r="B1911" s="2"/>
      <c r="C1911" s="2"/>
      <c r="D1911" s="1"/>
      <c r="F1911" s="1"/>
      <c r="G1911" s="1"/>
    </row>
    <row r="1912" spans="1:7" x14ac:dyDescent="0.25">
      <c r="A1912" s="1"/>
      <c r="B1912" s="2"/>
      <c r="C1912" s="2"/>
      <c r="D1912" s="1"/>
      <c r="F1912" s="1"/>
      <c r="G1912" s="1"/>
    </row>
    <row r="1913" spans="1:7" x14ac:dyDescent="0.25">
      <c r="A1913" s="1"/>
      <c r="B1913" s="2"/>
      <c r="C1913" s="2"/>
      <c r="D1913" s="1"/>
      <c r="F1913" s="1"/>
      <c r="G1913" s="1"/>
    </row>
    <row r="1914" spans="1:7" x14ac:dyDescent="0.25">
      <c r="A1914" s="1"/>
      <c r="B1914" s="2"/>
      <c r="C1914" s="2"/>
      <c r="D1914" s="1"/>
      <c r="F1914" s="1"/>
      <c r="G1914" s="1"/>
    </row>
    <row r="1915" spans="1:7" x14ac:dyDescent="0.25">
      <c r="A1915" s="1"/>
      <c r="B1915" s="2"/>
      <c r="C1915" s="2"/>
      <c r="D1915" s="1"/>
      <c r="F1915" s="1"/>
      <c r="G1915" s="1"/>
    </row>
    <row r="1916" spans="1:7" x14ac:dyDescent="0.25">
      <c r="A1916" s="1"/>
      <c r="B1916" s="2"/>
      <c r="C1916" s="2"/>
      <c r="D1916" s="1"/>
      <c r="F1916" s="1"/>
      <c r="G1916" s="1"/>
    </row>
    <row r="1917" spans="1:7" x14ac:dyDescent="0.25">
      <c r="A1917" s="1"/>
      <c r="B1917" s="2"/>
      <c r="C1917" s="2"/>
      <c r="D1917" s="1"/>
      <c r="F1917" s="1"/>
      <c r="G1917" s="1"/>
    </row>
    <row r="1918" spans="1:7" x14ac:dyDescent="0.25">
      <c r="A1918" s="1"/>
      <c r="B1918" s="2"/>
      <c r="C1918" s="2"/>
      <c r="D1918" s="1"/>
      <c r="F1918" s="1"/>
      <c r="G1918" s="1"/>
    </row>
    <row r="1919" spans="1:7" x14ac:dyDescent="0.25">
      <c r="A1919" s="1"/>
      <c r="B1919" s="2"/>
      <c r="C1919" s="2"/>
      <c r="D1919" s="1"/>
      <c r="F1919" s="1"/>
      <c r="G1919" s="1"/>
    </row>
    <row r="1920" spans="1:7" x14ac:dyDescent="0.25">
      <c r="A1920" s="1"/>
      <c r="B1920" s="2"/>
      <c r="C1920" s="2"/>
      <c r="D1920" s="1"/>
      <c r="F1920" s="1"/>
      <c r="G1920" s="1"/>
    </row>
    <row r="1921" spans="1:7" x14ac:dyDescent="0.25">
      <c r="A1921" s="1"/>
      <c r="B1921" s="2"/>
      <c r="C1921" s="2"/>
      <c r="D1921" s="1"/>
      <c r="F1921" s="1"/>
      <c r="G1921" s="1"/>
    </row>
    <row r="1922" spans="1:7" x14ac:dyDescent="0.25">
      <c r="A1922" s="1"/>
      <c r="B1922" s="2"/>
      <c r="C1922" s="2"/>
      <c r="D1922" s="1"/>
      <c r="F1922" s="1"/>
      <c r="G1922" s="1"/>
    </row>
    <row r="1923" spans="1:7" x14ac:dyDescent="0.25">
      <c r="A1923" s="1"/>
      <c r="B1923" s="2"/>
      <c r="C1923" s="2"/>
      <c r="D1923" s="1"/>
      <c r="F1923" s="1"/>
      <c r="G1923" s="1"/>
    </row>
    <row r="1924" spans="1:7" x14ac:dyDescent="0.25">
      <c r="A1924" s="1"/>
      <c r="B1924" s="2"/>
      <c r="C1924" s="2"/>
      <c r="D1924" s="1"/>
      <c r="F1924" s="1"/>
      <c r="G1924" s="1"/>
    </row>
    <row r="1925" spans="1:7" x14ac:dyDescent="0.25">
      <c r="A1925" s="1"/>
      <c r="B1925" s="2"/>
      <c r="C1925" s="2"/>
      <c r="D1925" s="1"/>
      <c r="F1925" s="1"/>
      <c r="G1925" s="1"/>
    </row>
    <row r="1926" spans="1:7" x14ac:dyDescent="0.25">
      <c r="A1926" s="1"/>
      <c r="B1926" s="2"/>
      <c r="C1926" s="2"/>
      <c r="D1926" s="1"/>
      <c r="F1926" s="1"/>
      <c r="G1926" s="1"/>
    </row>
    <row r="1927" spans="1:7" x14ac:dyDescent="0.25">
      <c r="A1927" s="1"/>
      <c r="B1927" s="2"/>
      <c r="C1927" s="2"/>
      <c r="D1927" s="1"/>
      <c r="F1927" s="1"/>
      <c r="G1927" s="1"/>
    </row>
    <row r="1928" spans="1:7" x14ac:dyDescent="0.25">
      <c r="A1928" s="1"/>
      <c r="B1928" s="2"/>
      <c r="C1928" s="2"/>
      <c r="D1928" s="1"/>
      <c r="F1928" s="1"/>
      <c r="G1928" s="1"/>
    </row>
    <row r="1929" spans="1:7" x14ac:dyDescent="0.25">
      <c r="A1929" s="1"/>
      <c r="B1929" s="2"/>
      <c r="C1929" s="2"/>
      <c r="D1929" s="1"/>
      <c r="F1929" s="1"/>
      <c r="G1929" s="1"/>
    </row>
    <row r="1930" spans="1:7" x14ac:dyDescent="0.25">
      <c r="A1930" s="1"/>
      <c r="B1930" s="2"/>
      <c r="C1930" s="2"/>
      <c r="D1930" s="1"/>
      <c r="F1930" s="1"/>
      <c r="G1930" s="1"/>
    </row>
    <row r="1931" spans="1:7" x14ac:dyDescent="0.25">
      <c r="A1931" s="1"/>
      <c r="B1931" s="2"/>
      <c r="C1931" s="2"/>
      <c r="D1931" s="1"/>
      <c r="F1931" s="1"/>
      <c r="G1931" s="1"/>
    </row>
    <row r="1932" spans="1:7" x14ac:dyDescent="0.25">
      <c r="A1932" s="1"/>
      <c r="B1932" s="2"/>
      <c r="C1932" s="2"/>
      <c r="D1932" s="1"/>
      <c r="F1932" s="1"/>
      <c r="G1932" s="1"/>
    </row>
    <row r="1933" spans="1:7" x14ac:dyDescent="0.25">
      <c r="A1933" s="1"/>
      <c r="B1933" s="2"/>
      <c r="C1933" s="2"/>
      <c r="D1933" s="1"/>
      <c r="F1933" s="1"/>
      <c r="G1933" s="1"/>
    </row>
    <row r="1934" spans="1:7" x14ac:dyDescent="0.25">
      <c r="A1934" s="1"/>
      <c r="B1934" s="2"/>
      <c r="C1934" s="2"/>
      <c r="D1934" s="1"/>
      <c r="F1934" s="1"/>
      <c r="G1934" s="1"/>
    </row>
    <row r="1935" spans="1:7" x14ac:dyDescent="0.25">
      <c r="A1935" s="1"/>
      <c r="B1935" s="2"/>
      <c r="C1935" s="2"/>
      <c r="D1935" s="1"/>
      <c r="F1935" s="1"/>
      <c r="G1935" s="1"/>
    </row>
    <row r="1936" spans="1:7" x14ac:dyDescent="0.25">
      <c r="A1936" s="1"/>
      <c r="B1936" s="2"/>
      <c r="C1936" s="2"/>
      <c r="D1936" s="1"/>
      <c r="F1936" s="1"/>
      <c r="G1936" s="1"/>
    </row>
    <row r="1937" spans="1:7" x14ac:dyDescent="0.25">
      <c r="A1937" s="1"/>
      <c r="B1937" s="2"/>
      <c r="C1937" s="2"/>
      <c r="D1937" s="1"/>
      <c r="F1937" s="1"/>
      <c r="G1937" s="1"/>
    </row>
    <row r="1938" spans="1:7" x14ac:dyDescent="0.25">
      <c r="A1938" s="1"/>
      <c r="B1938" s="2"/>
      <c r="C1938" s="2"/>
      <c r="D1938" s="1"/>
      <c r="F1938" s="1"/>
      <c r="G1938" s="1"/>
    </row>
    <row r="1939" spans="1:7" x14ac:dyDescent="0.25">
      <c r="A1939" s="1"/>
      <c r="B1939" s="2"/>
      <c r="C1939" s="2"/>
      <c r="D1939" s="1"/>
      <c r="F1939" s="1"/>
      <c r="G1939" s="1"/>
    </row>
    <row r="1940" spans="1:7" x14ac:dyDescent="0.25">
      <c r="A1940" s="1"/>
      <c r="B1940" s="2"/>
      <c r="C1940" s="2"/>
      <c r="D1940" s="1"/>
      <c r="F1940" s="1"/>
      <c r="G1940" s="1"/>
    </row>
    <row r="1941" spans="1:7" x14ac:dyDescent="0.25">
      <c r="A1941" s="1"/>
      <c r="B1941" s="2"/>
      <c r="C1941" s="2"/>
      <c r="D1941" s="1"/>
      <c r="F1941" s="1"/>
      <c r="G1941" s="1"/>
    </row>
    <row r="1942" spans="1:7" x14ac:dyDescent="0.25">
      <c r="A1942" s="1"/>
      <c r="B1942" s="2"/>
      <c r="C1942" s="2"/>
      <c r="D1942" s="1"/>
      <c r="F1942" s="1"/>
      <c r="G1942" s="1"/>
    </row>
    <row r="1943" spans="1:7" x14ac:dyDescent="0.25">
      <c r="A1943" s="1"/>
      <c r="B1943" s="2"/>
      <c r="C1943" s="2"/>
      <c r="D1943" s="1"/>
      <c r="F1943" s="1"/>
      <c r="G1943" s="1"/>
    </row>
    <row r="1944" spans="1:7" x14ac:dyDescent="0.25">
      <c r="A1944" s="1"/>
      <c r="B1944" s="2"/>
      <c r="C1944" s="2"/>
      <c r="D1944" s="1"/>
      <c r="F1944" s="1"/>
      <c r="G1944" s="1"/>
    </row>
    <row r="1945" spans="1:7" x14ac:dyDescent="0.25">
      <c r="A1945" s="1"/>
      <c r="B1945" s="2"/>
      <c r="C1945" s="2"/>
      <c r="D1945" s="1"/>
      <c r="F1945" s="1"/>
      <c r="G1945" s="1"/>
    </row>
    <row r="1946" spans="1:7" x14ac:dyDescent="0.25">
      <c r="A1946" s="1"/>
      <c r="B1946" s="2"/>
      <c r="C1946" s="2"/>
      <c r="D1946" s="1"/>
      <c r="F1946" s="1"/>
      <c r="G1946" s="1"/>
    </row>
    <row r="1947" spans="1:7" x14ac:dyDescent="0.25">
      <c r="A1947" s="1"/>
      <c r="B1947" s="2"/>
      <c r="C1947" s="2"/>
      <c r="D1947" s="1"/>
      <c r="F1947" s="1"/>
      <c r="G1947" s="1"/>
    </row>
    <row r="1948" spans="1:7" x14ac:dyDescent="0.25">
      <c r="A1948" s="1"/>
      <c r="B1948" s="2"/>
      <c r="C1948" s="2"/>
      <c r="D1948" s="1"/>
      <c r="F1948" s="1"/>
      <c r="G1948" s="1"/>
    </row>
    <row r="1949" spans="1:7" x14ac:dyDescent="0.25">
      <c r="A1949" s="1"/>
      <c r="B1949" s="2"/>
      <c r="C1949" s="2"/>
      <c r="D1949" s="1"/>
      <c r="F1949" s="1"/>
      <c r="G1949" s="1"/>
    </row>
    <row r="1950" spans="1:7" x14ac:dyDescent="0.25">
      <c r="A1950" s="1"/>
      <c r="B1950" s="2"/>
      <c r="C1950" s="2"/>
      <c r="D1950" s="1"/>
      <c r="F1950" s="1"/>
      <c r="G1950" s="1"/>
    </row>
    <row r="1951" spans="1:7" x14ac:dyDescent="0.25">
      <c r="A1951" s="1"/>
      <c r="B1951" s="2"/>
      <c r="C1951" s="2"/>
      <c r="D1951" s="1"/>
      <c r="F1951" s="1"/>
      <c r="G1951" s="1"/>
    </row>
    <row r="1952" spans="1:7" x14ac:dyDescent="0.25">
      <c r="A1952" s="1"/>
      <c r="B1952" s="2"/>
      <c r="C1952" s="2"/>
      <c r="D1952" s="1"/>
      <c r="F1952" s="1"/>
      <c r="G1952" s="1"/>
    </row>
    <row r="1953" spans="1:7" x14ac:dyDescent="0.25">
      <c r="A1953" s="1"/>
      <c r="B1953" s="2"/>
      <c r="C1953" s="2"/>
      <c r="D1953" s="1"/>
      <c r="F1953" s="1"/>
      <c r="G1953" s="1"/>
    </row>
    <row r="1954" spans="1:7" x14ac:dyDescent="0.25">
      <c r="A1954" s="1"/>
      <c r="B1954" s="2"/>
      <c r="C1954" s="2"/>
      <c r="D1954" s="1"/>
      <c r="F1954" s="1"/>
      <c r="G1954" s="1"/>
    </row>
    <row r="1955" spans="1:7" x14ac:dyDescent="0.25">
      <c r="A1955" s="1"/>
      <c r="B1955" s="2"/>
      <c r="C1955" s="2"/>
      <c r="D1955" s="1"/>
      <c r="F1955" s="1"/>
      <c r="G1955" s="1"/>
    </row>
    <row r="1956" spans="1:7" x14ac:dyDescent="0.25">
      <c r="A1956" s="1"/>
      <c r="B1956" s="2"/>
      <c r="C1956" s="2"/>
      <c r="D1956" s="1"/>
      <c r="F1956" s="1"/>
      <c r="G1956" s="1"/>
    </row>
    <row r="1957" spans="1:7" x14ac:dyDescent="0.25">
      <c r="A1957" s="1"/>
      <c r="B1957" s="2"/>
      <c r="C1957" s="2"/>
      <c r="D1957" s="1"/>
      <c r="F1957" s="1"/>
      <c r="G1957" s="1"/>
    </row>
    <row r="1958" spans="1:7" x14ac:dyDescent="0.25">
      <c r="A1958" s="1"/>
      <c r="B1958" s="2"/>
      <c r="C1958" s="2"/>
      <c r="D1958" s="1"/>
      <c r="F1958" s="1"/>
      <c r="G1958" s="1"/>
    </row>
    <row r="1959" spans="1:7" x14ac:dyDescent="0.25">
      <c r="A1959" s="1"/>
      <c r="B1959" s="2"/>
      <c r="C1959" s="2"/>
      <c r="D1959" s="1"/>
      <c r="F1959" s="1"/>
      <c r="G1959" s="1"/>
    </row>
    <row r="1960" spans="1:7" x14ac:dyDescent="0.25">
      <c r="A1960" s="1"/>
      <c r="B1960" s="2"/>
      <c r="C1960" s="2"/>
      <c r="D1960" s="1"/>
      <c r="F1960" s="1"/>
      <c r="G1960" s="1"/>
    </row>
    <row r="1961" spans="1:7" x14ac:dyDescent="0.25">
      <c r="A1961" s="1"/>
      <c r="B1961" s="2"/>
      <c r="C1961" s="2"/>
      <c r="D1961" s="1"/>
      <c r="F1961" s="1"/>
      <c r="G1961" s="1"/>
    </row>
    <row r="1962" spans="1:7" x14ac:dyDescent="0.25">
      <c r="A1962" s="1"/>
      <c r="B1962" s="2"/>
      <c r="C1962" s="2"/>
      <c r="D1962" s="1"/>
      <c r="F1962" s="1"/>
      <c r="G1962" s="1"/>
    </row>
    <row r="1963" spans="1:7" x14ac:dyDescent="0.25">
      <c r="A1963" s="1"/>
      <c r="B1963" s="2"/>
      <c r="C1963" s="2"/>
      <c r="D1963" s="1"/>
      <c r="F1963" s="1"/>
      <c r="G1963" s="1"/>
    </row>
    <row r="1964" spans="1:7" x14ac:dyDescent="0.25">
      <c r="A1964" s="1"/>
      <c r="B1964" s="2"/>
      <c r="C1964" s="2"/>
      <c r="D1964" s="1"/>
      <c r="F1964" s="1"/>
      <c r="G1964" s="1"/>
    </row>
    <row r="1965" spans="1:7" x14ac:dyDescent="0.25">
      <c r="A1965" s="1"/>
      <c r="B1965" s="2"/>
      <c r="C1965" s="2"/>
      <c r="D1965" s="1"/>
      <c r="F1965" s="1"/>
      <c r="G1965" s="1"/>
    </row>
    <row r="1966" spans="1:7" x14ac:dyDescent="0.25">
      <c r="A1966" s="1"/>
      <c r="B1966" s="2"/>
      <c r="C1966" s="2"/>
      <c r="D1966" s="1"/>
      <c r="F1966" s="1"/>
      <c r="G1966" s="1"/>
    </row>
    <row r="1967" spans="1:7" x14ac:dyDescent="0.25">
      <c r="A1967" s="1"/>
      <c r="B1967" s="2"/>
      <c r="C1967" s="2"/>
      <c r="D1967" s="1"/>
      <c r="F1967" s="1"/>
      <c r="G1967" s="1"/>
    </row>
    <row r="1968" spans="1:7" x14ac:dyDescent="0.25">
      <c r="A1968" s="1"/>
      <c r="B1968" s="2"/>
      <c r="C1968" s="2"/>
      <c r="D1968" s="1"/>
      <c r="F1968" s="1"/>
      <c r="G1968" s="1"/>
    </row>
    <row r="1969" spans="1:7" x14ac:dyDescent="0.25">
      <c r="A1969" s="1"/>
      <c r="B1969" s="2"/>
      <c r="C1969" s="2"/>
      <c r="D1969" s="1"/>
      <c r="F1969" s="1"/>
      <c r="G1969" s="1"/>
    </row>
    <row r="1970" spans="1:7" x14ac:dyDescent="0.25">
      <c r="A1970" s="1"/>
      <c r="B1970" s="2"/>
      <c r="C1970" s="2"/>
      <c r="D1970" s="1"/>
      <c r="F1970" s="1"/>
      <c r="G1970" s="1"/>
    </row>
    <row r="1971" spans="1:7" x14ac:dyDescent="0.25">
      <c r="A1971" s="1"/>
      <c r="B1971" s="2"/>
      <c r="C1971" s="2"/>
      <c r="D1971" s="1"/>
      <c r="F1971" s="1"/>
      <c r="G1971" s="1"/>
    </row>
    <row r="1972" spans="1:7" x14ac:dyDescent="0.25">
      <c r="A1972" s="1"/>
      <c r="B1972" s="2"/>
      <c r="C1972" s="2"/>
      <c r="D1972" s="1"/>
      <c r="F1972" s="1"/>
      <c r="G1972" s="1"/>
    </row>
    <row r="1973" spans="1:7" x14ac:dyDescent="0.25">
      <c r="A1973" s="1"/>
      <c r="B1973" s="2"/>
      <c r="C1973" s="2"/>
      <c r="D1973" s="1"/>
      <c r="F1973" s="1"/>
      <c r="G1973" s="1"/>
    </row>
    <row r="1974" spans="1:7" x14ac:dyDescent="0.25">
      <c r="A1974" s="1"/>
      <c r="B1974" s="2"/>
      <c r="C1974" s="2"/>
      <c r="D1974" s="1"/>
      <c r="F1974" s="1"/>
      <c r="G1974" s="1"/>
    </row>
    <row r="1975" spans="1:7" x14ac:dyDescent="0.25">
      <c r="A1975" s="1"/>
      <c r="B1975" s="2"/>
      <c r="C1975" s="2"/>
      <c r="D1975" s="1"/>
      <c r="F1975" s="1"/>
      <c r="G1975" s="1"/>
    </row>
    <row r="1976" spans="1:7" x14ac:dyDescent="0.25">
      <c r="A1976" s="1"/>
      <c r="B1976" s="2"/>
      <c r="C1976" s="2"/>
      <c r="D1976" s="1"/>
      <c r="F1976" s="1"/>
      <c r="G1976" s="1"/>
    </row>
    <row r="1977" spans="1:7" x14ac:dyDescent="0.25">
      <c r="A1977" s="1"/>
      <c r="B1977" s="2"/>
      <c r="C1977" s="2"/>
      <c r="D1977" s="1"/>
      <c r="F1977" s="1"/>
      <c r="G1977" s="1"/>
    </row>
    <row r="1978" spans="1:7" x14ac:dyDescent="0.25">
      <c r="A1978" s="1"/>
      <c r="B1978" s="2"/>
      <c r="C1978" s="2"/>
      <c r="D1978" s="1"/>
      <c r="F1978" s="1"/>
      <c r="G1978" s="1"/>
    </row>
    <row r="1979" spans="1:7" x14ac:dyDescent="0.25">
      <c r="A1979" s="1"/>
      <c r="B1979" s="2"/>
      <c r="C1979" s="2"/>
      <c r="D1979" s="1"/>
      <c r="F1979" s="1"/>
      <c r="G1979" s="1"/>
    </row>
    <row r="1980" spans="1:7" x14ac:dyDescent="0.25">
      <c r="A1980" s="1"/>
      <c r="B1980" s="2"/>
      <c r="C1980" s="2"/>
      <c r="D1980" s="1"/>
      <c r="F1980" s="1"/>
      <c r="G1980" s="1"/>
    </row>
    <row r="1981" spans="1:7" x14ac:dyDescent="0.25">
      <c r="A1981" s="1"/>
      <c r="B1981" s="2"/>
      <c r="C1981" s="2"/>
      <c r="D1981" s="1"/>
      <c r="F1981" s="1"/>
      <c r="G1981" s="1"/>
    </row>
    <row r="1982" spans="1:7" x14ac:dyDescent="0.25">
      <c r="A1982" s="1"/>
      <c r="B1982" s="2"/>
      <c r="C1982" s="2"/>
      <c r="D1982" s="1"/>
      <c r="F1982" s="1"/>
      <c r="G1982" s="1"/>
    </row>
    <row r="1983" spans="1:7" x14ac:dyDescent="0.25">
      <c r="A1983" s="1"/>
      <c r="B1983" s="2"/>
      <c r="C1983" s="2"/>
      <c r="D1983" s="1"/>
      <c r="F1983" s="1"/>
      <c r="G1983" s="1"/>
    </row>
    <row r="1984" spans="1:7" x14ac:dyDescent="0.25">
      <c r="A1984" s="1"/>
      <c r="B1984" s="2"/>
      <c r="C1984" s="2"/>
      <c r="D1984" s="1"/>
      <c r="F1984" s="1"/>
      <c r="G1984" s="1"/>
    </row>
    <row r="1985" spans="1:7" x14ac:dyDescent="0.25">
      <c r="A1985" s="1"/>
      <c r="B1985" s="2"/>
      <c r="C1985" s="2"/>
      <c r="D1985" s="1"/>
      <c r="F1985" s="1"/>
      <c r="G1985" s="1"/>
    </row>
    <row r="1986" spans="1:7" x14ac:dyDescent="0.25">
      <c r="A1986" s="1"/>
      <c r="B1986" s="2"/>
      <c r="C1986" s="2"/>
      <c r="D1986" s="1"/>
      <c r="F1986" s="1"/>
      <c r="G1986" s="1"/>
    </row>
    <row r="1987" spans="1:7" x14ac:dyDescent="0.25">
      <c r="A1987" s="1"/>
      <c r="B1987" s="2"/>
      <c r="C1987" s="2"/>
      <c r="D1987" s="1"/>
      <c r="F1987" s="1"/>
      <c r="G1987" s="1"/>
    </row>
    <row r="1988" spans="1:7" x14ac:dyDescent="0.25">
      <c r="A1988" s="1"/>
      <c r="B1988" s="2"/>
      <c r="C1988" s="2"/>
      <c r="D1988" s="1"/>
      <c r="F1988" s="1"/>
      <c r="G1988" s="1"/>
    </row>
    <row r="1989" spans="1:7" x14ac:dyDescent="0.25">
      <c r="A1989" s="1"/>
      <c r="B1989" s="2"/>
      <c r="C1989" s="2"/>
      <c r="D1989" s="1"/>
      <c r="F1989" s="1"/>
      <c r="G1989" s="1"/>
    </row>
    <row r="1990" spans="1:7" x14ac:dyDescent="0.25">
      <c r="A1990" s="1"/>
      <c r="B1990" s="2"/>
      <c r="C1990" s="2"/>
      <c r="D1990" s="1"/>
      <c r="F1990" s="1"/>
      <c r="G1990" s="1"/>
    </row>
    <row r="1991" spans="1:7" x14ac:dyDescent="0.25">
      <c r="A1991" s="1"/>
      <c r="B1991" s="2"/>
      <c r="C1991" s="2"/>
      <c r="D1991" s="1"/>
      <c r="F1991" s="1"/>
      <c r="G1991" s="1"/>
    </row>
    <row r="1992" spans="1:7" x14ac:dyDescent="0.25">
      <c r="A1992" s="1"/>
      <c r="B1992" s="2"/>
      <c r="C1992" s="2"/>
      <c r="D1992" s="1"/>
      <c r="F1992" s="1"/>
      <c r="G1992" s="1"/>
    </row>
    <row r="1993" spans="1:7" x14ac:dyDescent="0.25">
      <c r="A1993" s="1"/>
      <c r="B1993" s="2"/>
      <c r="C1993" s="2"/>
      <c r="D1993" s="1"/>
      <c r="F1993" s="1"/>
      <c r="G1993" s="1"/>
    </row>
    <row r="1994" spans="1:7" x14ac:dyDescent="0.25">
      <c r="A1994" s="1"/>
      <c r="B1994" s="2"/>
      <c r="C1994" s="2"/>
      <c r="D1994" s="1"/>
      <c r="F1994" s="1"/>
      <c r="G1994" s="1"/>
    </row>
    <row r="1995" spans="1:7" x14ac:dyDescent="0.25">
      <c r="A1995" s="1"/>
      <c r="B1995" s="2"/>
      <c r="C1995" s="2"/>
      <c r="D1995" s="1"/>
      <c r="F1995" s="1"/>
      <c r="G1995" s="1"/>
    </row>
    <row r="1996" spans="1:7" x14ac:dyDescent="0.25">
      <c r="A1996" s="1"/>
      <c r="B1996" s="2"/>
      <c r="C1996" s="2"/>
      <c r="D1996" s="1"/>
      <c r="F1996" s="1"/>
      <c r="G1996" s="1"/>
    </row>
    <row r="1997" spans="1:7" x14ac:dyDescent="0.25">
      <c r="A1997" s="1"/>
      <c r="B1997" s="2"/>
      <c r="C1997" s="2"/>
      <c r="D1997" s="1"/>
      <c r="F1997" s="1"/>
      <c r="G1997" s="1"/>
    </row>
    <row r="1998" spans="1:7" x14ac:dyDescent="0.25">
      <c r="A1998" s="1"/>
      <c r="B1998" s="2"/>
      <c r="C1998" s="2"/>
      <c r="D1998" s="1"/>
      <c r="F1998" s="1"/>
      <c r="G1998" s="1"/>
    </row>
    <row r="1999" spans="1:7" x14ac:dyDescent="0.25">
      <c r="A1999" s="1"/>
      <c r="B1999" s="2"/>
      <c r="C1999" s="2"/>
      <c r="D1999" s="1"/>
      <c r="F1999" s="1"/>
      <c r="G1999" s="1"/>
    </row>
    <row r="2000" spans="1:7" x14ac:dyDescent="0.25">
      <c r="A2000" s="1"/>
      <c r="B2000" s="2"/>
      <c r="C2000" s="2"/>
      <c r="D2000" s="1"/>
      <c r="F2000" s="1"/>
      <c r="G2000" s="1"/>
    </row>
    <row r="2001" spans="1:7" x14ac:dyDescent="0.25">
      <c r="A2001" s="1"/>
      <c r="B2001" s="2"/>
      <c r="C2001" s="2"/>
      <c r="D2001" s="1"/>
      <c r="F2001" s="1"/>
      <c r="G2001" s="1"/>
    </row>
    <row r="2002" spans="1:7" x14ac:dyDescent="0.25">
      <c r="A2002" s="1"/>
      <c r="B2002" s="2"/>
      <c r="C2002" s="2"/>
      <c r="D2002" s="1"/>
      <c r="F2002" s="1"/>
      <c r="G2002" s="1"/>
    </row>
    <row r="2003" spans="1:7" x14ac:dyDescent="0.25">
      <c r="A2003" s="1"/>
      <c r="B2003" s="2"/>
      <c r="C2003" s="2"/>
      <c r="D2003" s="1"/>
      <c r="F2003" s="1"/>
      <c r="G2003" s="1"/>
    </row>
    <row r="2004" spans="1:7" x14ac:dyDescent="0.25">
      <c r="A2004" s="1"/>
      <c r="B2004" s="2"/>
      <c r="C2004" s="2"/>
      <c r="D2004" s="1"/>
      <c r="F2004" s="1"/>
      <c r="G2004" s="1"/>
    </row>
    <row r="2005" spans="1:7" x14ac:dyDescent="0.25">
      <c r="A2005" s="1"/>
      <c r="B2005" s="2"/>
      <c r="C2005" s="2"/>
      <c r="D2005" s="1"/>
      <c r="F2005" s="1"/>
      <c r="G2005" s="1"/>
    </row>
    <row r="2006" spans="1:7" x14ac:dyDescent="0.25">
      <c r="A2006" s="1"/>
      <c r="B2006" s="2"/>
      <c r="C2006" s="2"/>
      <c r="D2006" s="1"/>
      <c r="F2006" s="1"/>
      <c r="G2006" s="1"/>
    </row>
    <row r="2007" spans="1:7" x14ac:dyDescent="0.25">
      <c r="A2007" s="1"/>
      <c r="B2007" s="2"/>
      <c r="C2007" s="2"/>
      <c r="D2007" s="1"/>
      <c r="F2007" s="1"/>
      <c r="G2007" s="1"/>
    </row>
    <row r="2008" spans="1:7" x14ac:dyDescent="0.25">
      <c r="A2008" s="1"/>
      <c r="B2008" s="2"/>
      <c r="C2008" s="2"/>
      <c r="D2008" s="1"/>
      <c r="F2008" s="1"/>
      <c r="G2008" s="1"/>
    </row>
    <row r="2009" spans="1:7" x14ac:dyDescent="0.25">
      <c r="A2009" s="1"/>
      <c r="B2009" s="2"/>
      <c r="C2009" s="2"/>
      <c r="D2009" s="1"/>
      <c r="F2009" s="1"/>
      <c r="G2009" s="1"/>
    </row>
    <row r="2010" spans="1:7" x14ac:dyDescent="0.25">
      <c r="A2010" s="1"/>
      <c r="B2010" s="2"/>
      <c r="C2010" s="2"/>
      <c r="D2010" s="1"/>
      <c r="F2010" s="1"/>
      <c r="G2010" s="1"/>
    </row>
    <row r="2011" spans="1:7" x14ac:dyDescent="0.25">
      <c r="A2011" s="1"/>
      <c r="B2011" s="2"/>
      <c r="C2011" s="2"/>
      <c r="D2011" s="1"/>
      <c r="F2011" s="1"/>
      <c r="G2011" s="1"/>
    </row>
    <row r="2012" spans="1:7" x14ac:dyDescent="0.25">
      <c r="A2012" s="1"/>
      <c r="B2012" s="2"/>
      <c r="C2012" s="2"/>
      <c r="D2012" s="1"/>
      <c r="F2012" s="1"/>
      <c r="G2012" s="1"/>
    </row>
    <row r="2013" spans="1:7" x14ac:dyDescent="0.25">
      <c r="A2013" s="1"/>
      <c r="B2013" s="2"/>
      <c r="C2013" s="2"/>
      <c r="D2013" s="1"/>
      <c r="F2013" s="1"/>
      <c r="G2013" s="1"/>
    </row>
    <row r="2014" spans="1:7" x14ac:dyDescent="0.25">
      <c r="A2014" s="1"/>
      <c r="B2014" s="2"/>
      <c r="C2014" s="2"/>
      <c r="D2014" s="1"/>
      <c r="F2014" s="1"/>
      <c r="G2014" s="1"/>
    </row>
    <row r="2015" spans="1:7" x14ac:dyDescent="0.25">
      <c r="A2015" s="1"/>
      <c r="B2015" s="2"/>
      <c r="C2015" s="2"/>
      <c r="D2015" s="1"/>
      <c r="F2015" s="1"/>
      <c r="G2015" s="1"/>
    </row>
    <row r="2016" spans="1:7" x14ac:dyDescent="0.25">
      <c r="A2016" s="1"/>
      <c r="B2016" s="2"/>
      <c r="C2016" s="2"/>
      <c r="D2016" s="1"/>
      <c r="F2016" s="1"/>
      <c r="G2016" s="1"/>
    </row>
    <row r="2017" spans="1:7" x14ac:dyDescent="0.25">
      <c r="A2017" s="1"/>
      <c r="B2017" s="2"/>
      <c r="C2017" s="2"/>
      <c r="D2017" s="1"/>
      <c r="F2017" s="1"/>
      <c r="G2017" s="1"/>
    </row>
    <row r="2018" spans="1:7" x14ac:dyDescent="0.25">
      <c r="A2018" s="1"/>
      <c r="B2018" s="2"/>
      <c r="C2018" s="2"/>
      <c r="D2018" s="1"/>
      <c r="F2018" s="1"/>
      <c r="G2018" s="1"/>
    </row>
    <row r="2019" spans="1:7" x14ac:dyDescent="0.25">
      <c r="A2019" s="1"/>
      <c r="B2019" s="2"/>
      <c r="C2019" s="2"/>
      <c r="D2019" s="1"/>
      <c r="F2019" s="1"/>
      <c r="G2019" s="1"/>
    </row>
    <row r="2020" spans="1:7" x14ac:dyDescent="0.25">
      <c r="A2020" s="1"/>
      <c r="B2020" s="2"/>
      <c r="C2020" s="2"/>
      <c r="D2020" s="1"/>
      <c r="F2020" s="1"/>
      <c r="G2020" s="1"/>
    </row>
    <row r="2021" spans="1:7" x14ac:dyDescent="0.25">
      <c r="A2021" s="1"/>
      <c r="B2021" s="2"/>
      <c r="C2021" s="2"/>
      <c r="D2021" s="1"/>
      <c r="F2021" s="1"/>
      <c r="G2021" s="1"/>
    </row>
    <row r="2022" spans="1:7" x14ac:dyDescent="0.25">
      <c r="A2022" s="1"/>
      <c r="B2022" s="2"/>
      <c r="C2022" s="2"/>
      <c r="D2022" s="1"/>
      <c r="F2022" s="1"/>
      <c r="G2022" s="1"/>
    </row>
    <row r="2023" spans="1:7" x14ac:dyDescent="0.25">
      <c r="A2023" s="1"/>
      <c r="B2023" s="2"/>
      <c r="C2023" s="2"/>
      <c r="D2023" s="1"/>
      <c r="F2023" s="1"/>
      <c r="G2023" s="1"/>
    </row>
    <row r="2024" spans="1:7" x14ac:dyDescent="0.25">
      <c r="A2024" s="1"/>
      <c r="B2024" s="2"/>
      <c r="C2024" s="2"/>
      <c r="D2024" s="1"/>
      <c r="F2024" s="1"/>
      <c r="G2024" s="1"/>
    </row>
    <row r="2025" spans="1:7" x14ac:dyDescent="0.25">
      <c r="A2025" s="1"/>
      <c r="B2025" s="2"/>
      <c r="C2025" s="2"/>
      <c r="D2025" s="1"/>
      <c r="F2025" s="1"/>
      <c r="G2025" s="1"/>
    </row>
    <row r="2026" spans="1:7" x14ac:dyDescent="0.25">
      <c r="A2026" s="1"/>
      <c r="B2026" s="2"/>
      <c r="C2026" s="2"/>
      <c r="D2026" s="1"/>
      <c r="F2026" s="1"/>
      <c r="G2026" s="1"/>
    </row>
    <row r="2027" spans="1:7" x14ac:dyDescent="0.25">
      <c r="A2027" s="1"/>
      <c r="B2027" s="2"/>
      <c r="C2027" s="2"/>
      <c r="D2027" s="1"/>
      <c r="F2027" s="1"/>
      <c r="G2027" s="1"/>
    </row>
    <row r="2028" spans="1:7" x14ac:dyDescent="0.25">
      <c r="A2028" s="1"/>
      <c r="B2028" s="2"/>
      <c r="C2028" s="2"/>
      <c r="D2028" s="1"/>
      <c r="F2028" s="1"/>
      <c r="G2028" s="1"/>
    </row>
    <row r="2029" spans="1:7" x14ac:dyDescent="0.25">
      <c r="A2029" s="1"/>
      <c r="B2029" s="2"/>
      <c r="C2029" s="2"/>
      <c r="D2029" s="1"/>
      <c r="F2029" s="1"/>
      <c r="G2029" s="1"/>
    </row>
    <row r="2030" spans="1:7" x14ac:dyDescent="0.25">
      <c r="A2030" s="1"/>
      <c r="B2030" s="2"/>
      <c r="C2030" s="2"/>
      <c r="D2030" s="1"/>
      <c r="F2030" s="1"/>
      <c r="G2030" s="1"/>
    </row>
    <row r="2031" spans="1:7" x14ac:dyDescent="0.25">
      <c r="A2031" s="1"/>
      <c r="B2031" s="2"/>
      <c r="C2031" s="2"/>
      <c r="D2031" s="1"/>
      <c r="F2031" s="1"/>
      <c r="G2031" s="1"/>
    </row>
    <row r="2032" spans="1:7" x14ac:dyDescent="0.25">
      <c r="A2032" s="1"/>
      <c r="B2032" s="2"/>
      <c r="C2032" s="2"/>
      <c r="D2032" s="1"/>
      <c r="F2032" s="1"/>
      <c r="G2032" s="1"/>
    </row>
    <row r="2033" spans="1:7" x14ac:dyDescent="0.25">
      <c r="A2033" s="1"/>
      <c r="B2033" s="2"/>
      <c r="C2033" s="2"/>
      <c r="D2033" s="1"/>
      <c r="F2033" s="1"/>
      <c r="G2033" s="1"/>
    </row>
    <row r="2034" spans="1:7" x14ac:dyDescent="0.25">
      <c r="A2034" s="1"/>
      <c r="B2034" s="2"/>
      <c r="C2034" s="2"/>
      <c r="D2034" s="1"/>
      <c r="F2034" s="1"/>
      <c r="G2034" s="1"/>
    </row>
    <row r="2035" spans="1:7" x14ac:dyDescent="0.25">
      <c r="A2035" s="1"/>
      <c r="B2035" s="2"/>
      <c r="C2035" s="2"/>
      <c r="D2035" s="1"/>
      <c r="F2035" s="1"/>
      <c r="G2035" s="1"/>
    </row>
    <row r="2036" spans="1:7" x14ac:dyDescent="0.25">
      <c r="A2036" s="1"/>
      <c r="B2036" s="2"/>
      <c r="C2036" s="2"/>
      <c r="D2036" s="1"/>
      <c r="F2036" s="1"/>
      <c r="G2036" s="1"/>
    </row>
    <row r="2037" spans="1:7" x14ac:dyDescent="0.25">
      <c r="A2037" s="1"/>
      <c r="B2037" s="2"/>
      <c r="C2037" s="2"/>
      <c r="D2037" s="1"/>
      <c r="F2037" s="1"/>
      <c r="G2037" s="1"/>
    </row>
    <row r="2038" spans="1:7" x14ac:dyDescent="0.25">
      <c r="A2038" s="1"/>
      <c r="B2038" s="2"/>
      <c r="C2038" s="2"/>
      <c r="D2038" s="1"/>
      <c r="F2038" s="1"/>
      <c r="G2038" s="1"/>
    </row>
    <row r="2039" spans="1:7" x14ac:dyDescent="0.25">
      <c r="A2039" s="1"/>
      <c r="B2039" s="2"/>
      <c r="C2039" s="2"/>
      <c r="D2039" s="1"/>
      <c r="F2039" s="1"/>
      <c r="G2039" s="1"/>
    </row>
    <row r="2040" spans="1:7" x14ac:dyDescent="0.25">
      <c r="A2040" s="1"/>
      <c r="B2040" s="2"/>
      <c r="C2040" s="2"/>
      <c r="D2040" s="1"/>
      <c r="F2040" s="1"/>
      <c r="G2040" s="1"/>
    </row>
    <row r="2041" spans="1:7" x14ac:dyDescent="0.25">
      <c r="A2041" s="1"/>
      <c r="B2041" s="2"/>
      <c r="C2041" s="2"/>
      <c r="D2041" s="1"/>
      <c r="F2041" s="1"/>
      <c r="G2041" s="1"/>
    </row>
    <row r="2042" spans="1:7" x14ac:dyDescent="0.25">
      <c r="A2042" s="1"/>
      <c r="B2042" s="2"/>
      <c r="C2042" s="2"/>
      <c r="D2042" s="1"/>
      <c r="F2042" s="1"/>
      <c r="G2042" s="1"/>
    </row>
    <row r="2043" spans="1:7" x14ac:dyDescent="0.25">
      <c r="A2043" s="1"/>
      <c r="B2043" s="2"/>
      <c r="C2043" s="2"/>
      <c r="D2043" s="1"/>
      <c r="F2043" s="1"/>
      <c r="G2043" s="1"/>
    </row>
    <row r="2044" spans="1:7" x14ac:dyDescent="0.25">
      <c r="A2044" s="1"/>
      <c r="B2044" s="2"/>
      <c r="C2044" s="2"/>
      <c r="D2044" s="1"/>
      <c r="F2044" s="1"/>
      <c r="G2044" s="1"/>
    </row>
    <row r="2045" spans="1:7" x14ac:dyDescent="0.25">
      <c r="A2045" s="1"/>
      <c r="B2045" s="2"/>
      <c r="C2045" s="2"/>
      <c r="D2045" s="1"/>
      <c r="F2045" s="1"/>
      <c r="G2045" s="1"/>
    </row>
    <row r="2046" spans="1:7" x14ac:dyDescent="0.25">
      <c r="A2046" s="1"/>
      <c r="B2046" s="2"/>
      <c r="C2046" s="2"/>
      <c r="D2046" s="1"/>
      <c r="F2046" s="1"/>
      <c r="G2046" s="1"/>
    </row>
    <row r="2047" spans="1:7" x14ac:dyDescent="0.25">
      <c r="A2047" s="1"/>
      <c r="B2047" s="2"/>
      <c r="C2047" s="2"/>
      <c r="D2047" s="1"/>
      <c r="F2047" s="1"/>
      <c r="G2047" s="1"/>
    </row>
    <row r="2048" spans="1:7" x14ac:dyDescent="0.25">
      <c r="A2048" s="1"/>
      <c r="B2048" s="2"/>
      <c r="C2048" s="2"/>
      <c r="D2048" s="1"/>
      <c r="F2048" s="1"/>
      <c r="G2048" s="1"/>
    </row>
    <row r="2049" spans="1:7" x14ac:dyDescent="0.25">
      <c r="A2049" s="1"/>
      <c r="B2049" s="2"/>
      <c r="C2049" s="2"/>
      <c r="D2049" s="1"/>
      <c r="F2049" s="1"/>
      <c r="G2049" s="1"/>
    </row>
    <row r="2050" spans="1:7" x14ac:dyDescent="0.25">
      <c r="A2050" s="1"/>
      <c r="B2050" s="2"/>
      <c r="C2050" s="2"/>
      <c r="D2050" s="1"/>
      <c r="F2050" s="1"/>
      <c r="G2050" s="1"/>
    </row>
    <row r="2051" spans="1:7" x14ac:dyDescent="0.25">
      <c r="A2051" s="1"/>
      <c r="B2051" s="2"/>
      <c r="C2051" s="2"/>
      <c r="D2051" s="1"/>
      <c r="F2051" s="1"/>
      <c r="G2051" s="1"/>
    </row>
    <row r="2052" spans="1:7" x14ac:dyDescent="0.25">
      <c r="A2052" s="1"/>
      <c r="B2052" s="2"/>
      <c r="C2052" s="2"/>
      <c r="D2052" s="1"/>
      <c r="F2052" s="1"/>
      <c r="G2052" s="1"/>
    </row>
    <row r="2053" spans="1:7" x14ac:dyDescent="0.25">
      <c r="A2053" s="1"/>
      <c r="B2053" s="2"/>
      <c r="C2053" s="2"/>
      <c r="D2053" s="1"/>
      <c r="F2053" s="1"/>
      <c r="G2053" s="1"/>
    </row>
    <row r="2054" spans="1:7" x14ac:dyDescent="0.25">
      <c r="A2054" s="1"/>
      <c r="B2054" s="2"/>
      <c r="C2054" s="2"/>
      <c r="D2054" s="1"/>
      <c r="F2054" s="1"/>
      <c r="G2054" s="1"/>
    </row>
    <row r="2055" spans="1:7" x14ac:dyDescent="0.25">
      <c r="A2055" s="1"/>
      <c r="B2055" s="2"/>
      <c r="C2055" s="2"/>
      <c r="D2055" s="1"/>
      <c r="F2055" s="1"/>
      <c r="G2055" s="1"/>
    </row>
    <row r="2056" spans="1:7" x14ac:dyDescent="0.25">
      <c r="A2056" s="1"/>
      <c r="B2056" s="2"/>
      <c r="C2056" s="2"/>
      <c r="D2056" s="1"/>
      <c r="F2056" s="1"/>
      <c r="G2056" s="1"/>
    </row>
    <row r="2057" spans="1:7" x14ac:dyDescent="0.25">
      <c r="A2057" s="1"/>
      <c r="B2057" s="2"/>
      <c r="C2057" s="2"/>
      <c r="D2057" s="1"/>
      <c r="F2057" s="1"/>
      <c r="G2057" s="1"/>
    </row>
    <row r="2058" spans="1:7" x14ac:dyDescent="0.25">
      <c r="A2058" s="1"/>
      <c r="B2058" s="2"/>
      <c r="C2058" s="2"/>
      <c r="D2058" s="1"/>
      <c r="F2058" s="1"/>
      <c r="G2058" s="1"/>
    </row>
    <row r="2059" spans="1:7" x14ac:dyDescent="0.25">
      <c r="A2059" s="1"/>
      <c r="B2059" s="2"/>
      <c r="C2059" s="2"/>
      <c r="D2059" s="1"/>
      <c r="F2059" s="1"/>
      <c r="G2059" s="1"/>
    </row>
    <row r="2060" spans="1:7" x14ac:dyDescent="0.25">
      <c r="A2060" s="1"/>
      <c r="B2060" s="2"/>
      <c r="C2060" s="2"/>
      <c r="D2060" s="1"/>
      <c r="F2060" s="1"/>
      <c r="G2060" s="1"/>
    </row>
    <row r="2061" spans="1:7" x14ac:dyDescent="0.25">
      <c r="A2061" s="1"/>
      <c r="B2061" s="2"/>
      <c r="C2061" s="2"/>
      <c r="D2061" s="1"/>
      <c r="F2061" s="1"/>
      <c r="G2061" s="1"/>
    </row>
    <row r="2062" spans="1:7" x14ac:dyDescent="0.25">
      <c r="A2062" s="1"/>
      <c r="B2062" s="2"/>
      <c r="C2062" s="2"/>
      <c r="D2062" s="1"/>
      <c r="F2062" s="1"/>
      <c r="G2062" s="1"/>
    </row>
    <row r="2063" spans="1:7" x14ac:dyDescent="0.25">
      <c r="A2063" s="1"/>
      <c r="B2063" s="2"/>
      <c r="C2063" s="2"/>
      <c r="D2063" s="1"/>
      <c r="F2063" s="1"/>
      <c r="G2063" s="1"/>
    </row>
    <row r="2064" spans="1:7" x14ac:dyDescent="0.25">
      <c r="A2064" s="1"/>
      <c r="B2064" s="2"/>
      <c r="C2064" s="2"/>
      <c r="D2064" s="1"/>
      <c r="F2064" s="1"/>
      <c r="G2064" s="1"/>
    </row>
    <row r="2065" spans="1:7" x14ac:dyDescent="0.25">
      <c r="A2065" s="1"/>
      <c r="B2065" s="2"/>
      <c r="C2065" s="2"/>
      <c r="D2065" s="1"/>
      <c r="F2065" s="1"/>
      <c r="G2065" s="1"/>
    </row>
    <row r="2066" spans="1:7" x14ac:dyDescent="0.25">
      <c r="A2066" s="1"/>
      <c r="B2066" s="2"/>
      <c r="C2066" s="2"/>
      <c r="D2066" s="1"/>
      <c r="F2066" s="1"/>
      <c r="G2066" s="1"/>
    </row>
    <row r="2067" spans="1:7" x14ac:dyDescent="0.25">
      <c r="A2067" s="1"/>
      <c r="B2067" s="2"/>
      <c r="C2067" s="2"/>
      <c r="D2067" s="1"/>
      <c r="F2067" s="1"/>
      <c r="G2067" s="1"/>
    </row>
    <row r="2068" spans="1:7" x14ac:dyDescent="0.25">
      <c r="A2068" s="1"/>
      <c r="B2068" s="2"/>
      <c r="C2068" s="2"/>
      <c r="D2068" s="1"/>
      <c r="F2068" s="1"/>
      <c r="G2068" s="1"/>
    </row>
    <row r="2069" spans="1:7" x14ac:dyDescent="0.25">
      <c r="A2069" s="1"/>
      <c r="B2069" s="2"/>
      <c r="C2069" s="2"/>
      <c r="D2069" s="1"/>
      <c r="F2069" s="1"/>
      <c r="G2069" s="1"/>
    </row>
    <row r="2070" spans="1:7" x14ac:dyDescent="0.25">
      <c r="A2070" s="1"/>
      <c r="B2070" s="2"/>
      <c r="C2070" s="2"/>
      <c r="D2070" s="1"/>
      <c r="F2070" s="1"/>
      <c r="G2070" s="1"/>
    </row>
    <row r="2071" spans="1:7" x14ac:dyDescent="0.25">
      <c r="A2071" s="1"/>
      <c r="B2071" s="2"/>
      <c r="C2071" s="2"/>
      <c r="D2071" s="1"/>
      <c r="F2071" s="1"/>
      <c r="G2071" s="1"/>
    </row>
    <row r="2072" spans="1:7" x14ac:dyDescent="0.25">
      <c r="A2072" s="1"/>
      <c r="B2072" s="2"/>
      <c r="C2072" s="2"/>
      <c r="D2072" s="1"/>
      <c r="F2072" s="1"/>
      <c r="G2072" s="1"/>
    </row>
    <row r="2073" spans="1:7" x14ac:dyDescent="0.25">
      <c r="A2073" s="1"/>
      <c r="B2073" s="2"/>
      <c r="C2073" s="2"/>
      <c r="D2073" s="1"/>
      <c r="F2073" s="1"/>
      <c r="G2073" s="1"/>
    </row>
    <row r="2074" spans="1:7" x14ac:dyDescent="0.25">
      <c r="A2074" s="1"/>
      <c r="B2074" s="2"/>
      <c r="C2074" s="2"/>
      <c r="D2074" s="1"/>
      <c r="F2074" s="1"/>
      <c r="G2074" s="1"/>
    </row>
    <row r="2075" spans="1:7" x14ac:dyDescent="0.25">
      <c r="A2075" s="1"/>
      <c r="B2075" s="2"/>
      <c r="C2075" s="2"/>
      <c r="D2075" s="1"/>
      <c r="F2075" s="1"/>
      <c r="G2075" s="1"/>
    </row>
    <row r="2076" spans="1:7" x14ac:dyDescent="0.25">
      <c r="A2076" s="1"/>
      <c r="B2076" s="2"/>
      <c r="C2076" s="2"/>
      <c r="D2076" s="1"/>
      <c r="F2076" s="1"/>
      <c r="G2076" s="1"/>
    </row>
    <row r="2077" spans="1:7" x14ac:dyDescent="0.25">
      <c r="A2077" s="1"/>
      <c r="B2077" s="2"/>
      <c r="C2077" s="2"/>
      <c r="D2077" s="1"/>
      <c r="F2077" s="1"/>
      <c r="G2077" s="1"/>
    </row>
    <row r="2078" spans="1:7" x14ac:dyDescent="0.25">
      <c r="A2078" s="1"/>
      <c r="B2078" s="2"/>
      <c r="C2078" s="2"/>
      <c r="D2078" s="1"/>
      <c r="F2078" s="1"/>
      <c r="G2078" s="1"/>
    </row>
    <row r="2079" spans="1:7" x14ac:dyDescent="0.25">
      <c r="A2079" s="1"/>
      <c r="B2079" s="2"/>
      <c r="C2079" s="2"/>
      <c r="D2079" s="1"/>
      <c r="F2079" s="1"/>
      <c r="G2079" s="1"/>
    </row>
    <row r="2080" spans="1:7" x14ac:dyDescent="0.25">
      <c r="A2080" s="1"/>
      <c r="B2080" s="2"/>
      <c r="C2080" s="2"/>
      <c r="D2080" s="1"/>
      <c r="F2080" s="1"/>
      <c r="G2080" s="1"/>
    </row>
    <row r="2081" spans="1:7" x14ac:dyDescent="0.25">
      <c r="A2081" s="1"/>
      <c r="B2081" s="2"/>
      <c r="C2081" s="2"/>
      <c r="D2081" s="1"/>
      <c r="F2081" s="1"/>
      <c r="G2081" s="1"/>
    </row>
    <row r="2082" spans="1:7" x14ac:dyDescent="0.25">
      <c r="A2082" s="1"/>
      <c r="B2082" s="2"/>
      <c r="C2082" s="2"/>
      <c r="D2082" s="1"/>
      <c r="F2082" s="1"/>
      <c r="G2082" s="1"/>
    </row>
    <row r="2083" spans="1:7" x14ac:dyDescent="0.25">
      <c r="A2083" s="1"/>
      <c r="B2083" s="2"/>
      <c r="C2083" s="2"/>
      <c r="D2083" s="1"/>
      <c r="F2083" s="1"/>
      <c r="G2083" s="1"/>
    </row>
    <row r="2084" spans="1:7" x14ac:dyDescent="0.25">
      <c r="A2084" s="1"/>
      <c r="B2084" s="2"/>
      <c r="C2084" s="2"/>
      <c r="D2084" s="1"/>
      <c r="F2084" s="1"/>
      <c r="G2084" s="1"/>
    </row>
    <row r="2085" spans="1:7" x14ac:dyDescent="0.25">
      <c r="A2085" s="1"/>
      <c r="B2085" s="2"/>
      <c r="C2085" s="2"/>
      <c r="D2085" s="1"/>
      <c r="F2085" s="1"/>
      <c r="G2085" s="1"/>
    </row>
    <row r="2086" spans="1:7" x14ac:dyDescent="0.25">
      <c r="A2086" s="1"/>
      <c r="B2086" s="2"/>
      <c r="C2086" s="2"/>
      <c r="D2086" s="1"/>
      <c r="F2086" s="1"/>
      <c r="G2086" s="1"/>
    </row>
    <row r="2087" spans="1:7" x14ac:dyDescent="0.25">
      <c r="A2087" s="1"/>
      <c r="B2087" s="2"/>
      <c r="C2087" s="2"/>
      <c r="D2087" s="1"/>
      <c r="F2087" s="1"/>
      <c r="G2087" s="1"/>
    </row>
    <row r="2088" spans="1:7" x14ac:dyDescent="0.25">
      <c r="A2088" s="1"/>
      <c r="B2088" s="2"/>
      <c r="C2088" s="2"/>
      <c r="D2088" s="1"/>
      <c r="F2088" s="1"/>
      <c r="G2088" s="1"/>
    </row>
    <row r="2089" spans="1:7" x14ac:dyDescent="0.25">
      <c r="A2089" s="1"/>
      <c r="B2089" s="2"/>
      <c r="C2089" s="2"/>
      <c r="D2089" s="1"/>
      <c r="F2089" s="1"/>
      <c r="G2089" s="1"/>
    </row>
    <row r="2090" spans="1:7" x14ac:dyDescent="0.25">
      <c r="A2090" s="1"/>
      <c r="B2090" s="2"/>
      <c r="C2090" s="2"/>
      <c r="D2090" s="1"/>
      <c r="F2090" s="1"/>
      <c r="G2090" s="1"/>
    </row>
    <row r="2091" spans="1:7" x14ac:dyDescent="0.25">
      <c r="A2091" s="1"/>
      <c r="B2091" s="2"/>
      <c r="C2091" s="2"/>
      <c r="D2091" s="1"/>
      <c r="F2091" s="1"/>
      <c r="G2091" s="1"/>
    </row>
    <row r="2092" spans="1:7" x14ac:dyDescent="0.25">
      <c r="A2092" s="1"/>
      <c r="B2092" s="2"/>
      <c r="C2092" s="2"/>
      <c r="D2092" s="1"/>
      <c r="F2092" s="1"/>
      <c r="G2092" s="1"/>
    </row>
    <row r="2093" spans="1:7" x14ac:dyDescent="0.25">
      <c r="A2093" s="1"/>
      <c r="B2093" s="2"/>
      <c r="C2093" s="2"/>
      <c r="D2093" s="1"/>
      <c r="F2093" s="1"/>
      <c r="G2093" s="1"/>
    </row>
    <row r="2094" spans="1:7" x14ac:dyDescent="0.25">
      <c r="A2094" s="1"/>
      <c r="B2094" s="2"/>
      <c r="C2094" s="2"/>
      <c r="D2094" s="1"/>
      <c r="F2094" s="1"/>
      <c r="G2094" s="1"/>
    </row>
    <row r="2095" spans="1:7" x14ac:dyDescent="0.25">
      <c r="A2095" s="1"/>
      <c r="B2095" s="2"/>
      <c r="C2095" s="2"/>
      <c r="D2095" s="1"/>
      <c r="F2095" s="1"/>
      <c r="G2095" s="1"/>
    </row>
    <row r="2096" spans="1:7" x14ac:dyDescent="0.25">
      <c r="A2096" s="1"/>
      <c r="B2096" s="2"/>
      <c r="C2096" s="2"/>
      <c r="D2096" s="1"/>
      <c r="F2096" s="1"/>
      <c r="G2096" s="1"/>
    </row>
    <row r="2097" spans="1:7" x14ac:dyDescent="0.25">
      <c r="A2097" s="1"/>
      <c r="B2097" s="2"/>
      <c r="C2097" s="2"/>
      <c r="D2097" s="1"/>
      <c r="F2097" s="1"/>
      <c r="G2097" s="1"/>
    </row>
    <row r="2098" spans="1:7" x14ac:dyDescent="0.25">
      <c r="A2098" s="1"/>
      <c r="B2098" s="2"/>
      <c r="C2098" s="2"/>
      <c r="D2098" s="1"/>
      <c r="F2098" s="1"/>
      <c r="G2098" s="1"/>
    </row>
    <row r="2099" spans="1:7" x14ac:dyDescent="0.25">
      <c r="A2099" s="1"/>
      <c r="B2099" s="2"/>
      <c r="C2099" s="2"/>
      <c r="D2099" s="1"/>
      <c r="F2099" s="1"/>
      <c r="G2099" s="1"/>
    </row>
    <row r="2100" spans="1:7" x14ac:dyDescent="0.25">
      <c r="A2100" s="1"/>
      <c r="B2100" s="2"/>
      <c r="C2100" s="2"/>
      <c r="D2100" s="1"/>
      <c r="F2100" s="1"/>
      <c r="G2100" s="1"/>
    </row>
    <row r="2101" spans="1:7" x14ac:dyDescent="0.25">
      <c r="A2101" s="1"/>
      <c r="B2101" s="2"/>
      <c r="C2101" s="2"/>
      <c r="D2101" s="1"/>
      <c r="F2101" s="1"/>
      <c r="G2101" s="1"/>
    </row>
    <row r="2102" spans="1:7" x14ac:dyDescent="0.25">
      <c r="A2102" s="1"/>
      <c r="B2102" s="2"/>
      <c r="C2102" s="2"/>
      <c r="D2102" s="1"/>
      <c r="F2102" s="1"/>
      <c r="G2102" s="1"/>
    </row>
    <row r="2103" spans="1:7" x14ac:dyDescent="0.25">
      <c r="A2103" s="1"/>
      <c r="B2103" s="2"/>
      <c r="C2103" s="2"/>
      <c r="D2103" s="1"/>
      <c r="F2103" s="1"/>
      <c r="G2103" s="1"/>
    </row>
    <row r="2104" spans="1:7" x14ac:dyDescent="0.25">
      <c r="A2104" s="1"/>
      <c r="B2104" s="2"/>
      <c r="C2104" s="2"/>
      <c r="D2104" s="1"/>
      <c r="F2104" s="1"/>
      <c r="G2104" s="1"/>
    </row>
    <row r="2105" spans="1:7" x14ac:dyDescent="0.25">
      <c r="A2105" s="1"/>
      <c r="B2105" s="2"/>
      <c r="C2105" s="2"/>
      <c r="D2105" s="1"/>
      <c r="F2105" s="1"/>
      <c r="G2105" s="1"/>
    </row>
    <row r="2106" spans="1:7" x14ac:dyDescent="0.25">
      <c r="A2106" s="1"/>
      <c r="B2106" s="2"/>
      <c r="C2106" s="2"/>
      <c r="D2106" s="1"/>
      <c r="F2106" s="1"/>
      <c r="G2106" s="1"/>
    </row>
    <row r="2107" spans="1:7" x14ac:dyDescent="0.25">
      <c r="A2107" s="1"/>
      <c r="B2107" s="2"/>
      <c r="C2107" s="2"/>
      <c r="D2107" s="1"/>
      <c r="F2107" s="1"/>
      <c r="G2107" s="1"/>
    </row>
    <row r="2108" spans="1:7" x14ac:dyDescent="0.25">
      <c r="A2108" s="1"/>
      <c r="B2108" s="2"/>
      <c r="C2108" s="2"/>
      <c r="D2108" s="1"/>
      <c r="F2108" s="1"/>
      <c r="G2108" s="1"/>
    </row>
    <row r="2109" spans="1:7" x14ac:dyDescent="0.25">
      <c r="A2109" s="1"/>
      <c r="B2109" s="2"/>
      <c r="C2109" s="2"/>
      <c r="D2109" s="1"/>
      <c r="F2109" s="1"/>
      <c r="G2109" s="1"/>
    </row>
    <row r="2110" spans="1:7" x14ac:dyDescent="0.25">
      <c r="A2110" s="1"/>
      <c r="B2110" s="2"/>
      <c r="C2110" s="2"/>
      <c r="D2110" s="1"/>
      <c r="F2110" s="1"/>
      <c r="G2110" s="1"/>
    </row>
    <row r="2111" spans="1:7" x14ac:dyDescent="0.25">
      <c r="A2111" s="1"/>
      <c r="B2111" s="2"/>
      <c r="C2111" s="2"/>
      <c r="D2111" s="1"/>
      <c r="F2111" s="1"/>
      <c r="G2111" s="1"/>
    </row>
    <row r="2112" spans="1:7" x14ac:dyDescent="0.25">
      <c r="A2112" s="1"/>
      <c r="B2112" s="2"/>
      <c r="C2112" s="2"/>
      <c r="D2112" s="1"/>
      <c r="F2112" s="1"/>
      <c r="G2112" s="1"/>
    </row>
    <row r="2113" spans="1:7" x14ac:dyDescent="0.25">
      <c r="A2113" s="1"/>
      <c r="B2113" s="2"/>
      <c r="C2113" s="2"/>
      <c r="D2113" s="1"/>
      <c r="F2113" s="1"/>
      <c r="G2113" s="1"/>
    </row>
    <row r="2114" spans="1:7" x14ac:dyDescent="0.25">
      <c r="A2114" s="1"/>
      <c r="B2114" s="2"/>
      <c r="C2114" s="2"/>
      <c r="D2114" s="1"/>
      <c r="F2114" s="1"/>
      <c r="G2114" s="1"/>
    </row>
    <row r="2115" spans="1:7" x14ac:dyDescent="0.25">
      <c r="A2115" s="1"/>
      <c r="B2115" s="2"/>
      <c r="C2115" s="2"/>
      <c r="D2115" s="1"/>
      <c r="F2115" s="1"/>
      <c r="G2115" s="1"/>
    </row>
    <row r="2116" spans="1:7" x14ac:dyDescent="0.25">
      <c r="A2116" s="1"/>
      <c r="B2116" s="2"/>
      <c r="C2116" s="2"/>
      <c r="D2116" s="1"/>
      <c r="F2116" s="1"/>
      <c r="G2116" s="1"/>
    </row>
    <row r="2117" spans="1:7" x14ac:dyDescent="0.25">
      <c r="A2117" s="1"/>
      <c r="B2117" s="2"/>
      <c r="C2117" s="2"/>
      <c r="D2117" s="1"/>
      <c r="F2117" s="1"/>
      <c r="G2117" s="1"/>
    </row>
    <row r="2118" spans="1:7" x14ac:dyDescent="0.25">
      <c r="A2118" s="1"/>
      <c r="B2118" s="2"/>
      <c r="C2118" s="2"/>
      <c r="D2118" s="1"/>
      <c r="F2118" s="1"/>
      <c r="G2118" s="1"/>
    </row>
    <row r="2119" spans="1:7" x14ac:dyDescent="0.25">
      <c r="A2119" s="1"/>
      <c r="B2119" s="2"/>
      <c r="C2119" s="2"/>
      <c r="D2119" s="1"/>
      <c r="F2119" s="1"/>
      <c r="G2119" s="1"/>
    </row>
    <row r="2120" spans="1:7" x14ac:dyDescent="0.25">
      <c r="A2120" s="1"/>
      <c r="B2120" s="2"/>
      <c r="C2120" s="2"/>
      <c r="D2120" s="1"/>
      <c r="F2120" s="1"/>
      <c r="G2120" s="1"/>
    </row>
    <row r="2121" spans="1:7" x14ac:dyDescent="0.25">
      <c r="A2121" s="1"/>
      <c r="B2121" s="2"/>
      <c r="C2121" s="2"/>
      <c r="D2121" s="1"/>
      <c r="F2121" s="1"/>
      <c r="G2121" s="1"/>
    </row>
    <row r="2122" spans="1:7" x14ac:dyDescent="0.25">
      <c r="A2122" s="1"/>
      <c r="B2122" s="2"/>
      <c r="C2122" s="2"/>
      <c r="D2122" s="1"/>
      <c r="F2122" s="1"/>
      <c r="G2122" s="1"/>
    </row>
    <row r="2123" spans="1:7" x14ac:dyDescent="0.25">
      <c r="A2123" s="1"/>
      <c r="B2123" s="2"/>
      <c r="C2123" s="2"/>
      <c r="D2123" s="1"/>
      <c r="F2123" s="1"/>
      <c r="G2123" s="1"/>
    </row>
    <row r="2124" spans="1:7" x14ac:dyDescent="0.25">
      <c r="A2124" s="1"/>
      <c r="B2124" s="2"/>
      <c r="C2124" s="2"/>
      <c r="D2124" s="1"/>
      <c r="F2124" s="1"/>
      <c r="G2124" s="1"/>
    </row>
    <row r="2125" spans="1:7" x14ac:dyDescent="0.25">
      <c r="A2125" s="1"/>
      <c r="B2125" s="2"/>
      <c r="C2125" s="2"/>
      <c r="D2125" s="1"/>
      <c r="F2125" s="1"/>
      <c r="G2125" s="1"/>
    </row>
    <row r="2126" spans="1:7" x14ac:dyDescent="0.25">
      <c r="A2126" s="1"/>
      <c r="B2126" s="2"/>
      <c r="C2126" s="2"/>
      <c r="D2126" s="1"/>
      <c r="F2126" s="1"/>
      <c r="G2126" s="1"/>
    </row>
    <row r="2127" spans="1:7" x14ac:dyDescent="0.25">
      <c r="A2127" s="1"/>
      <c r="B2127" s="2"/>
      <c r="C2127" s="2"/>
      <c r="D2127" s="1"/>
      <c r="F2127" s="1"/>
      <c r="G2127" s="1"/>
    </row>
    <row r="2128" spans="1:7" x14ac:dyDescent="0.25">
      <c r="A2128" s="1"/>
      <c r="B2128" s="2"/>
      <c r="C2128" s="2"/>
      <c r="D2128" s="1"/>
      <c r="F2128" s="1"/>
      <c r="G2128" s="1"/>
    </row>
    <row r="2129" spans="1:7" x14ac:dyDescent="0.25">
      <c r="A2129" s="1"/>
      <c r="B2129" s="2"/>
      <c r="C2129" s="2"/>
      <c r="D2129" s="1"/>
      <c r="F2129" s="1"/>
      <c r="G2129" s="1"/>
    </row>
    <row r="2130" spans="1:7" x14ac:dyDescent="0.25">
      <c r="A2130" s="1"/>
      <c r="B2130" s="2"/>
      <c r="C2130" s="2"/>
      <c r="D2130" s="1"/>
      <c r="F2130" s="1"/>
      <c r="G2130" s="1"/>
    </row>
    <row r="2131" spans="1:7" x14ac:dyDescent="0.25">
      <c r="A2131" s="1"/>
      <c r="B2131" s="2"/>
      <c r="C2131" s="2"/>
      <c r="D2131" s="1"/>
      <c r="F2131" s="1"/>
      <c r="G2131" s="1"/>
    </row>
    <row r="2132" spans="1:7" x14ac:dyDescent="0.25">
      <c r="A2132" s="1"/>
      <c r="B2132" s="2"/>
      <c r="C2132" s="2"/>
      <c r="D2132" s="1"/>
      <c r="F2132" s="1"/>
      <c r="G2132" s="1"/>
    </row>
    <row r="2133" spans="1:7" x14ac:dyDescent="0.25">
      <c r="A2133" s="1"/>
      <c r="B2133" s="2"/>
      <c r="C2133" s="2"/>
      <c r="D2133" s="1"/>
      <c r="F2133" s="1"/>
      <c r="G2133" s="1"/>
    </row>
    <row r="2134" spans="1:7" x14ac:dyDescent="0.25">
      <c r="A2134" s="1"/>
      <c r="B2134" s="2"/>
      <c r="C2134" s="2"/>
      <c r="D2134" s="1"/>
      <c r="F2134" s="1"/>
      <c r="G2134" s="1"/>
    </row>
    <row r="2135" spans="1:7" x14ac:dyDescent="0.25">
      <c r="A2135" s="1"/>
      <c r="B2135" s="2"/>
      <c r="C2135" s="2"/>
      <c r="D2135" s="1"/>
      <c r="F2135" s="1"/>
      <c r="G2135" s="1"/>
    </row>
    <row r="2136" spans="1:7" x14ac:dyDescent="0.25">
      <c r="A2136" s="1"/>
      <c r="B2136" s="2"/>
      <c r="C2136" s="2"/>
      <c r="D2136" s="1"/>
      <c r="F2136" s="1"/>
      <c r="G2136" s="1"/>
    </row>
    <row r="2137" spans="1:7" x14ac:dyDescent="0.25">
      <c r="A2137" s="1"/>
      <c r="B2137" s="2"/>
      <c r="C2137" s="2"/>
      <c r="D2137" s="1"/>
      <c r="F2137" s="1"/>
      <c r="G2137" s="1"/>
    </row>
    <row r="2138" spans="1:7" x14ac:dyDescent="0.25">
      <c r="A2138" s="1"/>
      <c r="B2138" s="2"/>
      <c r="C2138" s="2"/>
      <c r="D2138" s="1"/>
      <c r="F2138" s="1"/>
      <c r="G2138" s="1"/>
    </row>
    <row r="2139" spans="1:7" x14ac:dyDescent="0.25">
      <c r="A2139" s="1"/>
      <c r="B2139" s="2"/>
      <c r="C2139" s="2"/>
      <c r="D2139" s="1"/>
      <c r="F2139" s="1"/>
      <c r="G2139" s="1"/>
    </row>
    <row r="2140" spans="1:7" x14ac:dyDescent="0.25">
      <c r="A2140" s="1"/>
      <c r="B2140" s="2"/>
      <c r="C2140" s="2"/>
      <c r="D2140" s="1"/>
      <c r="F2140" s="1"/>
      <c r="G2140" s="1"/>
    </row>
    <row r="2141" spans="1:7" x14ac:dyDescent="0.25">
      <c r="A2141" s="1"/>
      <c r="B2141" s="2"/>
      <c r="C2141" s="2"/>
      <c r="D2141" s="1"/>
      <c r="F2141" s="1"/>
      <c r="G2141" s="1"/>
    </row>
    <row r="2142" spans="1:7" x14ac:dyDescent="0.25">
      <c r="A2142" s="1"/>
      <c r="B2142" s="2"/>
      <c r="C2142" s="2"/>
      <c r="D2142" s="1"/>
      <c r="F2142" s="1"/>
      <c r="G2142" s="1"/>
    </row>
    <row r="2143" spans="1:7" x14ac:dyDescent="0.25">
      <c r="A2143" s="1"/>
      <c r="B2143" s="2"/>
      <c r="C2143" s="2"/>
      <c r="D2143" s="1"/>
      <c r="F2143" s="1"/>
      <c r="G2143" s="1"/>
    </row>
    <row r="2144" spans="1:7" x14ac:dyDescent="0.25">
      <c r="A2144" s="1"/>
      <c r="B2144" s="2"/>
      <c r="C2144" s="2"/>
      <c r="D2144" s="1"/>
      <c r="F2144" s="1"/>
      <c r="G2144" s="1"/>
    </row>
    <row r="2145" spans="1:7" x14ac:dyDescent="0.25">
      <c r="A2145" s="1"/>
      <c r="B2145" s="2"/>
      <c r="C2145" s="2"/>
      <c r="D2145" s="1"/>
      <c r="F2145" s="1"/>
      <c r="G2145" s="1"/>
    </row>
    <row r="2146" spans="1:7" x14ac:dyDescent="0.25">
      <c r="A2146" s="1"/>
      <c r="B2146" s="2"/>
      <c r="C2146" s="2"/>
      <c r="D2146" s="1"/>
      <c r="F2146" s="1"/>
      <c r="G2146" s="1"/>
    </row>
    <row r="2147" spans="1:7" x14ac:dyDescent="0.25">
      <c r="A2147" s="1"/>
      <c r="B2147" s="2"/>
      <c r="C2147" s="2"/>
      <c r="D2147" s="1"/>
      <c r="F2147" s="1"/>
      <c r="G2147" s="1"/>
    </row>
    <row r="2148" spans="1:7" x14ac:dyDescent="0.25">
      <c r="A2148" s="1"/>
      <c r="B2148" s="2"/>
      <c r="C2148" s="2"/>
      <c r="D2148" s="1"/>
      <c r="F2148" s="1"/>
      <c r="G2148" s="1"/>
    </row>
    <row r="2149" spans="1:7" x14ac:dyDescent="0.25">
      <c r="A2149" s="1"/>
      <c r="B2149" s="2"/>
      <c r="C2149" s="2"/>
      <c r="D2149" s="1"/>
      <c r="F2149" s="1"/>
      <c r="G2149" s="1"/>
    </row>
    <row r="2150" spans="1:7" x14ac:dyDescent="0.25">
      <c r="A2150" s="1"/>
      <c r="B2150" s="2"/>
      <c r="C2150" s="2"/>
      <c r="D2150" s="1"/>
      <c r="F2150" s="1"/>
      <c r="G2150" s="1"/>
    </row>
    <row r="2151" spans="1:7" x14ac:dyDescent="0.25">
      <c r="A2151" s="1"/>
      <c r="B2151" s="2"/>
      <c r="C2151" s="2"/>
      <c r="D2151" s="1"/>
      <c r="F2151" s="1"/>
      <c r="G2151" s="1"/>
    </row>
    <row r="2152" spans="1:7" x14ac:dyDescent="0.25">
      <c r="A2152" s="1"/>
      <c r="B2152" s="2"/>
      <c r="C2152" s="2"/>
      <c r="D2152" s="1"/>
      <c r="F2152" s="1"/>
      <c r="G2152" s="1"/>
    </row>
    <row r="2153" spans="1:7" x14ac:dyDescent="0.25">
      <c r="A2153" s="1"/>
      <c r="B2153" s="2"/>
      <c r="C2153" s="2"/>
      <c r="D2153" s="1"/>
      <c r="F2153" s="1"/>
      <c r="G2153" s="1"/>
    </row>
    <row r="2154" spans="1:7" x14ac:dyDescent="0.25">
      <c r="A2154" s="1"/>
      <c r="B2154" s="2"/>
      <c r="C2154" s="2"/>
      <c r="D2154" s="1"/>
      <c r="F2154" s="1"/>
      <c r="G2154" s="1"/>
    </row>
    <row r="2155" spans="1:7" x14ac:dyDescent="0.25">
      <c r="A2155" s="1"/>
      <c r="B2155" s="2"/>
      <c r="C2155" s="2"/>
      <c r="D2155" s="1"/>
      <c r="F2155" s="1"/>
      <c r="G2155" s="1"/>
    </row>
    <row r="2156" spans="1:7" x14ac:dyDescent="0.25">
      <c r="A2156" s="1"/>
      <c r="B2156" s="2"/>
      <c r="C2156" s="2"/>
      <c r="D2156" s="1"/>
      <c r="F2156" s="1"/>
      <c r="G2156" s="1"/>
    </row>
    <row r="2157" spans="1:7" x14ac:dyDescent="0.25">
      <c r="A2157" s="1"/>
      <c r="B2157" s="2"/>
      <c r="C2157" s="2"/>
      <c r="D2157" s="1"/>
      <c r="F2157" s="1"/>
      <c r="G2157" s="1"/>
    </row>
    <row r="2158" spans="1:7" x14ac:dyDescent="0.25">
      <c r="A2158" s="1"/>
      <c r="B2158" s="2"/>
      <c r="C2158" s="2"/>
      <c r="D2158" s="1"/>
      <c r="F2158" s="1"/>
      <c r="G2158" s="1"/>
    </row>
    <row r="2159" spans="1:7" x14ac:dyDescent="0.25">
      <c r="A2159" s="1"/>
      <c r="B2159" s="2"/>
      <c r="C2159" s="2"/>
      <c r="D2159" s="1"/>
      <c r="F2159" s="1"/>
      <c r="G2159" s="1"/>
    </row>
    <row r="2160" spans="1:7" x14ac:dyDescent="0.25">
      <c r="A2160" s="1"/>
      <c r="B2160" s="2"/>
      <c r="C2160" s="2"/>
      <c r="D2160" s="1"/>
      <c r="F2160" s="1"/>
      <c r="G2160" s="1"/>
    </row>
    <row r="2161" spans="1:7" x14ac:dyDescent="0.25">
      <c r="A2161" s="1"/>
      <c r="B2161" s="2"/>
      <c r="C2161" s="2"/>
      <c r="D2161" s="1"/>
      <c r="F2161" s="1"/>
      <c r="G2161" s="1"/>
    </row>
    <row r="2162" spans="1:7" x14ac:dyDescent="0.25">
      <c r="A2162" s="1"/>
      <c r="B2162" s="2"/>
      <c r="C2162" s="2"/>
      <c r="D2162" s="1"/>
      <c r="F2162" s="1"/>
      <c r="G2162" s="1"/>
    </row>
    <row r="2163" spans="1:7" x14ac:dyDescent="0.25">
      <c r="A2163" s="1"/>
      <c r="B2163" s="2"/>
      <c r="C2163" s="2"/>
      <c r="D2163" s="1"/>
      <c r="F2163" s="1"/>
      <c r="G2163" s="1"/>
    </row>
    <row r="2164" spans="1:7" x14ac:dyDescent="0.25">
      <c r="A2164" s="1"/>
      <c r="B2164" s="2"/>
      <c r="C2164" s="2"/>
      <c r="D2164" s="1"/>
      <c r="F2164" s="1"/>
      <c r="G2164" s="1"/>
    </row>
    <row r="2165" spans="1:7" x14ac:dyDescent="0.25">
      <c r="A2165" s="1"/>
      <c r="B2165" s="2"/>
      <c r="C2165" s="2"/>
      <c r="D2165" s="1"/>
      <c r="F2165" s="1"/>
      <c r="G2165" s="1"/>
    </row>
    <row r="2166" spans="1:7" x14ac:dyDescent="0.25">
      <c r="A2166" s="1"/>
      <c r="B2166" s="2"/>
      <c r="C2166" s="2"/>
      <c r="D2166" s="1"/>
      <c r="F2166" s="1"/>
      <c r="G2166" s="1"/>
    </row>
    <row r="2167" spans="1:7" x14ac:dyDescent="0.25">
      <c r="A2167" s="1"/>
      <c r="B2167" s="2"/>
      <c r="C2167" s="2"/>
      <c r="D2167" s="1"/>
      <c r="F2167" s="1"/>
      <c r="G2167" s="1"/>
    </row>
    <row r="2168" spans="1:7" x14ac:dyDescent="0.25">
      <c r="A2168" s="1"/>
      <c r="B2168" s="2"/>
      <c r="C2168" s="2"/>
      <c r="D2168" s="1"/>
      <c r="F2168" s="1"/>
      <c r="G2168" s="1"/>
    </row>
    <row r="2169" spans="1:7" x14ac:dyDescent="0.25">
      <c r="A2169" s="1"/>
      <c r="B2169" s="2"/>
      <c r="C2169" s="2"/>
      <c r="D2169" s="1"/>
      <c r="F2169" s="1"/>
      <c r="G2169" s="1"/>
    </row>
    <row r="2170" spans="1:7" x14ac:dyDescent="0.25">
      <c r="A2170" s="1"/>
      <c r="B2170" s="2"/>
      <c r="C2170" s="2"/>
      <c r="D2170" s="1"/>
      <c r="F2170" s="1"/>
      <c r="G2170" s="1"/>
    </row>
    <row r="2171" spans="1:7" x14ac:dyDescent="0.25">
      <c r="A2171" s="1"/>
      <c r="B2171" s="2"/>
      <c r="C2171" s="2"/>
      <c r="D2171" s="1"/>
      <c r="F2171" s="1"/>
      <c r="G2171" s="1"/>
    </row>
    <row r="2172" spans="1:7" x14ac:dyDescent="0.25">
      <c r="A2172" s="1"/>
      <c r="B2172" s="2"/>
      <c r="C2172" s="2"/>
      <c r="D2172" s="1"/>
      <c r="F2172" s="1"/>
      <c r="G2172" s="1"/>
    </row>
    <row r="2173" spans="1:7" x14ac:dyDescent="0.25">
      <c r="A2173" s="1"/>
      <c r="B2173" s="2"/>
      <c r="C2173" s="2"/>
      <c r="D2173" s="1"/>
      <c r="F2173" s="1"/>
      <c r="G2173" s="1"/>
    </row>
    <row r="2174" spans="1:7" x14ac:dyDescent="0.25">
      <c r="A2174" s="1"/>
      <c r="B2174" s="2"/>
      <c r="C2174" s="2"/>
      <c r="D2174" s="1"/>
      <c r="F2174" s="1"/>
      <c r="G2174" s="1"/>
    </row>
    <row r="2175" spans="1:7" x14ac:dyDescent="0.25">
      <c r="A2175" s="1"/>
      <c r="B2175" s="2"/>
      <c r="C2175" s="2"/>
      <c r="D2175" s="1"/>
      <c r="F2175" s="1"/>
      <c r="G2175" s="1"/>
    </row>
    <row r="2176" spans="1:7" x14ac:dyDescent="0.25">
      <c r="A2176" s="1"/>
      <c r="B2176" s="2"/>
      <c r="C2176" s="2"/>
      <c r="D2176" s="1"/>
      <c r="F2176" s="1"/>
      <c r="G2176" s="1"/>
    </row>
    <row r="2177" spans="1:7" x14ac:dyDescent="0.25">
      <c r="A2177" s="1"/>
      <c r="B2177" s="2"/>
      <c r="C2177" s="2"/>
      <c r="D2177" s="1"/>
      <c r="F2177" s="1"/>
      <c r="G2177" s="1"/>
    </row>
    <row r="2178" spans="1:7" x14ac:dyDescent="0.25">
      <c r="A2178" s="1"/>
      <c r="B2178" s="2"/>
      <c r="C2178" s="2"/>
      <c r="D2178" s="1"/>
      <c r="F2178" s="1"/>
      <c r="G2178" s="1"/>
    </row>
    <row r="2179" spans="1:7" x14ac:dyDescent="0.25">
      <c r="A2179" s="1"/>
      <c r="B2179" s="2"/>
      <c r="C2179" s="2"/>
      <c r="D2179" s="1"/>
      <c r="F2179" s="1"/>
      <c r="G2179" s="1"/>
    </row>
    <row r="2180" spans="1:7" x14ac:dyDescent="0.25">
      <c r="A2180" s="1"/>
      <c r="B2180" s="2"/>
      <c r="C2180" s="2"/>
      <c r="D2180" s="1"/>
      <c r="F2180" s="1"/>
      <c r="G2180" s="1"/>
    </row>
    <row r="2181" spans="1:7" x14ac:dyDescent="0.25">
      <c r="A2181" s="1"/>
      <c r="B2181" s="2"/>
      <c r="C2181" s="2"/>
      <c r="D2181" s="1"/>
      <c r="F2181" s="1"/>
      <c r="G2181" s="1"/>
    </row>
    <row r="2182" spans="1:7" x14ac:dyDescent="0.25">
      <c r="A2182" s="1"/>
      <c r="B2182" s="2"/>
      <c r="C2182" s="2"/>
      <c r="D2182" s="1"/>
      <c r="F2182" s="1"/>
      <c r="G2182" s="1"/>
    </row>
    <row r="2183" spans="1:7" x14ac:dyDescent="0.25">
      <c r="A2183" s="1"/>
      <c r="B2183" s="2"/>
      <c r="C2183" s="2"/>
      <c r="D2183" s="1"/>
      <c r="F2183" s="1"/>
      <c r="G2183" s="1"/>
    </row>
    <row r="2184" spans="1:7" x14ac:dyDescent="0.25">
      <c r="A2184" s="1"/>
      <c r="B2184" s="2"/>
      <c r="C2184" s="2"/>
      <c r="D2184" s="1"/>
      <c r="F2184" s="1"/>
      <c r="G2184" s="1"/>
    </row>
    <row r="2185" spans="1:7" x14ac:dyDescent="0.25">
      <c r="A2185" s="1"/>
      <c r="B2185" s="2"/>
      <c r="C2185" s="2"/>
      <c r="D2185" s="1"/>
      <c r="F2185" s="1"/>
      <c r="G2185" s="1"/>
    </row>
    <row r="2186" spans="1:7" x14ac:dyDescent="0.25">
      <c r="A2186" s="1"/>
      <c r="B2186" s="2"/>
      <c r="C2186" s="2"/>
      <c r="D2186" s="1"/>
      <c r="F2186" s="1"/>
      <c r="G2186" s="1"/>
    </row>
    <row r="2187" spans="1:7" x14ac:dyDescent="0.25">
      <c r="A2187" s="1"/>
      <c r="B2187" s="2"/>
      <c r="C2187" s="2"/>
      <c r="D2187" s="1"/>
      <c r="F2187" s="1"/>
      <c r="G2187" s="1"/>
    </row>
    <row r="2188" spans="1:7" x14ac:dyDescent="0.25">
      <c r="A2188" s="1"/>
      <c r="B2188" s="2"/>
      <c r="C2188" s="2"/>
      <c r="D2188" s="1"/>
      <c r="F2188" s="1"/>
      <c r="G2188" s="1"/>
    </row>
    <row r="2189" spans="1:7" x14ac:dyDescent="0.25">
      <c r="A2189" s="1"/>
      <c r="B2189" s="2"/>
      <c r="C2189" s="2"/>
      <c r="D2189" s="1"/>
      <c r="F2189" s="1"/>
      <c r="G2189" s="1"/>
    </row>
    <row r="2190" spans="1:7" x14ac:dyDescent="0.25">
      <c r="A2190" s="1"/>
      <c r="B2190" s="2"/>
      <c r="C2190" s="2"/>
      <c r="D2190" s="1"/>
      <c r="F2190" s="1"/>
      <c r="G2190" s="1"/>
    </row>
    <row r="2191" spans="1:7" x14ac:dyDescent="0.25">
      <c r="A2191" s="1"/>
      <c r="B2191" s="2"/>
      <c r="C2191" s="2"/>
      <c r="D2191" s="1"/>
      <c r="F2191" s="1"/>
      <c r="G2191" s="1"/>
    </row>
    <row r="2192" spans="1:7" x14ac:dyDescent="0.25">
      <c r="A2192" s="1"/>
      <c r="B2192" s="2"/>
      <c r="C2192" s="2"/>
      <c r="D2192" s="1"/>
      <c r="F2192" s="1"/>
      <c r="G2192" s="1"/>
    </row>
    <row r="2193" spans="1:7" x14ac:dyDescent="0.25">
      <c r="A2193" s="1"/>
      <c r="B2193" s="2"/>
      <c r="C2193" s="2"/>
      <c r="D2193" s="1"/>
      <c r="F2193" s="1"/>
      <c r="G2193" s="1"/>
    </row>
    <row r="2194" spans="1:7" x14ac:dyDescent="0.25">
      <c r="A2194" s="1"/>
      <c r="B2194" s="2"/>
      <c r="C2194" s="2"/>
      <c r="D2194" s="1"/>
      <c r="F2194" s="1"/>
      <c r="G2194" s="1"/>
    </row>
    <row r="2195" spans="1:7" x14ac:dyDescent="0.25">
      <c r="A2195" s="1"/>
      <c r="B2195" s="2"/>
      <c r="C2195" s="2"/>
      <c r="D2195" s="1"/>
      <c r="F2195" s="1"/>
      <c r="G2195" s="1"/>
    </row>
    <row r="2196" spans="1:7" x14ac:dyDescent="0.25">
      <c r="A2196" s="1"/>
      <c r="B2196" s="2"/>
      <c r="C2196" s="2"/>
      <c r="D2196" s="1"/>
      <c r="F2196" s="1"/>
      <c r="G2196" s="1"/>
    </row>
    <row r="2197" spans="1:7" x14ac:dyDescent="0.25">
      <c r="A2197" s="1"/>
      <c r="B2197" s="2"/>
      <c r="C2197" s="2"/>
      <c r="D2197" s="1"/>
      <c r="F2197" s="1"/>
      <c r="G2197" s="1"/>
    </row>
    <row r="2198" spans="1:7" x14ac:dyDescent="0.25">
      <c r="A2198" s="1"/>
      <c r="B2198" s="2"/>
      <c r="C2198" s="2"/>
      <c r="D2198" s="1"/>
      <c r="F2198" s="1"/>
      <c r="G2198" s="1"/>
    </row>
    <row r="2199" spans="1:7" x14ac:dyDescent="0.25">
      <c r="A2199" s="1"/>
      <c r="B2199" s="2"/>
      <c r="C2199" s="2"/>
      <c r="D2199" s="1"/>
      <c r="F2199" s="1"/>
      <c r="G2199" s="1"/>
    </row>
    <row r="2200" spans="1:7" x14ac:dyDescent="0.25">
      <c r="A2200" s="1"/>
      <c r="B2200" s="2"/>
      <c r="C2200" s="2"/>
      <c r="D2200" s="1"/>
      <c r="F2200" s="1"/>
      <c r="G2200" s="1"/>
    </row>
    <row r="2201" spans="1:7" x14ac:dyDescent="0.25">
      <c r="A2201" s="1"/>
      <c r="B2201" s="2"/>
      <c r="C2201" s="2"/>
      <c r="D2201" s="1"/>
      <c r="F2201" s="1"/>
      <c r="G2201" s="1"/>
    </row>
    <row r="2202" spans="1:7" x14ac:dyDescent="0.25">
      <c r="A2202" s="1"/>
      <c r="B2202" s="2"/>
      <c r="C2202" s="2"/>
      <c r="D2202" s="1"/>
      <c r="F2202" s="1"/>
      <c r="G2202" s="1"/>
    </row>
    <row r="2203" spans="1:7" x14ac:dyDescent="0.25">
      <c r="A2203" s="1"/>
      <c r="B2203" s="2"/>
      <c r="C2203" s="2"/>
      <c r="D2203" s="1"/>
      <c r="F2203" s="1"/>
      <c r="G2203" s="1"/>
    </row>
    <row r="2204" spans="1:7" x14ac:dyDescent="0.25">
      <c r="A2204" s="1"/>
      <c r="B2204" s="2"/>
      <c r="C2204" s="2"/>
      <c r="D2204" s="1"/>
      <c r="F2204" s="1"/>
      <c r="G2204" s="1"/>
    </row>
    <row r="2205" spans="1:7" x14ac:dyDescent="0.25">
      <c r="A2205" s="1"/>
      <c r="B2205" s="2"/>
      <c r="C2205" s="2"/>
      <c r="D2205" s="1"/>
      <c r="F2205" s="1"/>
      <c r="G2205" s="1"/>
    </row>
    <row r="2206" spans="1:7" x14ac:dyDescent="0.25">
      <c r="A2206" s="1"/>
      <c r="B2206" s="2"/>
      <c r="C2206" s="2"/>
      <c r="D2206" s="1"/>
      <c r="F2206" s="1"/>
      <c r="G2206" s="1"/>
    </row>
    <row r="2207" spans="1:7" x14ac:dyDescent="0.25">
      <c r="A2207" s="1"/>
      <c r="B2207" s="2"/>
      <c r="C2207" s="2"/>
      <c r="D2207" s="1"/>
      <c r="F2207" s="1"/>
      <c r="G2207" s="1"/>
    </row>
    <row r="2208" spans="1:7" x14ac:dyDescent="0.25">
      <c r="A2208" s="1"/>
      <c r="B2208" s="2"/>
      <c r="C2208" s="2"/>
      <c r="D2208" s="1"/>
      <c r="F2208" s="1"/>
      <c r="G2208" s="1"/>
    </row>
    <row r="2209" spans="1:7" x14ac:dyDescent="0.25">
      <c r="A2209" s="1"/>
      <c r="B2209" s="2"/>
      <c r="C2209" s="2"/>
      <c r="D2209" s="1"/>
      <c r="F2209" s="1"/>
      <c r="G2209" s="1"/>
    </row>
    <row r="2210" spans="1:7" x14ac:dyDescent="0.25">
      <c r="A2210" s="1"/>
      <c r="B2210" s="2"/>
      <c r="C2210" s="2"/>
      <c r="D2210" s="1"/>
      <c r="F2210" s="1"/>
      <c r="G2210" s="1"/>
    </row>
    <row r="2211" spans="1:7" x14ac:dyDescent="0.25">
      <c r="A2211" s="1"/>
      <c r="B2211" s="2"/>
      <c r="C2211" s="2"/>
      <c r="D2211" s="1"/>
      <c r="F2211" s="1"/>
      <c r="G2211" s="1"/>
    </row>
    <row r="2212" spans="1:7" x14ac:dyDescent="0.25">
      <c r="A2212" s="1"/>
      <c r="B2212" s="2"/>
      <c r="C2212" s="2"/>
      <c r="D2212" s="1"/>
      <c r="F2212" s="1"/>
      <c r="G2212" s="1"/>
    </row>
    <row r="2213" spans="1:7" x14ac:dyDescent="0.25">
      <c r="A2213" s="1"/>
      <c r="B2213" s="2"/>
      <c r="C2213" s="2"/>
      <c r="D2213" s="1"/>
      <c r="F2213" s="1"/>
      <c r="G2213" s="1"/>
    </row>
    <row r="2214" spans="1:7" x14ac:dyDescent="0.25">
      <c r="A2214" s="1"/>
      <c r="B2214" s="2"/>
      <c r="C2214" s="2"/>
      <c r="D2214" s="1"/>
      <c r="F2214" s="1"/>
      <c r="G2214" s="1"/>
    </row>
    <row r="2215" spans="1:7" x14ac:dyDescent="0.25">
      <c r="A2215" s="1"/>
      <c r="B2215" s="2"/>
      <c r="C2215" s="2"/>
      <c r="D2215" s="1"/>
      <c r="F2215" s="1"/>
      <c r="G2215" s="1"/>
    </row>
    <row r="2216" spans="1:7" x14ac:dyDescent="0.25">
      <c r="A2216" s="1"/>
      <c r="B2216" s="2"/>
      <c r="C2216" s="2"/>
      <c r="D2216" s="1"/>
      <c r="F2216" s="1"/>
      <c r="G2216" s="1"/>
    </row>
    <row r="2217" spans="1:7" x14ac:dyDescent="0.25">
      <c r="A2217" s="1"/>
      <c r="B2217" s="2"/>
      <c r="C2217" s="2"/>
      <c r="D2217" s="1"/>
      <c r="F2217" s="1"/>
      <c r="G2217" s="1"/>
    </row>
    <row r="2218" spans="1:7" x14ac:dyDescent="0.25">
      <c r="A2218" s="1"/>
      <c r="B2218" s="2"/>
      <c r="C2218" s="2"/>
      <c r="D2218" s="1"/>
      <c r="F2218" s="1"/>
      <c r="G2218" s="1"/>
    </row>
    <row r="2219" spans="1:7" x14ac:dyDescent="0.25">
      <c r="A2219" s="1"/>
      <c r="B2219" s="2"/>
      <c r="C2219" s="2"/>
      <c r="D2219" s="1"/>
      <c r="F2219" s="1"/>
      <c r="G2219" s="1"/>
    </row>
    <row r="2220" spans="1:7" x14ac:dyDescent="0.25">
      <c r="A2220" s="1"/>
      <c r="B2220" s="2"/>
      <c r="C2220" s="2"/>
      <c r="D2220" s="1"/>
      <c r="F2220" s="1"/>
      <c r="G2220" s="1"/>
    </row>
    <row r="2221" spans="1:7" x14ac:dyDescent="0.25">
      <c r="A2221" s="1"/>
      <c r="B2221" s="2"/>
      <c r="C2221" s="2"/>
      <c r="D2221" s="1"/>
      <c r="F2221" s="1"/>
      <c r="G2221" s="1"/>
    </row>
    <row r="2222" spans="1:7" x14ac:dyDescent="0.25">
      <c r="A2222" s="1"/>
      <c r="B2222" s="2"/>
      <c r="C2222" s="2"/>
      <c r="D2222" s="1"/>
      <c r="F2222" s="1"/>
      <c r="G2222" s="1"/>
    </row>
    <row r="2223" spans="1:7" x14ac:dyDescent="0.25">
      <c r="A2223" s="1"/>
      <c r="B2223" s="2"/>
      <c r="C2223" s="2"/>
      <c r="D2223" s="1"/>
      <c r="F2223" s="1"/>
      <c r="G2223" s="1"/>
    </row>
    <row r="2224" spans="1:7" x14ac:dyDescent="0.25">
      <c r="A2224" s="1"/>
      <c r="B2224" s="2"/>
      <c r="C2224" s="2"/>
      <c r="D2224" s="1"/>
      <c r="F2224" s="1"/>
      <c r="G2224" s="1"/>
    </row>
    <row r="2225" spans="1:7" x14ac:dyDescent="0.25">
      <c r="A2225" s="1"/>
      <c r="B2225" s="2"/>
      <c r="C2225" s="2"/>
      <c r="D2225" s="1"/>
      <c r="F2225" s="1"/>
      <c r="G2225" s="1"/>
    </row>
    <row r="2226" spans="1:7" x14ac:dyDescent="0.25">
      <c r="A2226" s="1"/>
      <c r="B2226" s="2"/>
      <c r="C2226" s="2"/>
      <c r="D2226" s="1"/>
      <c r="F2226" s="1"/>
      <c r="G2226" s="1"/>
    </row>
    <row r="2227" spans="1:7" x14ac:dyDescent="0.25">
      <c r="A2227" s="1"/>
      <c r="B2227" s="2"/>
      <c r="C2227" s="2"/>
      <c r="D2227" s="1"/>
      <c r="F2227" s="1"/>
      <c r="G2227" s="1"/>
    </row>
    <row r="2228" spans="1:7" x14ac:dyDescent="0.25">
      <c r="A2228" s="1"/>
      <c r="B2228" s="2"/>
      <c r="C2228" s="2"/>
      <c r="D2228" s="1"/>
      <c r="F2228" s="1"/>
      <c r="G2228" s="1"/>
    </row>
    <row r="2229" spans="1:7" x14ac:dyDescent="0.25">
      <c r="A2229" s="1"/>
      <c r="B2229" s="2"/>
      <c r="C2229" s="2"/>
      <c r="D2229" s="1"/>
      <c r="F2229" s="1"/>
      <c r="G2229" s="1"/>
    </row>
    <row r="2230" spans="1:7" x14ac:dyDescent="0.25">
      <c r="A2230" s="1"/>
      <c r="B2230" s="2"/>
      <c r="C2230" s="2"/>
      <c r="D2230" s="1"/>
      <c r="F2230" s="1"/>
      <c r="G2230" s="1"/>
    </row>
    <row r="2231" spans="1:7" x14ac:dyDescent="0.25">
      <c r="A2231" s="1"/>
      <c r="B2231" s="2"/>
      <c r="C2231" s="2"/>
      <c r="D2231" s="1"/>
      <c r="F2231" s="1"/>
      <c r="G2231" s="1"/>
    </row>
    <row r="2232" spans="1:7" x14ac:dyDescent="0.25">
      <c r="A2232" s="1"/>
      <c r="B2232" s="2"/>
      <c r="C2232" s="2"/>
      <c r="D2232" s="1"/>
      <c r="F2232" s="1"/>
      <c r="G2232" s="1"/>
    </row>
    <row r="2233" spans="1:7" x14ac:dyDescent="0.25">
      <c r="A2233" s="1"/>
      <c r="B2233" s="2"/>
      <c r="C2233" s="2"/>
      <c r="D2233" s="1"/>
      <c r="F2233" s="1"/>
      <c r="G2233" s="1"/>
    </row>
    <row r="2234" spans="1:7" x14ac:dyDescent="0.25">
      <c r="A2234" s="1"/>
      <c r="B2234" s="2"/>
      <c r="C2234" s="2"/>
      <c r="D2234" s="1"/>
      <c r="F2234" s="1"/>
      <c r="G2234" s="1"/>
    </row>
    <row r="2235" spans="1:7" x14ac:dyDescent="0.25">
      <c r="A2235" s="1"/>
      <c r="B2235" s="2"/>
      <c r="C2235" s="2"/>
      <c r="D2235" s="1"/>
      <c r="F2235" s="1"/>
      <c r="G2235" s="1"/>
    </row>
    <row r="2236" spans="1:7" x14ac:dyDescent="0.25">
      <c r="A2236" s="1"/>
      <c r="B2236" s="2"/>
      <c r="C2236" s="2"/>
      <c r="D2236" s="1"/>
      <c r="F2236" s="1"/>
      <c r="G2236" s="1"/>
    </row>
    <row r="2237" spans="1:7" x14ac:dyDescent="0.25">
      <c r="A2237" s="1"/>
      <c r="B2237" s="2"/>
      <c r="C2237" s="2"/>
      <c r="D2237" s="1"/>
      <c r="F2237" s="1"/>
      <c r="G2237" s="1"/>
    </row>
    <row r="2238" spans="1:7" x14ac:dyDescent="0.25">
      <c r="A2238" s="1"/>
      <c r="B2238" s="2"/>
      <c r="C2238" s="2"/>
      <c r="D2238" s="1"/>
      <c r="F2238" s="1"/>
      <c r="G2238" s="1"/>
    </row>
    <row r="2239" spans="1:7" x14ac:dyDescent="0.25">
      <c r="A2239" s="1"/>
      <c r="B2239" s="2"/>
      <c r="C2239" s="2"/>
      <c r="D2239" s="1"/>
      <c r="F2239" s="1"/>
      <c r="G2239" s="1"/>
    </row>
    <row r="2240" spans="1:7" x14ac:dyDescent="0.25">
      <c r="A2240" s="1"/>
      <c r="B2240" s="2"/>
      <c r="C2240" s="2"/>
      <c r="D2240" s="1"/>
      <c r="F2240" s="1"/>
      <c r="G2240" s="1"/>
    </row>
    <row r="2241" spans="1:7" x14ac:dyDescent="0.25">
      <c r="A2241" s="1"/>
      <c r="B2241" s="2"/>
      <c r="C2241" s="2"/>
      <c r="D2241" s="1"/>
      <c r="F2241" s="1"/>
      <c r="G2241" s="1"/>
    </row>
    <row r="2242" spans="1:7" x14ac:dyDescent="0.25">
      <c r="A2242" s="1"/>
      <c r="B2242" s="2"/>
      <c r="C2242" s="2"/>
      <c r="D2242" s="1"/>
      <c r="F2242" s="1"/>
      <c r="G2242" s="1"/>
    </row>
    <row r="2243" spans="1:7" x14ac:dyDescent="0.25">
      <c r="A2243" s="1"/>
      <c r="B2243" s="2"/>
      <c r="C2243" s="2"/>
      <c r="D2243" s="1"/>
      <c r="F2243" s="1"/>
      <c r="G2243" s="1"/>
    </row>
    <row r="2244" spans="1:7" x14ac:dyDescent="0.25">
      <c r="A2244" s="1"/>
      <c r="B2244" s="2"/>
      <c r="C2244" s="2"/>
      <c r="D2244" s="1"/>
      <c r="F2244" s="1"/>
      <c r="G2244" s="1"/>
    </row>
    <row r="2245" spans="1:7" x14ac:dyDescent="0.25">
      <c r="A2245" s="1"/>
      <c r="B2245" s="2"/>
      <c r="C2245" s="2"/>
      <c r="D2245" s="1"/>
      <c r="F2245" s="1"/>
      <c r="G2245" s="1"/>
    </row>
    <row r="2246" spans="1:7" x14ac:dyDescent="0.25">
      <c r="A2246" s="1"/>
      <c r="B2246" s="2"/>
      <c r="C2246" s="2"/>
      <c r="D2246" s="1"/>
      <c r="F2246" s="1"/>
      <c r="G2246" s="1"/>
    </row>
    <row r="2247" spans="1:7" x14ac:dyDescent="0.25">
      <c r="A2247" s="1"/>
      <c r="B2247" s="2"/>
      <c r="C2247" s="2"/>
      <c r="D2247" s="1"/>
      <c r="F2247" s="1"/>
      <c r="G2247" s="1"/>
    </row>
    <row r="2248" spans="1:7" x14ac:dyDescent="0.25">
      <c r="A2248" s="1"/>
      <c r="B2248" s="2"/>
      <c r="C2248" s="2"/>
      <c r="D2248" s="1"/>
      <c r="F2248" s="1"/>
      <c r="G2248" s="1"/>
    </row>
    <row r="2249" spans="1:7" x14ac:dyDescent="0.25">
      <c r="A2249" s="1"/>
      <c r="B2249" s="2"/>
      <c r="C2249" s="2"/>
      <c r="D2249" s="1"/>
      <c r="F2249" s="1"/>
      <c r="G2249" s="1"/>
    </row>
    <row r="2250" spans="1:7" x14ac:dyDescent="0.25">
      <c r="A2250" s="1"/>
      <c r="B2250" s="2"/>
      <c r="C2250" s="2"/>
      <c r="D2250" s="1"/>
      <c r="F2250" s="1"/>
      <c r="G2250" s="1"/>
    </row>
    <row r="2251" spans="1:7" x14ac:dyDescent="0.25">
      <c r="A2251" s="1"/>
      <c r="B2251" s="2"/>
      <c r="C2251" s="2"/>
      <c r="D2251" s="1"/>
      <c r="F2251" s="1"/>
      <c r="G2251" s="1"/>
    </row>
    <row r="2252" spans="1:7" x14ac:dyDescent="0.25">
      <c r="A2252" s="1"/>
      <c r="B2252" s="2"/>
      <c r="C2252" s="2"/>
      <c r="D2252" s="1"/>
      <c r="F2252" s="1"/>
      <c r="G2252" s="1"/>
    </row>
    <row r="2253" spans="1:7" x14ac:dyDescent="0.25">
      <c r="A2253" s="1"/>
      <c r="B2253" s="2"/>
      <c r="C2253" s="2"/>
      <c r="D2253" s="1"/>
      <c r="F2253" s="1"/>
      <c r="G2253" s="1"/>
    </row>
    <row r="2254" spans="1:7" x14ac:dyDescent="0.25">
      <c r="A2254" s="1"/>
      <c r="B2254" s="2"/>
      <c r="C2254" s="2"/>
      <c r="D2254" s="1"/>
      <c r="F2254" s="1"/>
      <c r="G2254" s="1"/>
    </row>
    <row r="2255" spans="1:7" x14ac:dyDescent="0.25">
      <c r="A2255" s="1"/>
      <c r="B2255" s="2"/>
      <c r="C2255" s="2"/>
      <c r="D2255" s="1"/>
      <c r="F2255" s="1"/>
      <c r="G2255" s="1"/>
    </row>
    <row r="2256" spans="1:7" x14ac:dyDescent="0.25">
      <c r="A2256" s="1"/>
      <c r="B2256" s="2"/>
      <c r="C2256" s="2"/>
      <c r="D2256" s="1"/>
      <c r="F2256" s="1"/>
      <c r="G2256" s="1"/>
    </row>
    <row r="2257" spans="1:7" x14ac:dyDescent="0.25">
      <c r="A2257" s="1"/>
      <c r="B2257" s="2"/>
      <c r="C2257" s="2"/>
      <c r="D2257" s="1"/>
      <c r="F2257" s="1"/>
      <c r="G2257" s="1"/>
    </row>
    <row r="2258" spans="1:7" x14ac:dyDescent="0.25">
      <c r="A2258" s="1"/>
      <c r="B2258" s="2"/>
      <c r="C2258" s="2"/>
      <c r="D2258" s="1"/>
      <c r="F2258" s="1"/>
      <c r="G2258" s="1"/>
    </row>
    <row r="2259" spans="1:7" x14ac:dyDescent="0.25">
      <c r="A2259" s="1"/>
      <c r="B2259" s="2"/>
      <c r="C2259" s="2"/>
      <c r="D2259" s="1"/>
      <c r="F2259" s="1"/>
      <c r="G2259" s="1"/>
    </row>
    <row r="2260" spans="1:7" x14ac:dyDescent="0.25">
      <c r="A2260" s="1"/>
      <c r="B2260" s="2"/>
      <c r="C2260" s="2"/>
      <c r="D2260" s="1"/>
      <c r="F2260" s="1"/>
      <c r="G2260" s="1"/>
    </row>
    <row r="2261" spans="1:7" x14ac:dyDescent="0.25">
      <c r="A2261" s="1"/>
      <c r="B2261" s="2"/>
      <c r="C2261" s="2"/>
      <c r="D2261" s="1"/>
      <c r="F2261" s="1"/>
      <c r="G2261" s="1"/>
    </row>
    <row r="2262" spans="1:7" x14ac:dyDescent="0.25">
      <c r="A2262" s="1"/>
      <c r="B2262" s="2"/>
      <c r="C2262" s="2"/>
      <c r="D2262" s="1"/>
      <c r="F2262" s="1"/>
      <c r="G2262" s="1"/>
    </row>
    <row r="2263" spans="1:7" x14ac:dyDescent="0.25">
      <c r="A2263" s="1"/>
      <c r="B2263" s="2"/>
      <c r="C2263" s="2"/>
      <c r="D2263" s="1"/>
      <c r="F2263" s="1"/>
      <c r="G2263" s="1"/>
    </row>
    <row r="2264" spans="1:7" x14ac:dyDescent="0.25">
      <c r="A2264" s="1"/>
      <c r="B2264" s="2"/>
      <c r="C2264" s="2"/>
      <c r="D2264" s="1"/>
      <c r="F2264" s="1"/>
      <c r="G2264" s="1"/>
    </row>
    <row r="2265" spans="1:7" x14ac:dyDescent="0.25">
      <c r="A2265" s="1"/>
      <c r="B2265" s="2"/>
      <c r="C2265" s="2"/>
      <c r="D2265" s="1"/>
      <c r="F2265" s="1"/>
      <c r="G2265" s="1"/>
    </row>
    <row r="2266" spans="1:7" x14ac:dyDescent="0.25">
      <c r="A2266" s="1"/>
      <c r="B2266" s="2"/>
      <c r="C2266" s="2"/>
      <c r="D2266" s="1"/>
      <c r="F2266" s="1"/>
      <c r="G2266" s="1"/>
    </row>
    <row r="2267" spans="1:7" x14ac:dyDescent="0.25">
      <c r="A2267" s="1"/>
      <c r="B2267" s="2"/>
      <c r="C2267" s="2"/>
      <c r="D2267" s="1"/>
      <c r="F2267" s="1"/>
      <c r="G2267" s="1"/>
    </row>
    <row r="2268" spans="1:7" x14ac:dyDescent="0.25">
      <c r="A2268" s="1"/>
      <c r="B2268" s="2"/>
      <c r="C2268" s="2"/>
      <c r="D2268" s="1"/>
      <c r="F2268" s="1"/>
      <c r="G2268" s="1"/>
    </row>
    <row r="2269" spans="1:7" x14ac:dyDescent="0.25">
      <c r="A2269" s="1"/>
      <c r="B2269" s="2"/>
      <c r="C2269" s="2"/>
      <c r="D2269" s="1"/>
      <c r="F2269" s="1"/>
      <c r="G2269" s="1"/>
    </row>
    <row r="2270" spans="1:7" x14ac:dyDescent="0.25">
      <c r="A2270" s="1"/>
      <c r="B2270" s="2"/>
      <c r="C2270" s="2"/>
      <c r="D2270" s="1"/>
      <c r="F2270" s="1"/>
      <c r="G2270" s="1"/>
    </row>
    <row r="2271" spans="1:7" x14ac:dyDescent="0.25">
      <c r="A2271" s="1"/>
      <c r="B2271" s="2"/>
      <c r="C2271" s="2"/>
      <c r="D2271" s="1"/>
      <c r="F2271" s="1"/>
      <c r="G2271" s="1"/>
    </row>
    <row r="2272" spans="1:7" x14ac:dyDescent="0.25">
      <c r="A2272" s="1"/>
      <c r="B2272" s="2"/>
      <c r="C2272" s="2"/>
      <c r="D2272" s="1"/>
      <c r="F2272" s="1"/>
      <c r="G2272" s="1"/>
    </row>
    <row r="2273" spans="1:7" x14ac:dyDescent="0.25">
      <c r="A2273" s="1"/>
      <c r="B2273" s="2"/>
      <c r="C2273" s="2"/>
      <c r="D2273" s="1"/>
      <c r="F2273" s="1"/>
      <c r="G2273" s="1"/>
    </row>
    <row r="2274" spans="1:7" x14ac:dyDescent="0.25">
      <c r="A2274" s="1"/>
      <c r="B2274" s="2"/>
      <c r="C2274" s="2"/>
      <c r="D2274" s="1"/>
      <c r="F2274" s="1"/>
      <c r="G2274" s="1"/>
    </row>
    <row r="2275" spans="1:7" x14ac:dyDescent="0.25">
      <c r="A2275" s="1"/>
      <c r="B2275" s="2"/>
      <c r="C2275" s="2"/>
      <c r="D2275" s="1"/>
      <c r="F2275" s="1"/>
      <c r="G2275" s="1"/>
    </row>
    <row r="2276" spans="1:7" x14ac:dyDescent="0.25">
      <c r="A2276" s="1"/>
      <c r="B2276" s="2"/>
      <c r="C2276" s="2"/>
      <c r="D2276" s="1"/>
      <c r="F2276" s="1"/>
      <c r="G2276" s="1"/>
    </row>
    <row r="2277" spans="1:7" x14ac:dyDescent="0.25">
      <c r="A2277" s="1"/>
      <c r="B2277" s="2"/>
      <c r="C2277" s="2"/>
      <c r="D2277" s="1"/>
      <c r="F2277" s="1"/>
      <c r="G2277" s="1"/>
    </row>
    <row r="2278" spans="1:7" x14ac:dyDescent="0.25">
      <c r="A2278" s="1"/>
      <c r="B2278" s="2"/>
      <c r="C2278" s="2"/>
      <c r="D2278" s="1"/>
      <c r="F2278" s="1"/>
      <c r="G2278" s="1"/>
    </row>
    <row r="2279" spans="1:7" x14ac:dyDescent="0.25">
      <c r="A2279" s="1"/>
      <c r="B2279" s="2"/>
      <c r="C2279" s="2"/>
      <c r="D2279" s="1"/>
      <c r="F2279" s="1"/>
      <c r="G2279" s="1"/>
    </row>
    <row r="2280" spans="1:7" x14ac:dyDescent="0.25">
      <c r="A2280" s="1"/>
      <c r="B2280" s="2"/>
      <c r="C2280" s="2"/>
      <c r="D2280" s="1"/>
      <c r="F2280" s="1"/>
      <c r="G2280" s="1"/>
    </row>
    <row r="2281" spans="1:7" x14ac:dyDescent="0.25">
      <c r="A2281" s="1"/>
      <c r="B2281" s="2"/>
      <c r="C2281" s="2"/>
      <c r="D2281" s="1"/>
      <c r="F2281" s="1"/>
      <c r="G2281" s="1"/>
    </row>
    <row r="2282" spans="1:7" x14ac:dyDescent="0.25">
      <c r="A2282" s="1"/>
      <c r="B2282" s="2"/>
      <c r="C2282" s="2"/>
      <c r="D2282" s="1"/>
      <c r="F2282" s="1"/>
      <c r="G2282" s="1"/>
    </row>
    <row r="2283" spans="1:7" x14ac:dyDescent="0.25">
      <c r="A2283" s="1"/>
      <c r="B2283" s="2"/>
      <c r="C2283" s="2"/>
      <c r="D2283" s="1"/>
      <c r="F2283" s="1"/>
      <c r="G2283" s="1"/>
    </row>
    <row r="2284" spans="1:7" x14ac:dyDescent="0.25">
      <c r="A2284" s="1"/>
      <c r="B2284" s="2"/>
      <c r="C2284" s="2"/>
      <c r="D2284" s="1"/>
      <c r="F2284" s="1"/>
      <c r="G2284" s="1"/>
    </row>
    <row r="2285" spans="1:7" x14ac:dyDescent="0.25">
      <c r="A2285" s="1"/>
      <c r="B2285" s="2"/>
      <c r="C2285" s="2"/>
      <c r="D2285" s="1"/>
      <c r="F2285" s="1"/>
      <c r="G2285" s="1"/>
    </row>
    <row r="2286" spans="1:7" x14ac:dyDescent="0.25">
      <c r="A2286" s="1"/>
      <c r="B2286" s="2"/>
      <c r="C2286" s="2"/>
      <c r="D2286" s="1"/>
      <c r="F2286" s="1"/>
      <c r="G2286" s="1"/>
    </row>
    <row r="2287" spans="1:7" x14ac:dyDescent="0.25">
      <c r="A2287" s="1"/>
      <c r="B2287" s="2"/>
      <c r="C2287" s="2"/>
      <c r="D2287" s="1"/>
      <c r="F2287" s="1"/>
      <c r="G2287" s="1"/>
    </row>
    <row r="2288" spans="1:7" x14ac:dyDescent="0.25">
      <c r="A2288" s="1"/>
      <c r="B2288" s="2"/>
      <c r="C2288" s="2"/>
      <c r="D2288" s="1"/>
      <c r="F2288" s="1"/>
      <c r="G2288" s="1"/>
    </row>
    <row r="2289" spans="1:7" x14ac:dyDescent="0.25">
      <c r="A2289" s="1"/>
      <c r="B2289" s="2"/>
      <c r="C2289" s="2"/>
      <c r="D2289" s="1"/>
      <c r="F2289" s="1"/>
      <c r="G2289" s="1"/>
    </row>
    <row r="2290" spans="1:7" x14ac:dyDescent="0.25">
      <c r="A2290" s="1"/>
      <c r="B2290" s="2"/>
      <c r="C2290" s="2"/>
      <c r="D2290" s="1"/>
      <c r="F2290" s="1"/>
      <c r="G2290" s="1"/>
    </row>
    <row r="2291" spans="1:7" x14ac:dyDescent="0.25">
      <c r="A2291" s="1"/>
      <c r="B2291" s="2"/>
      <c r="C2291" s="2"/>
      <c r="D2291" s="1"/>
      <c r="F2291" s="1"/>
      <c r="G2291" s="1"/>
    </row>
    <row r="2292" spans="1:7" x14ac:dyDescent="0.25">
      <c r="A2292" s="1"/>
      <c r="B2292" s="2"/>
      <c r="C2292" s="2"/>
      <c r="D2292" s="1"/>
      <c r="F2292" s="1"/>
      <c r="G2292" s="1"/>
    </row>
    <row r="2293" spans="1:7" x14ac:dyDescent="0.25">
      <c r="A2293" s="1"/>
      <c r="B2293" s="2"/>
      <c r="C2293" s="2"/>
      <c r="D2293" s="1"/>
      <c r="F2293" s="1"/>
      <c r="G2293" s="1"/>
    </row>
    <row r="2294" spans="1:7" x14ac:dyDescent="0.25">
      <c r="A2294" s="1"/>
      <c r="B2294" s="2"/>
      <c r="C2294" s="2"/>
      <c r="D2294" s="1"/>
      <c r="F2294" s="1"/>
      <c r="G2294" s="1"/>
    </row>
    <row r="2295" spans="1:7" x14ac:dyDescent="0.25">
      <c r="A2295" s="1"/>
      <c r="B2295" s="2"/>
      <c r="C2295" s="2"/>
      <c r="D2295" s="1"/>
      <c r="F2295" s="1"/>
      <c r="G2295" s="1"/>
    </row>
    <row r="2296" spans="1:7" x14ac:dyDescent="0.25">
      <c r="A2296" s="1"/>
      <c r="B2296" s="2"/>
      <c r="C2296" s="2"/>
      <c r="D2296" s="1"/>
      <c r="F2296" s="1"/>
      <c r="G2296" s="1"/>
    </row>
    <row r="2297" spans="1:7" x14ac:dyDescent="0.25">
      <c r="A2297" s="1"/>
      <c r="B2297" s="2"/>
      <c r="C2297" s="2"/>
      <c r="D2297" s="1"/>
      <c r="F2297" s="1"/>
      <c r="G2297" s="1"/>
    </row>
    <row r="2298" spans="1:7" x14ac:dyDescent="0.25">
      <c r="A2298" s="1"/>
      <c r="B2298" s="2"/>
      <c r="C2298" s="2"/>
      <c r="D2298" s="1"/>
      <c r="F2298" s="1"/>
      <c r="G2298" s="1"/>
    </row>
    <row r="2299" spans="1:7" x14ac:dyDescent="0.25">
      <c r="A2299" s="1"/>
      <c r="B2299" s="2"/>
      <c r="C2299" s="2"/>
      <c r="D2299" s="1"/>
      <c r="F2299" s="1"/>
      <c r="G2299" s="1"/>
    </row>
    <row r="2300" spans="1:7" x14ac:dyDescent="0.25">
      <c r="A2300" s="1"/>
      <c r="B2300" s="2"/>
      <c r="C2300" s="2"/>
      <c r="D2300" s="1"/>
      <c r="F2300" s="1"/>
      <c r="G2300" s="1"/>
    </row>
    <row r="2301" spans="1:7" x14ac:dyDescent="0.25">
      <c r="A2301" s="1"/>
      <c r="B2301" s="2"/>
      <c r="C2301" s="2"/>
      <c r="D2301" s="1"/>
      <c r="F2301" s="1"/>
      <c r="G2301" s="1"/>
    </row>
    <row r="2302" spans="1:7" x14ac:dyDescent="0.25">
      <c r="A2302" s="1"/>
      <c r="B2302" s="2"/>
      <c r="C2302" s="2"/>
      <c r="D2302" s="1"/>
      <c r="F2302" s="1"/>
      <c r="G2302" s="1"/>
    </row>
    <row r="2303" spans="1:7" x14ac:dyDescent="0.25">
      <c r="A2303" s="1"/>
      <c r="B2303" s="2"/>
      <c r="C2303" s="2"/>
      <c r="D2303" s="1"/>
      <c r="F2303" s="1"/>
      <c r="G2303" s="1"/>
    </row>
    <row r="2304" spans="1:7" x14ac:dyDescent="0.25">
      <c r="A2304" s="1"/>
      <c r="B2304" s="2"/>
      <c r="C2304" s="2"/>
      <c r="D2304" s="1"/>
      <c r="F2304" s="1"/>
      <c r="G2304" s="1"/>
    </row>
    <row r="2305" spans="1:7" x14ac:dyDescent="0.25">
      <c r="A2305" s="1"/>
      <c r="B2305" s="2"/>
      <c r="C2305" s="2"/>
      <c r="D2305" s="1"/>
      <c r="F2305" s="1"/>
      <c r="G2305" s="1"/>
    </row>
    <row r="2306" spans="1:7" x14ac:dyDescent="0.25">
      <c r="A2306" s="1"/>
      <c r="B2306" s="2"/>
      <c r="C2306" s="2"/>
      <c r="D2306" s="1"/>
      <c r="F2306" s="1"/>
      <c r="G2306" s="1"/>
    </row>
    <row r="2307" spans="1:7" x14ac:dyDescent="0.25">
      <c r="A2307" s="1"/>
      <c r="B2307" s="2"/>
      <c r="C2307" s="2"/>
      <c r="D2307" s="1"/>
      <c r="F2307" s="1"/>
      <c r="G2307" s="1"/>
    </row>
    <row r="2308" spans="1:7" x14ac:dyDescent="0.25">
      <c r="A2308" s="1"/>
      <c r="B2308" s="2"/>
      <c r="C2308" s="2"/>
      <c r="D2308" s="1"/>
      <c r="F2308" s="1"/>
      <c r="G2308" s="1"/>
    </row>
    <row r="2309" spans="1:7" x14ac:dyDescent="0.25">
      <c r="A2309" s="1"/>
      <c r="B2309" s="2"/>
      <c r="C2309" s="2"/>
      <c r="D2309" s="1"/>
      <c r="F2309" s="1"/>
      <c r="G2309" s="1"/>
    </row>
    <row r="2310" spans="1:7" x14ac:dyDescent="0.25">
      <c r="A2310" s="1"/>
      <c r="B2310" s="2"/>
      <c r="C2310" s="2"/>
      <c r="D2310" s="1"/>
      <c r="F2310" s="1"/>
      <c r="G2310" s="1"/>
    </row>
    <row r="2311" spans="1:7" x14ac:dyDescent="0.25">
      <c r="A2311" s="1"/>
      <c r="B2311" s="2"/>
      <c r="C2311" s="2"/>
      <c r="D2311" s="1"/>
      <c r="F2311" s="1"/>
      <c r="G2311" s="1"/>
    </row>
    <row r="2312" spans="1:7" x14ac:dyDescent="0.25">
      <c r="A2312" s="1"/>
      <c r="B2312" s="2"/>
      <c r="C2312" s="2"/>
      <c r="D2312" s="1"/>
      <c r="F2312" s="1"/>
      <c r="G2312" s="1"/>
    </row>
    <row r="2313" spans="1:7" x14ac:dyDescent="0.25">
      <c r="A2313" s="1"/>
      <c r="B2313" s="2"/>
      <c r="C2313" s="2"/>
      <c r="D2313" s="1"/>
      <c r="F2313" s="1"/>
      <c r="G2313" s="1"/>
    </row>
    <row r="2314" spans="1:7" x14ac:dyDescent="0.25">
      <c r="A2314" s="1"/>
      <c r="B2314" s="2"/>
      <c r="C2314" s="2"/>
      <c r="D2314" s="1"/>
      <c r="F2314" s="1"/>
      <c r="G2314" s="1"/>
    </row>
    <row r="2315" spans="1:7" x14ac:dyDescent="0.25">
      <c r="A2315" s="1"/>
      <c r="B2315" s="2"/>
      <c r="C2315" s="2"/>
      <c r="D2315" s="1"/>
      <c r="F2315" s="1"/>
      <c r="G2315" s="1"/>
    </row>
    <row r="2316" spans="1:7" x14ac:dyDescent="0.25">
      <c r="A2316" s="1"/>
      <c r="B2316" s="2"/>
      <c r="C2316" s="2"/>
      <c r="D2316" s="1"/>
      <c r="F2316" s="1"/>
      <c r="G2316" s="1"/>
    </row>
    <row r="2317" spans="1:7" x14ac:dyDescent="0.25">
      <c r="A2317" s="1"/>
      <c r="B2317" s="2"/>
      <c r="C2317" s="2"/>
      <c r="D2317" s="1"/>
      <c r="F2317" s="1"/>
      <c r="G2317" s="1"/>
    </row>
    <row r="2318" spans="1:7" x14ac:dyDescent="0.25">
      <c r="A2318" s="1"/>
      <c r="B2318" s="2"/>
      <c r="C2318" s="2"/>
      <c r="D2318" s="1"/>
      <c r="F2318" s="1"/>
      <c r="G2318" s="1"/>
    </row>
    <row r="2319" spans="1:7" x14ac:dyDescent="0.25">
      <c r="A2319" s="1"/>
      <c r="B2319" s="2"/>
      <c r="C2319" s="2"/>
      <c r="D2319" s="1"/>
      <c r="F2319" s="1"/>
      <c r="G2319" s="1"/>
    </row>
    <row r="2320" spans="1:7" x14ac:dyDescent="0.25">
      <c r="A2320" s="1"/>
      <c r="B2320" s="2"/>
      <c r="C2320" s="2"/>
      <c r="D2320" s="1"/>
      <c r="F2320" s="1"/>
      <c r="G2320" s="1"/>
    </row>
    <row r="2321" spans="1:7" x14ac:dyDescent="0.25">
      <c r="A2321" s="1"/>
      <c r="B2321" s="2"/>
      <c r="C2321" s="2"/>
      <c r="D2321" s="1"/>
      <c r="F2321" s="1"/>
      <c r="G2321" s="1"/>
    </row>
    <row r="2322" spans="1:7" x14ac:dyDescent="0.25">
      <c r="A2322" s="1"/>
      <c r="B2322" s="2"/>
      <c r="C2322" s="2"/>
      <c r="D2322" s="1"/>
      <c r="F2322" s="1"/>
      <c r="G2322" s="1"/>
    </row>
    <row r="2323" spans="1:7" x14ac:dyDescent="0.25">
      <c r="A2323" s="1"/>
      <c r="B2323" s="2"/>
      <c r="C2323" s="2"/>
      <c r="D2323" s="1"/>
      <c r="F2323" s="1"/>
      <c r="G2323" s="1"/>
    </row>
    <row r="2324" spans="1:7" x14ac:dyDescent="0.25">
      <c r="A2324" s="1"/>
      <c r="B2324" s="2"/>
      <c r="C2324" s="2"/>
      <c r="D2324" s="1"/>
      <c r="F2324" s="1"/>
      <c r="G2324" s="1"/>
    </row>
    <row r="2325" spans="1:7" x14ac:dyDescent="0.25">
      <c r="A2325" s="1"/>
      <c r="B2325" s="2"/>
      <c r="C2325" s="2"/>
      <c r="D2325" s="1"/>
      <c r="F2325" s="1"/>
      <c r="G2325" s="1"/>
    </row>
    <row r="2326" spans="1:7" x14ac:dyDescent="0.25">
      <c r="A2326" s="1"/>
      <c r="B2326" s="2"/>
      <c r="C2326" s="2"/>
      <c r="D2326" s="1"/>
      <c r="F2326" s="1"/>
      <c r="G2326" s="1"/>
    </row>
    <row r="2327" spans="1:7" x14ac:dyDescent="0.25">
      <c r="A2327" s="1"/>
      <c r="B2327" s="2"/>
      <c r="C2327" s="2"/>
      <c r="D2327" s="1"/>
      <c r="F2327" s="1"/>
      <c r="G2327" s="1"/>
    </row>
    <row r="2328" spans="1:7" x14ac:dyDescent="0.25">
      <c r="A2328" s="1"/>
      <c r="B2328" s="2"/>
      <c r="C2328" s="2"/>
      <c r="D2328" s="1"/>
      <c r="F2328" s="1"/>
      <c r="G2328" s="1"/>
    </row>
    <row r="2329" spans="1:7" x14ac:dyDescent="0.25">
      <c r="A2329" s="1"/>
      <c r="B2329" s="2"/>
      <c r="C2329" s="2"/>
      <c r="D2329" s="1"/>
      <c r="F2329" s="1"/>
      <c r="G2329" s="1"/>
    </row>
    <row r="2330" spans="1:7" x14ac:dyDescent="0.25">
      <c r="A2330" s="1"/>
      <c r="B2330" s="2"/>
      <c r="C2330" s="2"/>
      <c r="D2330" s="1"/>
      <c r="F2330" s="1"/>
      <c r="G2330" s="1"/>
    </row>
    <row r="2331" spans="1:7" x14ac:dyDescent="0.25">
      <c r="A2331" s="1"/>
      <c r="B2331" s="2"/>
      <c r="C2331" s="2"/>
      <c r="D2331" s="1"/>
      <c r="F2331" s="1"/>
      <c r="G2331" s="1"/>
    </row>
    <row r="2332" spans="1:7" x14ac:dyDescent="0.25">
      <c r="A2332" s="1"/>
      <c r="B2332" s="2"/>
      <c r="C2332" s="2"/>
      <c r="D2332" s="1"/>
      <c r="F2332" s="1"/>
      <c r="G2332" s="1"/>
    </row>
    <row r="2333" spans="1:7" x14ac:dyDescent="0.25">
      <c r="A2333" s="1"/>
      <c r="B2333" s="2"/>
      <c r="C2333" s="2"/>
      <c r="D2333" s="1"/>
      <c r="F2333" s="1"/>
      <c r="G2333" s="1"/>
    </row>
    <row r="2334" spans="1:7" x14ac:dyDescent="0.25">
      <c r="A2334" s="1"/>
      <c r="B2334" s="2"/>
      <c r="C2334" s="2"/>
      <c r="D2334" s="1"/>
      <c r="F2334" s="1"/>
      <c r="G2334" s="1"/>
    </row>
    <row r="2335" spans="1:7" x14ac:dyDescent="0.25">
      <c r="A2335" s="1"/>
      <c r="B2335" s="2"/>
      <c r="C2335" s="2"/>
      <c r="D2335" s="1"/>
      <c r="F2335" s="1"/>
      <c r="G2335" s="1"/>
    </row>
    <row r="2336" spans="1:7" x14ac:dyDescent="0.25">
      <c r="A2336" s="1"/>
      <c r="B2336" s="2"/>
      <c r="C2336" s="2"/>
      <c r="D2336" s="1"/>
      <c r="F2336" s="1"/>
      <c r="G2336" s="1"/>
    </row>
    <row r="2337" spans="1:7" x14ac:dyDescent="0.25">
      <c r="A2337" s="1"/>
      <c r="B2337" s="2"/>
      <c r="C2337" s="2"/>
      <c r="D2337" s="1"/>
      <c r="F2337" s="1"/>
      <c r="G2337" s="1"/>
    </row>
    <row r="2338" spans="1:7" x14ac:dyDescent="0.25">
      <c r="A2338" s="1"/>
      <c r="B2338" s="2"/>
      <c r="C2338" s="2"/>
      <c r="D2338" s="1"/>
      <c r="F2338" s="1"/>
      <c r="G2338" s="1"/>
    </row>
    <row r="2339" spans="1:7" x14ac:dyDescent="0.25">
      <c r="A2339" s="1"/>
      <c r="B2339" s="2"/>
      <c r="C2339" s="2"/>
      <c r="D2339" s="1"/>
      <c r="F2339" s="1"/>
      <c r="G2339" s="1"/>
    </row>
    <row r="2340" spans="1:7" x14ac:dyDescent="0.25">
      <c r="A2340" s="1"/>
      <c r="B2340" s="2"/>
      <c r="C2340" s="2"/>
      <c r="D2340" s="1"/>
      <c r="F2340" s="1"/>
      <c r="G2340" s="1"/>
    </row>
    <row r="2341" spans="1:7" x14ac:dyDescent="0.25">
      <c r="A2341" s="1"/>
      <c r="B2341" s="2"/>
      <c r="C2341" s="2"/>
      <c r="D2341" s="1"/>
      <c r="F2341" s="1"/>
      <c r="G2341" s="1"/>
    </row>
    <row r="2342" spans="1:7" x14ac:dyDescent="0.25">
      <c r="A2342" s="1"/>
      <c r="B2342" s="2"/>
      <c r="C2342" s="2"/>
      <c r="D2342" s="1"/>
      <c r="F2342" s="1"/>
      <c r="G2342" s="1"/>
    </row>
    <row r="2343" spans="1:7" x14ac:dyDescent="0.25">
      <c r="A2343" s="1"/>
      <c r="B2343" s="2"/>
      <c r="C2343" s="2"/>
      <c r="D2343" s="1"/>
      <c r="F2343" s="1"/>
      <c r="G2343" s="1"/>
    </row>
    <row r="2344" spans="1:7" x14ac:dyDescent="0.25">
      <c r="A2344" s="1"/>
      <c r="B2344" s="2"/>
      <c r="C2344" s="2"/>
      <c r="D2344" s="1"/>
      <c r="F2344" s="1"/>
      <c r="G2344" s="1"/>
    </row>
    <row r="2345" spans="1:7" x14ac:dyDescent="0.25">
      <c r="A2345" s="1"/>
      <c r="B2345" s="2"/>
      <c r="C2345" s="2"/>
      <c r="D2345" s="1"/>
      <c r="F2345" s="1"/>
      <c r="G2345" s="1"/>
    </row>
    <row r="2346" spans="1:7" x14ac:dyDescent="0.25">
      <c r="A2346" s="1"/>
      <c r="B2346" s="2"/>
      <c r="C2346" s="2"/>
      <c r="D2346" s="1"/>
      <c r="F2346" s="1"/>
      <c r="G2346" s="1"/>
    </row>
    <row r="2347" spans="1:7" x14ac:dyDescent="0.25">
      <c r="A2347" s="1"/>
      <c r="B2347" s="2"/>
      <c r="C2347" s="2"/>
      <c r="D2347" s="1"/>
      <c r="F2347" s="1"/>
      <c r="G2347" s="1"/>
    </row>
    <row r="2348" spans="1:7" x14ac:dyDescent="0.25">
      <c r="A2348" s="1"/>
      <c r="B2348" s="2"/>
      <c r="C2348" s="2"/>
      <c r="D2348" s="1"/>
      <c r="F2348" s="1"/>
      <c r="G2348" s="1"/>
    </row>
    <row r="2349" spans="1:7" x14ac:dyDescent="0.25">
      <c r="A2349" s="1"/>
      <c r="B2349" s="2"/>
      <c r="C2349" s="2"/>
      <c r="D2349" s="1"/>
      <c r="F2349" s="1"/>
      <c r="G2349" s="1"/>
    </row>
    <row r="2350" spans="1:7" x14ac:dyDescent="0.25">
      <c r="A2350" s="1"/>
      <c r="B2350" s="2"/>
      <c r="C2350" s="2"/>
      <c r="D2350" s="1"/>
      <c r="F2350" s="1"/>
      <c r="G2350" s="1"/>
    </row>
    <row r="2351" spans="1:7" x14ac:dyDescent="0.25">
      <c r="A2351" s="1"/>
      <c r="B2351" s="2"/>
      <c r="C2351" s="2"/>
      <c r="D2351" s="1"/>
      <c r="F2351" s="1"/>
      <c r="G2351" s="1"/>
    </row>
    <row r="2352" spans="1:7" x14ac:dyDescent="0.25">
      <c r="A2352" s="1"/>
      <c r="B2352" s="2"/>
      <c r="C2352" s="2"/>
      <c r="D2352" s="1"/>
      <c r="F2352" s="1"/>
      <c r="G2352" s="1"/>
    </row>
    <row r="2353" spans="1:7" x14ac:dyDescent="0.25">
      <c r="A2353" s="1"/>
      <c r="B2353" s="2"/>
      <c r="C2353" s="2"/>
      <c r="D2353" s="1"/>
      <c r="F2353" s="1"/>
      <c r="G2353" s="1"/>
    </row>
    <row r="2354" spans="1:7" x14ac:dyDescent="0.25">
      <c r="A2354" s="1"/>
      <c r="B2354" s="2"/>
      <c r="C2354" s="2"/>
      <c r="D2354" s="1"/>
      <c r="F2354" s="1"/>
      <c r="G2354" s="1"/>
    </row>
    <row r="2355" spans="1:7" x14ac:dyDescent="0.25">
      <c r="A2355" s="1"/>
      <c r="B2355" s="2"/>
      <c r="C2355" s="2"/>
      <c r="D2355" s="1"/>
      <c r="F2355" s="1"/>
      <c r="G2355" s="1"/>
    </row>
    <row r="2356" spans="1:7" x14ac:dyDescent="0.25">
      <c r="A2356" s="1"/>
      <c r="B2356" s="2"/>
      <c r="C2356" s="2"/>
      <c r="D2356" s="1"/>
      <c r="F2356" s="1"/>
      <c r="G2356" s="1"/>
    </row>
    <row r="2357" spans="1:7" x14ac:dyDescent="0.25">
      <c r="A2357" s="1"/>
      <c r="B2357" s="2"/>
      <c r="C2357" s="2"/>
      <c r="D2357" s="1"/>
      <c r="F2357" s="1"/>
      <c r="G2357" s="1"/>
    </row>
    <row r="2358" spans="1:7" x14ac:dyDescent="0.25">
      <c r="A2358" s="1"/>
      <c r="B2358" s="2"/>
      <c r="C2358" s="2"/>
      <c r="D2358" s="1"/>
      <c r="F2358" s="1"/>
      <c r="G2358" s="1"/>
    </row>
    <row r="2359" spans="1:7" x14ac:dyDescent="0.25">
      <c r="A2359" s="1"/>
      <c r="B2359" s="2"/>
      <c r="C2359" s="2"/>
      <c r="D2359" s="1"/>
      <c r="F2359" s="1"/>
      <c r="G2359" s="1"/>
    </row>
    <row r="2360" spans="1:7" x14ac:dyDescent="0.25">
      <c r="A2360" s="1"/>
      <c r="B2360" s="2"/>
      <c r="C2360" s="2"/>
      <c r="D2360" s="1"/>
      <c r="F2360" s="1"/>
      <c r="G2360" s="1"/>
    </row>
    <row r="2361" spans="1:7" x14ac:dyDescent="0.25">
      <c r="A2361" s="1"/>
      <c r="B2361" s="2"/>
      <c r="C2361" s="2"/>
      <c r="D2361" s="1"/>
      <c r="F2361" s="1"/>
      <c r="G2361" s="1"/>
    </row>
    <row r="2362" spans="1:7" x14ac:dyDescent="0.25">
      <c r="A2362" s="1"/>
      <c r="B2362" s="2"/>
      <c r="C2362" s="2"/>
      <c r="D2362" s="1"/>
      <c r="F2362" s="1"/>
      <c r="G2362" s="1"/>
    </row>
    <row r="2363" spans="1:7" x14ac:dyDescent="0.25">
      <c r="A2363" s="1"/>
      <c r="B2363" s="2"/>
      <c r="C2363" s="2"/>
      <c r="D2363" s="1"/>
      <c r="F2363" s="1"/>
      <c r="G2363" s="1"/>
    </row>
    <row r="2364" spans="1:7" x14ac:dyDescent="0.25">
      <c r="A2364" s="1"/>
      <c r="B2364" s="2"/>
      <c r="C2364" s="2"/>
      <c r="D2364" s="1"/>
      <c r="F2364" s="1"/>
      <c r="G2364" s="1"/>
    </row>
    <row r="2365" spans="1:7" x14ac:dyDescent="0.25">
      <c r="A2365" s="1"/>
      <c r="B2365" s="2"/>
      <c r="C2365" s="2"/>
      <c r="D2365" s="1"/>
      <c r="F2365" s="1"/>
      <c r="G2365" s="1"/>
    </row>
    <row r="2366" spans="1:7" x14ac:dyDescent="0.25">
      <c r="A2366" s="1"/>
      <c r="B2366" s="2"/>
      <c r="C2366" s="2"/>
      <c r="D2366" s="1"/>
      <c r="F2366" s="1"/>
      <c r="G2366" s="1"/>
    </row>
    <row r="2367" spans="1:7" x14ac:dyDescent="0.25">
      <c r="A2367" s="1"/>
      <c r="B2367" s="2"/>
      <c r="C2367" s="2"/>
      <c r="D2367" s="1"/>
      <c r="F2367" s="1"/>
      <c r="G2367" s="1"/>
    </row>
    <row r="2368" spans="1:7" x14ac:dyDescent="0.25">
      <c r="A2368" s="1"/>
      <c r="B2368" s="2"/>
      <c r="C2368" s="2"/>
      <c r="D2368" s="1"/>
      <c r="F2368" s="1"/>
      <c r="G2368" s="1"/>
    </row>
    <row r="2369" spans="1:7" x14ac:dyDescent="0.25">
      <c r="A2369" s="1"/>
      <c r="B2369" s="2"/>
      <c r="C2369" s="2"/>
      <c r="D2369" s="1"/>
      <c r="F2369" s="1"/>
      <c r="G2369" s="1"/>
    </row>
    <row r="2370" spans="1:7" x14ac:dyDescent="0.25">
      <c r="A2370" s="1"/>
      <c r="B2370" s="2"/>
      <c r="C2370" s="2"/>
      <c r="D2370" s="1"/>
      <c r="F2370" s="1"/>
      <c r="G2370" s="1"/>
    </row>
    <row r="2371" spans="1:7" x14ac:dyDescent="0.25">
      <c r="A2371" s="1"/>
      <c r="B2371" s="2"/>
      <c r="C2371" s="2"/>
      <c r="D2371" s="1"/>
      <c r="F2371" s="1"/>
      <c r="G2371" s="1"/>
    </row>
    <row r="2372" spans="1:7" x14ac:dyDescent="0.25">
      <c r="A2372" s="1"/>
      <c r="B2372" s="2"/>
      <c r="C2372" s="2"/>
      <c r="D2372" s="1"/>
      <c r="F2372" s="1"/>
      <c r="G2372" s="1"/>
    </row>
    <row r="2373" spans="1:7" x14ac:dyDescent="0.25">
      <c r="A2373" s="1"/>
      <c r="B2373" s="2"/>
      <c r="C2373" s="2"/>
      <c r="D2373" s="1"/>
      <c r="F2373" s="1"/>
      <c r="G2373" s="1"/>
    </row>
    <row r="2374" spans="1:7" x14ac:dyDescent="0.25">
      <c r="A2374" s="1"/>
      <c r="B2374" s="2"/>
      <c r="C2374" s="2"/>
      <c r="D2374" s="1"/>
      <c r="F2374" s="1"/>
      <c r="G2374" s="1"/>
    </row>
    <row r="2375" spans="1:7" x14ac:dyDescent="0.25">
      <c r="A2375" s="1"/>
      <c r="B2375" s="2"/>
      <c r="C2375" s="2"/>
      <c r="D2375" s="1"/>
      <c r="F2375" s="1"/>
      <c r="G2375" s="1"/>
    </row>
    <row r="2376" spans="1:7" x14ac:dyDescent="0.25">
      <c r="A2376" s="1"/>
      <c r="B2376" s="2"/>
      <c r="C2376" s="2"/>
      <c r="D2376" s="1"/>
      <c r="F2376" s="1"/>
      <c r="G2376" s="1"/>
    </row>
    <row r="2377" spans="1:7" x14ac:dyDescent="0.25">
      <c r="A2377" s="1"/>
      <c r="B2377" s="2"/>
      <c r="C2377" s="2"/>
      <c r="D2377" s="1"/>
      <c r="F2377" s="1"/>
      <c r="G2377" s="1"/>
    </row>
    <row r="2378" spans="1:7" x14ac:dyDescent="0.25">
      <c r="A2378" s="1"/>
      <c r="B2378" s="2"/>
      <c r="C2378" s="2"/>
      <c r="D2378" s="1"/>
      <c r="F2378" s="1"/>
      <c r="G2378" s="1"/>
    </row>
    <row r="2379" spans="1:7" x14ac:dyDescent="0.25">
      <c r="A2379" s="1"/>
      <c r="B2379" s="2"/>
      <c r="C2379" s="2"/>
      <c r="D2379" s="1"/>
      <c r="F2379" s="1"/>
      <c r="G2379" s="1"/>
    </row>
    <row r="2380" spans="1:7" x14ac:dyDescent="0.25">
      <c r="A2380" s="1"/>
      <c r="B2380" s="2"/>
      <c r="C2380" s="2"/>
      <c r="D2380" s="1"/>
      <c r="F2380" s="1"/>
      <c r="G2380" s="1"/>
    </row>
    <row r="2381" spans="1:7" x14ac:dyDescent="0.25">
      <c r="A2381" s="1"/>
      <c r="B2381" s="2"/>
      <c r="C2381" s="2"/>
      <c r="D2381" s="1"/>
      <c r="F2381" s="1"/>
      <c r="G2381" s="1"/>
    </row>
    <row r="2382" spans="1:7" x14ac:dyDescent="0.25">
      <c r="A2382" s="1"/>
      <c r="B2382" s="2"/>
      <c r="C2382" s="2"/>
      <c r="D2382" s="1"/>
      <c r="F2382" s="1"/>
      <c r="G2382" s="1"/>
    </row>
    <row r="2383" spans="1:7" x14ac:dyDescent="0.25">
      <c r="A2383" s="1"/>
      <c r="B2383" s="2"/>
      <c r="C2383" s="2"/>
      <c r="D2383" s="1"/>
      <c r="F2383" s="1"/>
      <c r="G2383" s="1"/>
    </row>
    <row r="2384" spans="1:7" x14ac:dyDescent="0.25">
      <c r="A2384" s="1"/>
      <c r="B2384" s="2"/>
      <c r="C2384" s="2"/>
      <c r="D2384" s="1"/>
      <c r="F2384" s="1"/>
      <c r="G2384" s="1"/>
    </row>
    <row r="2385" spans="1:7" x14ac:dyDescent="0.25">
      <c r="A2385" s="1"/>
      <c r="B2385" s="2"/>
      <c r="C2385" s="2"/>
      <c r="D2385" s="1"/>
      <c r="F2385" s="1"/>
      <c r="G2385" s="1"/>
    </row>
    <row r="2386" spans="1:7" x14ac:dyDescent="0.25">
      <c r="A2386" s="1"/>
      <c r="B2386" s="2"/>
      <c r="C2386" s="2"/>
      <c r="D2386" s="1"/>
      <c r="F2386" s="1"/>
      <c r="G2386" s="1"/>
    </row>
    <row r="2387" spans="1:7" x14ac:dyDescent="0.25">
      <c r="A2387" s="1"/>
      <c r="B2387" s="2"/>
      <c r="C2387" s="2"/>
      <c r="D2387" s="1"/>
      <c r="F2387" s="1"/>
      <c r="G2387" s="1"/>
    </row>
    <row r="2388" spans="1:7" x14ac:dyDescent="0.25">
      <c r="A2388" s="1"/>
      <c r="B2388" s="2"/>
      <c r="C2388" s="2"/>
      <c r="D2388" s="1"/>
      <c r="F2388" s="1"/>
      <c r="G2388" s="1"/>
    </row>
    <row r="2389" spans="1:7" x14ac:dyDescent="0.25">
      <c r="A2389" s="1"/>
      <c r="B2389" s="2"/>
      <c r="C2389" s="2"/>
      <c r="D2389" s="1"/>
      <c r="F2389" s="1"/>
      <c r="G2389" s="1"/>
    </row>
    <row r="2390" spans="1:7" x14ac:dyDescent="0.25">
      <c r="A2390" s="1"/>
      <c r="B2390" s="2"/>
      <c r="C2390" s="2"/>
      <c r="D2390" s="1"/>
      <c r="F2390" s="1"/>
      <c r="G2390" s="1"/>
    </row>
    <row r="2391" spans="1:7" x14ac:dyDescent="0.25">
      <c r="A2391" s="1"/>
      <c r="B2391" s="2"/>
      <c r="C2391" s="2"/>
      <c r="D2391" s="1"/>
      <c r="F2391" s="1"/>
      <c r="G2391" s="1"/>
    </row>
    <row r="2392" spans="1:7" x14ac:dyDescent="0.25">
      <c r="A2392" s="1"/>
      <c r="B2392" s="2"/>
      <c r="C2392" s="2"/>
      <c r="D2392" s="1"/>
      <c r="F2392" s="1"/>
      <c r="G2392" s="1"/>
    </row>
    <row r="2393" spans="1:7" x14ac:dyDescent="0.25">
      <c r="A2393" s="1"/>
      <c r="B2393" s="2"/>
      <c r="C2393" s="2"/>
      <c r="D2393" s="1"/>
      <c r="F2393" s="1"/>
      <c r="G2393" s="1"/>
    </row>
    <row r="2394" spans="1:7" x14ac:dyDescent="0.25">
      <c r="A2394" s="1"/>
      <c r="B2394" s="2"/>
      <c r="C2394" s="2"/>
      <c r="D2394" s="1"/>
      <c r="F2394" s="1"/>
      <c r="G2394" s="1"/>
    </row>
    <row r="2395" spans="1:7" x14ac:dyDescent="0.25">
      <c r="A2395" s="1"/>
      <c r="B2395" s="2"/>
      <c r="C2395" s="2"/>
      <c r="D2395" s="1"/>
      <c r="F2395" s="1"/>
      <c r="G2395" s="1"/>
    </row>
    <row r="2396" spans="1:7" x14ac:dyDescent="0.25">
      <c r="A2396" s="1"/>
      <c r="B2396" s="2"/>
      <c r="C2396" s="2"/>
      <c r="D2396" s="1"/>
      <c r="F2396" s="1"/>
      <c r="G2396" s="1"/>
    </row>
    <row r="2397" spans="1:7" x14ac:dyDescent="0.25">
      <c r="A2397" s="1"/>
      <c r="B2397" s="2"/>
      <c r="C2397" s="2"/>
      <c r="D2397" s="1"/>
      <c r="F2397" s="1"/>
      <c r="G2397" s="1"/>
    </row>
    <row r="2398" spans="1:7" x14ac:dyDescent="0.25">
      <c r="A2398" s="1"/>
      <c r="B2398" s="2"/>
      <c r="C2398" s="2"/>
      <c r="D2398" s="1"/>
      <c r="F2398" s="1"/>
      <c r="G2398" s="1"/>
    </row>
    <row r="2399" spans="1:7" x14ac:dyDescent="0.25">
      <c r="A2399" s="1"/>
      <c r="B2399" s="2"/>
      <c r="C2399" s="2"/>
      <c r="D2399" s="1"/>
      <c r="F2399" s="1"/>
      <c r="G2399" s="1"/>
    </row>
    <row r="2400" spans="1:7" x14ac:dyDescent="0.25">
      <c r="A2400" s="1"/>
      <c r="B2400" s="2"/>
      <c r="C2400" s="2"/>
      <c r="D2400" s="1"/>
      <c r="F2400" s="1"/>
      <c r="G2400" s="1"/>
    </row>
    <row r="2401" spans="1:7" x14ac:dyDescent="0.25">
      <c r="A2401" s="1"/>
      <c r="B2401" s="2"/>
      <c r="C2401" s="2"/>
      <c r="D2401" s="1"/>
      <c r="F2401" s="1"/>
      <c r="G2401" s="1"/>
    </row>
    <row r="2402" spans="1:7" x14ac:dyDescent="0.25">
      <c r="A2402" s="1"/>
      <c r="B2402" s="2"/>
      <c r="C2402" s="2"/>
      <c r="D2402" s="1"/>
      <c r="F2402" s="1"/>
      <c r="G2402" s="1"/>
    </row>
    <row r="2403" spans="1:7" x14ac:dyDescent="0.25">
      <c r="A2403" s="1"/>
      <c r="B2403" s="2"/>
      <c r="C2403" s="2"/>
      <c r="D2403" s="1"/>
      <c r="F2403" s="1"/>
      <c r="G2403" s="1"/>
    </row>
    <row r="2404" spans="1:7" x14ac:dyDescent="0.25">
      <c r="A2404" s="1"/>
      <c r="B2404" s="2"/>
      <c r="C2404" s="2"/>
      <c r="D2404" s="1"/>
      <c r="F2404" s="1"/>
      <c r="G2404" s="1"/>
    </row>
    <row r="2405" spans="1:7" x14ac:dyDescent="0.25">
      <c r="A2405" s="1"/>
      <c r="B2405" s="2"/>
      <c r="C2405" s="2"/>
      <c r="D2405" s="1"/>
      <c r="F2405" s="1"/>
      <c r="G2405" s="1"/>
    </row>
    <row r="2406" spans="1:7" x14ac:dyDescent="0.25">
      <c r="A2406" s="1"/>
      <c r="B2406" s="2"/>
      <c r="C2406" s="2"/>
      <c r="D2406" s="1"/>
      <c r="F2406" s="1"/>
      <c r="G2406" s="1"/>
    </row>
    <row r="2407" spans="1:7" x14ac:dyDescent="0.25">
      <c r="A2407" s="1"/>
      <c r="B2407" s="2"/>
      <c r="C2407" s="2"/>
      <c r="D2407" s="1"/>
      <c r="F2407" s="1"/>
      <c r="G2407" s="1"/>
    </row>
    <row r="2408" spans="1:7" x14ac:dyDescent="0.25">
      <c r="A2408" s="1"/>
      <c r="B2408" s="2"/>
      <c r="C2408" s="2"/>
      <c r="D2408" s="1"/>
      <c r="F2408" s="1"/>
      <c r="G2408" s="1"/>
    </row>
    <row r="2409" spans="1:7" x14ac:dyDescent="0.25">
      <c r="A2409" s="1"/>
      <c r="B2409" s="2"/>
      <c r="C2409" s="2"/>
      <c r="D2409" s="1"/>
      <c r="F2409" s="1"/>
      <c r="G2409" s="1"/>
    </row>
    <row r="2410" spans="1:7" x14ac:dyDescent="0.25">
      <c r="A2410" s="1"/>
      <c r="B2410" s="2"/>
      <c r="C2410" s="2"/>
      <c r="D2410" s="1"/>
      <c r="F2410" s="1"/>
      <c r="G2410" s="1"/>
    </row>
    <row r="2411" spans="1:7" x14ac:dyDescent="0.25">
      <c r="A2411" s="1"/>
      <c r="B2411" s="2"/>
      <c r="C2411" s="2"/>
      <c r="D2411" s="1"/>
      <c r="F2411" s="1"/>
      <c r="G2411" s="1"/>
    </row>
    <row r="2412" spans="1:7" x14ac:dyDescent="0.25">
      <c r="A2412" s="1"/>
      <c r="B2412" s="2"/>
      <c r="C2412" s="2"/>
      <c r="D2412" s="1"/>
      <c r="F2412" s="1"/>
      <c r="G2412" s="1"/>
    </row>
    <row r="2413" spans="1:7" x14ac:dyDescent="0.25">
      <c r="A2413" s="1"/>
      <c r="B2413" s="2"/>
      <c r="C2413" s="2"/>
      <c r="D2413" s="1"/>
      <c r="F2413" s="1"/>
      <c r="G2413" s="1"/>
    </row>
    <row r="2414" spans="1:7" x14ac:dyDescent="0.25">
      <c r="A2414" s="1"/>
      <c r="B2414" s="2"/>
      <c r="C2414" s="2"/>
      <c r="D2414" s="1"/>
      <c r="F2414" s="1"/>
      <c r="G2414" s="1"/>
    </row>
    <row r="2415" spans="1:7" x14ac:dyDescent="0.25">
      <c r="A2415" s="1"/>
      <c r="B2415" s="2"/>
      <c r="C2415" s="2"/>
      <c r="D2415" s="1"/>
      <c r="F2415" s="1"/>
      <c r="G2415" s="1"/>
    </row>
    <row r="2416" spans="1:7" x14ac:dyDescent="0.25">
      <c r="A2416" s="1"/>
      <c r="B2416" s="2"/>
      <c r="C2416" s="2"/>
      <c r="D2416" s="1"/>
      <c r="F2416" s="1"/>
      <c r="G2416" s="1"/>
    </row>
    <row r="2417" spans="1:7" x14ac:dyDescent="0.25">
      <c r="A2417" s="1"/>
      <c r="B2417" s="2"/>
      <c r="C2417" s="2"/>
      <c r="D2417" s="1"/>
      <c r="F2417" s="1"/>
      <c r="G2417" s="1"/>
    </row>
    <row r="2418" spans="1:7" x14ac:dyDescent="0.25">
      <c r="A2418" s="1"/>
      <c r="B2418" s="2"/>
      <c r="C2418" s="2"/>
      <c r="D2418" s="1"/>
      <c r="F2418" s="1"/>
      <c r="G2418" s="1"/>
    </row>
    <row r="2419" spans="1:7" x14ac:dyDescent="0.25">
      <c r="A2419" s="1"/>
      <c r="B2419" s="2"/>
      <c r="C2419" s="2"/>
      <c r="D2419" s="1"/>
      <c r="F2419" s="1"/>
      <c r="G2419" s="1"/>
    </row>
    <row r="2420" spans="1:7" x14ac:dyDescent="0.25">
      <c r="A2420" s="1"/>
      <c r="B2420" s="2"/>
      <c r="C2420" s="2"/>
      <c r="D2420" s="1"/>
      <c r="F2420" s="1"/>
      <c r="G2420" s="1"/>
    </row>
    <row r="2421" spans="1:7" x14ac:dyDescent="0.25">
      <c r="A2421" s="1"/>
      <c r="B2421" s="2"/>
      <c r="C2421" s="2"/>
      <c r="D2421" s="1"/>
      <c r="F2421" s="1"/>
      <c r="G2421" s="1"/>
    </row>
    <row r="2422" spans="1:7" x14ac:dyDescent="0.25">
      <c r="A2422" s="1"/>
      <c r="B2422" s="2"/>
      <c r="C2422" s="2"/>
      <c r="D2422" s="1"/>
      <c r="F2422" s="1"/>
      <c r="G2422" s="1"/>
    </row>
    <row r="2423" spans="1:7" x14ac:dyDescent="0.25">
      <c r="A2423" s="1"/>
      <c r="B2423" s="2"/>
      <c r="C2423" s="2"/>
      <c r="D2423" s="1"/>
      <c r="F2423" s="1"/>
      <c r="G2423" s="1"/>
    </row>
    <row r="2424" spans="1:7" x14ac:dyDescent="0.25">
      <c r="A2424" s="1"/>
      <c r="B2424" s="2"/>
      <c r="C2424" s="2"/>
      <c r="D2424" s="1"/>
      <c r="F2424" s="1"/>
      <c r="G2424" s="1"/>
    </row>
    <row r="2425" spans="1:7" x14ac:dyDescent="0.25">
      <c r="A2425" s="1"/>
      <c r="B2425" s="2"/>
      <c r="C2425" s="2"/>
      <c r="D2425" s="1"/>
      <c r="F2425" s="1"/>
      <c r="G2425" s="1"/>
    </row>
    <row r="2426" spans="1:7" x14ac:dyDescent="0.25">
      <c r="A2426" s="1"/>
      <c r="B2426" s="2"/>
      <c r="C2426" s="2"/>
      <c r="D2426" s="1"/>
      <c r="F2426" s="1"/>
      <c r="G2426" s="1"/>
    </row>
    <row r="2427" spans="1:7" x14ac:dyDescent="0.25">
      <c r="A2427" s="1"/>
      <c r="B2427" s="2"/>
      <c r="C2427" s="2"/>
      <c r="D2427" s="1"/>
      <c r="F2427" s="1"/>
      <c r="G2427" s="1"/>
    </row>
    <row r="2428" spans="1:7" x14ac:dyDescent="0.25">
      <c r="A2428" s="1"/>
      <c r="B2428" s="2"/>
      <c r="C2428" s="2"/>
      <c r="D2428" s="1"/>
      <c r="F2428" s="1"/>
      <c r="G2428" s="1"/>
    </row>
    <row r="2429" spans="1:7" x14ac:dyDescent="0.25">
      <c r="A2429" s="1"/>
      <c r="B2429" s="2"/>
      <c r="C2429" s="2"/>
      <c r="D2429" s="1"/>
      <c r="F2429" s="1"/>
      <c r="G2429" s="1"/>
    </row>
    <row r="2430" spans="1:7" x14ac:dyDescent="0.25">
      <c r="A2430" s="1"/>
      <c r="B2430" s="2"/>
      <c r="C2430" s="2"/>
      <c r="D2430" s="1"/>
      <c r="F2430" s="1"/>
      <c r="G2430" s="1"/>
    </row>
    <row r="2431" spans="1:7" x14ac:dyDescent="0.25">
      <c r="A2431" s="1"/>
      <c r="B2431" s="2"/>
      <c r="C2431" s="2"/>
      <c r="D2431" s="1"/>
      <c r="F2431" s="1"/>
      <c r="G2431" s="1"/>
    </row>
    <row r="2432" spans="1:7" x14ac:dyDescent="0.25">
      <c r="A2432" s="1"/>
      <c r="B2432" s="2"/>
      <c r="C2432" s="2"/>
      <c r="D2432" s="1"/>
      <c r="F2432" s="1"/>
      <c r="G2432" s="1"/>
    </row>
    <row r="2433" spans="1:7" x14ac:dyDescent="0.25">
      <c r="A2433" s="1"/>
      <c r="B2433" s="2"/>
      <c r="C2433" s="2"/>
      <c r="D2433" s="1"/>
      <c r="F2433" s="1"/>
      <c r="G2433" s="1"/>
    </row>
    <row r="2434" spans="1:7" x14ac:dyDescent="0.25">
      <c r="A2434" s="1"/>
      <c r="B2434" s="2"/>
      <c r="C2434" s="2"/>
      <c r="D2434" s="1"/>
      <c r="F2434" s="1"/>
      <c r="G2434" s="1"/>
    </row>
    <row r="2435" spans="1:7" x14ac:dyDescent="0.25">
      <c r="A2435" s="1"/>
      <c r="B2435" s="2"/>
      <c r="C2435" s="2"/>
      <c r="D2435" s="1"/>
      <c r="F2435" s="1"/>
      <c r="G2435" s="1"/>
    </row>
    <row r="2436" spans="1:7" x14ac:dyDescent="0.25">
      <c r="A2436" s="1"/>
      <c r="B2436" s="2"/>
      <c r="C2436" s="2"/>
      <c r="D2436" s="1"/>
      <c r="F2436" s="1"/>
      <c r="G2436" s="1"/>
    </row>
    <row r="2437" spans="1:7" x14ac:dyDescent="0.25">
      <c r="A2437" s="1"/>
      <c r="B2437" s="2"/>
      <c r="C2437" s="2"/>
      <c r="D2437" s="1"/>
      <c r="F2437" s="1"/>
      <c r="G2437" s="1"/>
    </row>
    <row r="2438" spans="1:7" x14ac:dyDescent="0.25">
      <c r="A2438" s="1"/>
      <c r="B2438" s="2"/>
      <c r="C2438" s="2"/>
      <c r="D2438" s="1"/>
      <c r="F2438" s="1"/>
      <c r="G2438" s="1"/>
    </row>
    <row r="2439" spans="1:7" x14ac:dyDescent="0.25">
      <c r="A2439" s="1"/>
      <c r="B2439" s="2"/>
      <c r="C2439" s="2"/>
      <c r="D2439" s="1"/>
      <c r="F2439" s="1"/>
      <c r="G2439" s="1"/>
    </row>
    <row r="2440" spans="1:7" x14ac:dyDescent="0.25">
      <c r="A2440" s="1"/>
      <c r="B2440" s="2"/>
      <c r="C2440" s="2"/>
      <c r="D2440" s="1"/>
      <c r="F2440" s="1"/>
      <c r="G2440" s="1"/>
    </row>
    <row r="2441" spans="1:7" x14ac:dyDescent="0.25">
      <c r="A2441" s="1"/>
      <c r="B2441" s="2"/>
      <c r="C2441" s="2"/>
      <c r="D2441" s="1"/>
      <c r="F2441" s="1"/>
      <c r="G2441" s="1"/>
    </row>
    <row r="2442" spans="1:7" x14ac:dyDescent="0.25">
      <c r="A2442" s="1"/>
      <c r="B2442" s="2"/>
      <c r="C2442" s="2"/>
      <c r="D2442" s="1"/>
      <c r="F2442" s="1"/>
      <c r="G2442" s="1"/>
    </row>
    <row r="2443" spans="1:7" x14ac:dyDescent="0.25">
      <c r="A2443" s="1"/>
      <c r="B2443" s="2"/>
      <c r="C2443" s="2"/>
      <c r="D2443" s="1"/>
      <c r="F2443" s="1"/>
      <c r="G2443" s="1"/>
    </row>
    <row r="2444" spans="1:7" x14ac:dyDescent="0.25">
      <c r="A2444" s="1"/>
      <c r="B2444" s="2"/>
      <c r="C2444" s="2"/>
      <c r="D2444" s="1"/>
      <c r="F2444" s="1"/>
      <c r="G2444" s="1"/>
    </row>
    <row r="2445" spans="1:7" x14ac:dyDescent="0.25">
      <c r="A2445" s="1"/>
      <c r="B2445" s="2"/>
      <c r="C2445" s="2"/>
      <c r="D2445" s="1"/>
      <c r="F2445" s="1"/>
      <c r="G2445" s="1"/>
    </row>
    <row r="2446" spans="1:7" x14ac:dyDescent="0.25">
      <c r="A2446" s="1"/>
      <c r="B2446" s="2"/>
      <c r="C2446" s="2"/>
      <c r="D2446" s="1"/>
      <c r="F2446" s="1"/>
      <c r="G2446" s="1"/>
    </row>
    <row r="2447" spans="1:7" x14ac:dyDescent="0.25">
      <c r="A2447" s="1"/>
      <c r="B2447" s="2"/>
      <c r="C2447" s="2"/>
      <c r="D2447" s="1"/>
      <c r="F2447" s="1"/>
      <c r="G2447" s="1"/>
    </row>
    <row r="2448" spans="1:7" x14ac:dyDescent="0.25">
      <c r="A2448" s="1"/>
      <c r="B2448" s="2"/>
      <c r="C2448" s="2"/>
      <c r="D2448" s="1"/>
      <c r="F2448" s="1"/>
      <c r="G2448" s="1"/>
    </row>
    <row r="2449" spans="1:7" x14ac:dyDescent="0.25">
      <c r="A2449" s="1"/>
      <c r="B2449" s="2"/>
      <c r="C2449" s="2"/>
      <c r="D2449" s="1"/>
      <c r="F2449" s="1"/>
      <c r="G2449" s="1"/>
    </row>
    <row r="2450" spans="1:7" x14ac:dyDescent="0.25">
      <c r="A2450" s="1"/>
      <c r="B2450" s="2"/>
      <c r="C2450" s="2"/>
      <c r="D2450" s="1"/>
      <c r="F2450" s="1"/>
      <c r="G2450" s="1"/>
    </row>
    <row r="2451" spans="1:7" x14ac:dyDescent="0.25">
      <c r="A2451" s="1"/>
      <c r="B2451" s="2"/>
      <c r="C2451" s="2"/>
      <c r="D2451" s="1"/>
      <c r="F2451" s="1"/>
      <c r="G2451" s="1"/>
    </row>
    <row r="2452" spans="1:7" x14ac:dyDescent="0.25">
      <c r="A2452" s="1"/>
      <c r="B2452" s="2"/>
      <c r="C2452" s="2"/>
      <c r="D2452" s="1"/>
      <c r="F2452" s="1"/>
      <c r="G2452" s="1"/>
    </row>
    <row r="2453" spans="1:7" x14ac:dyDescent="0.25">
      <c r="A2453" s="1"/>
      <c r="B2453" s="2"/>
      <c r="C2453" s="2"/>
      <c r="D2453" s="1"/>
      <c r="F2453" s="1"/>
      <c r="G2453" s="1"/>
    </row>
    <row r="2454" spans="1:7" x14ac:dyDescent="0.25">
      <c r="A2454" s="1"/>
      <c r="B2454" s="2"/>
      <c r="C2454" s="2"/>
      <c r="D2454" s="1"/>
      <c r="F2454" s="1"/>
      <c r="G2454" s="1"/>
    </row>
    <row r="2455" spans="1:7" x14ac:dyDescent="0.25">
      <c r="A2455" s="1"/>
      <c r="B2455" s="2"/>
      <c r="C2455" s="2"/>
      <c r="D2455" s="1"/>
      <c r="F2455" s="1"/>
      <c r="G2455" s="1"/>
    </row>
    <row r="2456" spans="1:7" x14ac:dyDescent="0.25">
      <c r="A2456" s="1"/>
      <c r="B2456" s="2"/>
      <c r="C2456" s="2"/>
      <c r="D2456" s="1"/>
      <c r="F2456" s="1"/>
      <c r="G2456" s="1"/>
    </row>
    <row r="2457" spans="1:7" x14ac:dyDescent="0.25">
      <c r="A2457" s="1"/>
      <c r="B2457" s="2"/>
      <c r="C2457" s="2"/>
      <c r="D2457" s="1"/>
      <c r="F2457" s="1"/>
      <c r="G2457" s="1"/>
    </row>
    <row r="2458" spans="1:7" x14ac:dyDescent="0.25">
      <c r="A2458" s="1"/>
      <c r="B2458" s="2"/>
      <c r="C2458" s="2"/>
      <c r="D2458" s="1"/>
      <c r="F2458" s="1"/>
      <c r="G2458" s="1"/>
    </row>
    <row r="2459" spans="1:7" x14ac:dyDescent="0.25">
      <c r="A2459" s="1"/>
      <c r="B2459" s="2"/>
      <c r="C2459" s="2"/>
      <c r="D2459" s="1"/>
      <c r="F2459" s="1"/>
      <c r="G2459" s="1"/>
    </row>
    <row r="2460" spans="1:7" x14ac:dyDescent="0.25">
      <c r="A2460" s="1"/>
      <c r="B2460" s="2"/>
      <c r="C2460" s="2"/>
      <c r="D2460" s="1"/>
      <c r="F2460" s="1"/>
      <c r="G2460" s="1"/>
    </row>
    <row r="2461" spans="1:7" x14ac:dyDescent="0.25">
      <c r="A2461" s="1"/>
      <c r="B2461" s="2"/>
      <c r="C2461" s="2"/>
      <c r="D2461" s="1"/>
      <c r="F2461" s="1"/>
      <c r="G2461" s="1"/>
    </row>
    <row r="2462" spans="1:7" x14ac:dyDescent="0.25">
      <c r="A2462" s="1"/>
      <c r="B2462" s="2"/>
      <c r="C2462" s="2"/>
      <c r="D2462" s="1"/>
      <c r="F2462" s="1"/>
      <c r="G2462" s="1"/>
    </row>
    <row r="2463" spans="1:7" x14ac:dyDescent="0.25">
      <c r="A2463" s="1"/>
      <c r="B2463" s="2"/>
      <c r="C2463" s="2"/>
      <c r="D2463" s="1"/>
      <c r="F2463" s="1"/>
      <c r="G2463" s="1"/>
    </row>
    <row r="2464" spans="1:7" x14ac:dyDescent="0.25">
      <c r="A2464" s="1"/>
      <c r="B2464" s="2"/>
      <c r="C2464" s="2"/>
      <c r="D2464" s="1"/>
      <c r="F2464" s="1"/>
      <c r="G2464" s="1"/>
    </row>
    <row r="2465" spans="1:7" x14ac:dyDescent="0.25">
      <c r="A2465" s="1"/>
      <c r="B2465" s="2"/>
      <c r="C2465" s="2"/>
      <c r="D2465" s="1"/>
      <c r="F2465" s="1"/>
      <c r="G2465" s="1"/>
    </row>
    <row r="2466" spans="1:7" x14ac:dyDescent="0.25">
      <c r="A2466" s="1"/>
      <c r="B2466" s="2"/>
      <c r="C2466" s="2"/>
      <c r="D2466" s="1"/>
      <c r="F2466" s="1"/>
      <c r="G2466" s="1"/>
    </row>
    <row r="2467" spans="1:7" x14ac:dyDescent="0.25">
      <c r="A2467" s="1"/>
      <c r="B2467" s="2"/>
      <c r="C2467" s="2"/>
      <c r="D2467" s="1"/>
      <c r="F2467" s="1"/>
      <c r="G2467" s="1"/>
    </row>
    <row r="2468" spans="1:7" x14ac:dyDescent="0.25">
      <c r="A2468" s="1"/>
      <c r="B2468" s="2"/>
      <c r="C2468" s="2"/>
      <c r="D2468" s="1"/>
      <c r="F2468" s="1"/>
      <c r="G2468" s="1"/>
    </row>
    <row r="2469" spans="1:7" x14ac:dyDescent="0.25">
      <c r="A2469" s="1"/>
      <c r="B2469" s="2"/>
      <c r="C2469" s="2"/>
      <c r="D2469" s="1"/>
      <c r="F2469" s="1"/>
      <c r="G2469" s="1"/>
    </row>
    <row r="2470" spans="1:7" x14ac:dyDescent="0.25">
      <c r="A2470" s="1"/>
      <c r="B2470" s="2"/>
      <c r="C2470" s="2"/>
      <c r="D2470" s="1"/>
      <c r="F2470" s="1"/>
      <c r="G2470" s="1"/>
    </row>
    <row r="2471" spans="1:7" x14ac:dyDescent="0.25">
      <c r="A2471" s="1"/>
      <c r="B2471" s="2"/>
      <c r="C2471" s="2"/>
      <c r="D2471" s="1"/>
      <c r="F2471" s="1"/>
      <c r="G2471" s="1"/>
    </row>
    <row r="2472" spans="1:7" x14ac:dyDescent="0.25">
      <c r="A2472" s="1"/>
      <c r="B2472" s="2"/>
      <c r="C2472" s="2"/>
      <c r="D2472" s="1"/>
      <c r="F2472" s="1"/>
      <c r="G2472" s="1"/>
    </row>
    <row r="2473" spans="1:7" x14ac:dyDescent="0.25">
      <c r="A2473" s="1"/>
      <c r="B2473" s="2"/>
      <c r="C2473" s="2"/>
      <c r="D2473" s="1"/>
      <c r="F2473" s="1"/>
      <c r="G2473" s="1"/>
    </row>
    <row r="2474" spans="1:7" x14ac:dyDescent="0.25">
      <c r="A2474" s="1"/>
      <c r="B2474" s="2"/>
      <c r="C2474" s="2"/>
      <c r="D2474" s="1"/>
      <c r="F2474" s="1"/>
      <c r="G2474" s="1"/>
    </row>
    <row r="2475" spans="1:7" x14ac:dyDescent="0.25">
      <c r="A2475" s="1"/>
      <c r="B2475" s="2"/>
      <c r="C2475" s="2"/>
      <c r="D2475" s="1"/>
      <c r="F2475" s="1"/>
      <c r="G2475" s="1"/>
    </row>
    <row r="2476" spans="1:7" x14ac:dyDescent="0.25">
      <c r="A2476" s="1"/>
      <c r="B2476" s="2"/>
      <c r="C2476" s="2"/>
      <c r="D2476" s="1"/>
      <c r="F2476" s="1"/>
      <c r="G2476" s="1"/>
    </row>
    <row r="2477" spans="1:7" x14ac:dyDescent="0.25">
      <c r="A2477" s="1"/>
      <c r="B2477" s="2"/>
      <c r="C2477" s="2"/>
      <c r="D2477" s="1"/>
      <c r="F2477" s="1"/>
      <c r="G2477" s="1"/>
    </row>
    <row r="2478" spans="1:7" x14ac:dyDescent="0.25">
      <c r="A2478" s="1"/>
      <c r="B2478" s="2"/>
      <c r="C2478" s="2"/>
      <c r="D2478" s="1"/>
      <c r="F2478" s="1"/>
      <c r="G2478" s="1"/>
    </row>
    <row r="2479" spans="1:7" x14ac:dyDescent="0.25">
      <c r="A2479" s="1"/>
      <c r="B2479" s="2"/>
      <c r="C2479" s="2"/>
      <c r="D2479" s="1"/>
      <c r="F2479" s="1"/>
      <c r="G2479" s="1"/>
    </row>
    <row r="2480" spans="1:7" x14ac:dyDescent="0.25">
      <c r="A2480" s="1"/>
      <c r="B2480" s="2"/>
      <c r="C2480" s="2"/>
      <c r="D2480" s="1"/>
      <c r="F2480" s="1"/>
      <c r="G2480" s="1"/>
    </row>
    <row r="2481" spans="1:7" x14ac:dyDescent="0.25">
      <c r="A2481" s="1"/>
      <c r="B2481" s="2"/>
      <c r="C2481" s="2"/>
      <c r="D2481" s="1"/>
      <c r="F2481" s="1"/>
      <c r="G2481" s="1"/>
    </row>
    <row r="2482" spans="1:7" x14ac:dyDescent="0.25">
      <c r="A2482" s="1"/>
      <c r="B2482" s="2"/>
      <c r="C2482" s="2"/>
      <c r="D2482" s="1"/>
      <c r="F2482" s="1"/>
      <c r="G2482" s="1"/>
    </row>
    <row r="2483" spans="1:7" x14ac:dyDescent="0.25">
      <c r="A2483" s="1"/>
      <c r="B2483" s="2"/>
      <c r="C2483" s="2"/>
      <c r="D2483" s="1"/>
      <c r="F2483" s="1"/>
      <c r="G2483" s="1"/>
    </row>
    <row r="2484" spans="1:7" x14ac:dyDescent="0.25">
      <c r="A2484" s="1"/>
      <c r="B2484" s="2"/>
      <c r="C2484" s="2"/>
      <c r="D2484" s="1"/>
      <c r="F2484" s="1"/>
      <c r="G2484" s="1"/>
    </row>
    <row r="2485" spans="1:7" x14ac:dyDescent="0.25">
      <c r="A2485" s="1"/>
      <c r="B2485" s="2"/>
      <c r="C2485" s="2"/>
      <c r="D2485" s="1"/>
      <c r="F2485" s="1"/>
      <c r="G2485" s="1"/>
    </row>
    <row r="2486" spans="1:7" x14ac:dyDescent="0.25">
      <c r="A2486" s="1"/>
      <c r="B2486" s="2"/>
      <c r="C2486" s="2"/>
      <c r="D2486" s="1"/>
      <c r="F2486" s="1"/>
      <c r="G2486" s="1"/>
    </row>
    <row r="2487" spans="1:7" x14ac:dyDescent="0.25">
      <c r="A2487" s="1"/>
      <c r="B2487" s="2"/>
      <c r="C2487" s="2"/>
      <c r="D2487" s="1"/>
      <c r="F2487" s="1"/>
      <c r="G2487" s="1"/>
    </row>
    <row r="2488" spans="1:7" x14ac:dyDescent="0.25">
      <c r="A2488" s="1"/>
      <c r="B2488" s="2"/>
      <c r="C2488" s="2"/>
      <c r="D2488" s="1"/>
      <c r="F2488" s="1"/>
      <c r="G2488" s="1"/>
    </row>
    <row r="2489" spans="1:7" x14ac:dyDescent="0.25">
      <c r="A2489" s="1"/>
      <c r="B2489" s="2"/>
      <c r="C2489" s="2"/>
      <c r="D2489" s="1"/>
      <c r="F2489" s="1"/>
      <c r="G2489" s="1"/>
    </row>
    <row r="2490" spans="1:7" x14ac:dyDescent="0.25">
      <c r="A2490" s="1"/>
      <c r="B2490" s="2"/>
      <c r="C2490" s="2"/>
      <c r="D2490" s="1"/>
      <c r="F2490" s="1"/>
      <c r="G2490" s="1"/>
    </row>
    <row r="2491" spans="1:7" x14ac:dyDescent="0.25">
      <c r="A2491" s="1"/>
      <c r="B2491" s="2"/>
      <c r="C2491" s="2"/>
      <c r="D2491" s="1"/>
      <c r="F2491" s="1"/>
      <c r="G2491" s="1"/>
    </row>
    <row r="2492" spans="1:7" x14ac:dyDescent="0.25">
      <c r="A2492" s="1"/>
      <c r="B2492" s="2"/>
      <c r="C2492" s="2"/>
      <c r="D2492" s="1"/>
      <c r="F2492" s="1"/>
      <c r="G2492" s="1"/>
    </row>
    <row r="2493" spans="1:7" x14ac:dyDescent="0.25">
      <c r="A2493" s="1"/>
      <c r="B2493" s="2"/>
      <c r="C2493" s="2"/>
      <c r="D2493" s="1"/>
      <c r="F2493" s="1"/>
      <c r="G2493" s="1"/>
    </row>
    <row r="2494" spans="1:7" x14ac:dyDescent="0.25">
      <c r="A2494" s="1"/>
      <c r="B2494" s="2"/>
      <c r="C2494" s="2"/>
      <c r="D2494" s="1"/>
      <c r="F2494" s="1"/>
      <c r="G2494" s="1"/>
    </row>
    <row r="2495" spans="1:7" x14ac:dyDescent="0.25">
      <c r="A2495" s="1"/>
      <c r="B2495" s="2"/>
      <c r="C2495" s="2"/>
      <c r="D2495" s="1"/>
      <c r="F2495" s="1"/>
      <c r="G2495" s="1"/>
    </row>
    <row r="2496" spans="1:7" x14ac:dyDescent="0.25">
      <c r="A2496" s="1"/>
      <c r="B2496" s="2"/>
      <c r="C2496" s="2"/>
      <c r="D2496" s="1"/>
      <c r="F2496" s="1"/>
      <c r="G2496" s="1"/>
    </row>
    <row r="2497" spans="1:7" x14ac:dyDescent="0.25">
      <c r="A2497" s="1"/>
      <c r="B2497" s="2"/>
      <c r="C2497" s="2"/>
      <c r="D2497" s="1"/>
      <c r="F2497" s="1"/>
      <c r="G2497" s="1"/>
    </row>
    <row r="2498" spans="1:7" x14ac:dyDescent="0.25">
      <c r="A2498" s="1"/>
      <c r="B2498" s="2"/>
      <c r="C2498" s="2"/>
      <c r="D2498" s="1"/>
      <c r="F2498" s="1"/>
      <c r="G2498" s="1"/>
    </row>
    <row r="2499" spans="1:7" x14ac:dyDescent="0.25">
      <c r="A2499" s="1"/>
      <c r="B2499" s="2"/>
      <c r="C2499" s="2"/>
      <c r="D2499" s="1"/>
      <c r="F2499" s="1"/>
      <c r="G2499" s="1"/>
    </row>
    <row r="2500" spans="1:7" x14ac:dyDescent="0.25">
      <c r="A2500" s="1"/>
      <c r="B2500" s="2"/>
      <c r="C2500" s="2"/>
      <c r="D2500" s="1"/>
      <c r="F2500" s="1"/>
      <c r="G2500" s="1"/>
    </row>
    <row r="2501" spans="1:7" x14ac:dyDescent="0.25">
      <c r="A2501" s="1"/>
      <c r="B2501" s="2"/>
      <c r="C2501" s="2"/>
      <c r="D2501" s="1"/>
      <c r="F2501" s="1"/>
      <c r="G2501" s="1"/>
    </row>
    <row r="2502" spans="1:7" x14ac:dyDescent="0.25">
      <c r="A2502" s="1"/>
      <c r="B2502" s="2"/>
      <c r="C2502" s="2"/>
      <c r="D2502" s="1"/>
      <c r="F2502" s="1"/>
      <c r="G2502" s="1"/>
    </row>
    <row r="2503" spans="1:7" x14ac:dyDescent="0.25">
      <c r="A2503" s="1"/>
      <c r="B2503" s="2"/>
      <c r="C2503" s="2"/>
      <c r="D2503" s="1"/>
      <c r="F2503" s="1"/>
      <c r="G2503" s="1"/>
    </row>
    <row r="2504" spans="1:7" x14ac:dyDescent="0.25">
      <c r="A2504" s="1"/>
      <c r="B2504" s="2"/>
      <c r="C2504" s="2"/>
      <c r="D2504" s="1"/>
      <c r="F2504" s="1"/>
      <c r="G2504" s="1"/>
    </row>
    <row r="2505" spans="1:7" x14ac:dyDescent="0.25">
      <c r="A2505" s="1"/>
      <c r="B2505" s="2"/>
      <c r="C2505" s="2"/>
      <c r="D2505" s="1"/>
      <c r="F2505" s="1"/>
      <c r="G2505" s="1"/>
    </row>
    <row r="2506" spans="1:7" x14ac:dyDescent="0.25">
      <c r="A2506" s="1"/>
      <c r="B2506" s="2"/>
      <c r="C2506" s="2"/>
      <c r="D2506" s="1"/>
      <c r="F2506" s="1"/>
      <c r="G2506" s="1"/>
    </row>
    <row r="2507" spans="1:7" x14ac:dyDescent="0.25">
      <c r="A2507" s="1"/>
      <c r="B2507" s="2"/>
      <c r="C2507" s="2"/>
      <c r="D2507" s="1"/>
      <c r="F2507" s="1"/>
      <c r="G2507" s="1"/>
    </row>
    <row r="2508" spans="1:7" x14ac:dyDescent="0.25">
      <c r="A2508" s="1"/>
      <c r="B2508" s="2"/>
      <c r="C2508" s="2"/>
      <c r="D2508" s="1"/>
      <c r="F2508" s="1"/>
      <c r="G2508" s="1"/>
    </row>
    <row r="2509" spans="1:7" x14ac:dyDescent="0.25">
      <c r="A2509" s="1"/>
      <c r="B2509" s="2"/>
      <c r="C2509" s="2"/>
      <c r="D2509" s="1"/>
      <c r="F2509" s="1"/>
      <c r="G2509" s="1"/>
    </row>
    <row r="2510" spans="1:7" x14ac:dyDescent="0.25">
      <c r="A2510" s="1"/>
      <c r="B2510" s="2"/>
      <c r="C2510" s="2"/>
      <c r="D2510" s="1"/>
      <c r="F2510" s="1"/>
      <c r="G2510" s="1"/>
    </row>
    <row r="2511" spans="1:7" x14ac:dyDescent="0.25">
      <c r="A2511" s="1"/>
      <c r="B2511" s="2"/>
      <c r="C2511" s="2"/>
      <c r="D2511" s="1"/>
      <c r="F2511" s="1"/>
      <c r="G2511" s="1"/>
    </row>
    <row r="2512" spans="1:7" x14ac:dyDescent="0.25">
      <c r="A2512" s="1"/>
      <c r="B2512" s="2"/>
      <c r="C2512" s="2"/>
      <c r="D2512" s="1"/>
      <c r="F2512" s="1"/>
      <c r="G2512" s="1"/>
    </row>
    <row r="2513" spans="1:7" x14ac:dyDescent="0.25">
      <c r="A2513" s="1"/>
      <c r="B2513" s="2"/>
      <c r="C2513" s="2"/>
      <c r="D2513" s="1"/>
      <c r="F2513" s="1"/>
      <c r="G2513" s="1"/>
    </row>
    <row r="2514" spans="1:7" x14ac:dyDescent="0.25">
      <c r="A2514" s="1"/>
      <c r="B2514" s="2"/>
      <c r="C2514" s="2"/>
      <c r="D2514" s="1"/>
      <c r="F2514" s="1"/>
      <c r="G2514" s="1"/>
    </row>
    <row r="2515" spans="1:7" x14ac:dyDescent="0.25">
      <c r="A2515" s="1"/>
      <c r="B2515" s="2"/>
      <c r="C2515" s="2"/>
      <c r="D2515" s="1"/>
      <c r="F2515" s="1"/>
      <c r="G2515" s="1"/>
    </row>
    <row r="2516" spans="1:7" x14ac:dyDescent="0.25">
      <c r="A2516" s="1"/>
      <c r="B2516" s="2"/>
      <c r="C2516" s="2"/>
      <c r="D2516" s="1"/>
      <c r="F2516" s="1"/>
      <c r="G2516" s="1"/>
    </row>
    <row r="2517" spans="1:7" x14ac:dyDescent="0.25">
      <c r="A2517" s="1"/>
      <c r="B2517" s="2"/>
      <c r="C2517" s="2"/>
      <c r="D2517" s="1"/>
      <c r="F2517" s="1"/>
      <c r="G2517" s="1"/>
    </row>
    <row r="2518" spans="1:7" x14ac:dyDescent="0.25">
      <c r="A2518" s="1"/>
      <c r="B2518" s="2"/>
      <c r="C2518" s="2"/>
      <c r="D2518" s="1"/>
      <c r="F2518" s="1"/>
      <c r="G2518" s="1"/>
    </row>
    <row r="2519" spans="1:7" x14ac:dyDescent="0.25">
      <c r="A2519" s="1"/>
      <c r="B2519" s="2"/>
      <c r="C2519" s="2"/>
      <c r="D2519" s="1"/>
      <c r="F2519" s="1"/>
      <c r="G2519" s="1"/>
    </row>
    <row r="2520" spans="1:7" x14ac:dyDescent="0.25">
      <c r="A2520" s="1"/>
      <c r="B2520" s="2"/>
      <c r="C2520" s="2"/>
      <c r="D2520" s="1"/>
      <c r="F2520" s="1"/>
      <c r="G2520" s="1"/>
    </row>
    <row r="2521" spans="1:7" x14ac:dyDescent="0.25">
      <c r="A2521" s="1"/>
      <c r="B2521" s="2"/>
      <c r="C2521" s="2"/>
      <c r="D2521" s="1"/>
      <c r="F2521" s="1"/>
      <c r="G2521" s="1"/>
    </row>
    <row r="2522" spans="1:7" x14ac:dyDescent="0.25">
      <c r="A2522" s="1"/>
      <c r="B2522" s="2"/>
      <c r="C2522" s="2"/>
      <c r="D2522" s="1"/>
      <c r="F2522" s="1"/>
      <c r="G2522" s="1"/>
    </row>
    <row r="2523" spans="1:7" x14ac:dyDescent="0.25">
      <c r="A2523" s="1"/>
      <c r="B2523" s="2"/>
      <c r="C2523" s="2"/>
      <c r="D2523" s="1"/>
      <c r="F2523" s="1"/>
      <c r="G2523" s="1"/>
    </row>
    <row r="2524" spans="1:7" x14ac:dyDescent="0.25">
      <c r="A2524" s="1"/>
      <c r="B2524" s="2"/>
      <c r="C2524" s="2"/>
      <c r="D2524" s="1"/>
      <c r="F2524" s="1"/>
      <c r="G2524" s="1"/>
    </row>
    <row r="2525" spans="1:7" x14ac:dyDescent="0.25">
      <c r="A2525" s="1"/>
      <c r="B2525" s="2"/>
      <c r="C2525" s="2"/>
      <c r="D2525" s="1"/>
      <c r="F2525" s="1"/>
      <c r="G2525" s="1"/>
    </row>
    <row r="2526" spans="1:7" x14ac:dyDescent="0.25">
      <c r="A2526" s="1"/>
      <c r="B2526" s="2"/>
      <c r="C2526" s="2"/>
      <c r="D2526" s="1"/>
      <c r="F2526" s="1"/>
      <c r="G2526" s="1"/>
    </row>
    <row r="2527" spans="1:7" x14ac:dyDescent="0.25">
      <c r="A2527" s="1"/>
      <c r="B2527" s="2"/>
      <c r="C2527" s="2"/>
      <c r="D2527" s="1"/>
      <c r="F2527" s="1"/>
      <c r="G2527" s="1"/>
    </row>
    <row r="2528" spans="1:7" x14ac:dyDescent="0.25">
      <c r="A2528" s="1"/>
      <c r="B2528" s="2"/>
      <c r="C2528" s="2"/>
      <c r="D2528" s="1"/>
      <c r="F2528" s="1"/>
      <c r="G2528" s="1"/>
    </row>
    <row r="2529" spans="1:7" x14ac:dyDescent="0.25">
      <c r="A2529" s="1"/>
      <c r="B2529" s="2"/>
      <c r="C2529" s="2"/>
      <c r="D2529" s="1"/>
      <c r="F2529" s="1"/>
      <c r="G2529" s="1"/>
    </row>
    <row r="2530" spans="1:7" x14ac:dyDescent="0.25">
      <c r="A2530" s="1"/>
      <c r="B2530" s="2"/>
      <c r="C2530" s="2"/>
      <c r="D2530" s="1"/>
      <c r="F2530" s="1"/>
      <c r="G2530" s="1"/>
    </row>
    <row r="2531" spans="1:7" x14ac:dyDescent="0.25">
      <c r="A2531" s="1"/>
      <c r="B2531" s="2"/>
      <c r="C2531" s="2"/>
      <c r="D2531" s="1"/>
      <c r="F2531" s="1"/>
      <c r="G2531" s="1"/>
    </row>
    <row r="2532" spans="1:7" x14ac:dyDescent="0.25">
      <c r="A2532" s="1"/>
      <c r="B2532" s="2"/>
      <c r="C2532" s="2"/>
      <c r="D2532" s="1"/>
      <c r="F2532" s="1"/>
      <c r="G2532" s="1"/>
    </row>
    <row r="2533" spans="1:7" x14ac:dyDescent="0.25">
      <c r="A2533" s="1"/>
      <c r="B2533" s="2"/>
      <c r="C2533" s="2"/>
      <c r="D2533" s="1"/>
      <c r="F2533" s="1"/>
      <c r="G2533" s="1"/>
    </row>
    <row r="2534" spans="1:7" x14ac:dyDescent="0.25">
      <c r="A2534" s="1"/>
      <c r="B2534" s="2"/>
      <c r="C2534" s="2"/>
      <c r="D2534" s="1"/>
      <c r="F2534" s="1"/>
      <c r="G2534" s="1"/>
    </row>
    <row r="2535" spans="1:7" x14ac:dyDescent="0.25">
      <c r="A2535" s="1"/>
      <c r="B2535" s="2"/>
      <c r="C2535" s="2"/>
      <c r="D2535" s="1"/>
      <c r="F2535" s="1"/>
      <c r="G2535" s="1"/>
    </row>
    <row r="2536" spans="1:7" x14ac:dyDescent="0.25">
      <c r="A2536" s="1"/>
      <c r="B2536" s="2"/>
      <c r="C2536" s="2"/>
      <c r="D2536" s="1"/>
      <c r="F2536" s="1"/>
      <c r="G2536" s="1"/>
    </row>
    <row r="2537" spans="1:7" x14ac:dyDescent="0.25">
      <c r="A2537" s="1"/>
      <c r="B2537" s="2"/>
      <c r="C2537" s="2"/>
      <c r="D2537" s="1"/>
      <c r="F2537" s="1"/>
      <c r="G2537" s="1"/>
    </row>
    <row r="2538" spans="1:7" x14ac:dyDescent="0.25">
      <c r="A2538" s="1"/>
      <c r="B2538" s="2"/>
      <c r="C2538" s="2"/>
      <c r="D2538" s="1"/>
      <c r="F2538" s="1"/>
      <c r="G2538" s="1"/>
    </row>
    <row r="2539" spans="1:7" x14ac:dyDescent="0.25">
      <c r="A2539" s="1"/>
      <c r="B2539" s="2"/>
      <c r="C2539" s="2"/>
      <c r="D2539" s="1"/>
      <c r="F2539" s="1"/>
      <c r="G2539" s="1"/>
    </row>
    <row r="2540" spans="1:7" x14ac:dyDescent="0.25">
      <c r="A2540" s="1"/>
      <c r="B2540" s="2"/>
      <c r="C2540" s="2"/>
      <c r="D2540" s="1"/>
      <c r="F2540" s="1"/>
      <c r="G2540" s="1"/>
    </row>
    <row r="2541" spans="1:7" x14ac:dyDescent="0.25">
      <c r="A2541" s="1"/>
      <c r="B2541" s="2"/>
      <c r="C2541" s="2"/>
      <c r="D2541" s="1"/>
      <c r="F2541" s="1"/>
      <c r="G2541" s="1"/>
    </row>
    <row r="2542" spans="1:7" x14ac:dyDescent="0.25">
      <c r="A2542" s="1"/>
      <c r="B2542" s="2"/>
      <c r="C2542" s="2"/>
      <c r="D2542" s="1"/>
      <c r="F2542" s="1"/>
      <c r="G2542" s="1"/>
    </row>
    <row r="2543" spans="1:7" x14ac:dyDescent="0.25">
      <c r="A2543" s="1"/>
      <c r="B2543" s="2"/>
      <c r="C2543" s="2"/>
      <c r="D2543" s="1"/>
      <c r="F2543" s="1"/>
      <c r="G2543" s="1"/>
    </row>
    <row r="2544" spans="1:7" x14ac:dyDescent="0.25">
      <c r="A2544" s="1"/>
      <c r="B2544" s="2"/>
      <c r="C2544" s="2"/>
      <c r="D2544" s="1"/>
      <c r="F2544" s="1"/>
      <c r="G2544" s="1"/>
    </row>
    <row r="2545" spans="1:7" x14ac:dyDescent="0.25">
      <c r="A2545" s="1"/>
      <c r="B2545" s="2"/>
      <c r="C2545" s="2"/>
      <c r="D2545" s="1"/>
      <c r="F2545" s="1"/>
      <c r="G2545" s="1"/>
    </row>
    <row r="2546" spans="1:7" x14ac:dyDescent="0.25">
      <c r="A2546" s="1"/>
      <c r="B2546" s="2"/>
      <c r="C2546" s="2"/>
      <c r="D2546" s="1"/>
      <c r="F2546" s="1"/>
      <c r="G2546" s="1"/>
    </row>
    <row r="2547" spans="1:7" x14ac:dyDescent="0.25">
      <c r="A2547" s="1"/>
      <c r="B2547" s="2"/>
      <c r="C2547" s="2"/>
      <c r="D2547" s="1"/>
      <c r="F2547" s="1"/>
      <c r="G2547" s="1"/>
    </row>
    <row r="2548" spans="1:7" x14ac:dyDescent="0.25">
      <c r="A2548" s="1"/>
      <c r="B2548" s="2"/>
      <c r="C2548" s="2"/>
      <c r="D2548" s="1"/>
      <c r="F2548" s="1"/>
      <c r="G2548" s="1"/>
    </row>
    <row r="2549" spans="1:7" x14ac:dyDescent="0.25">
      <c r="A2549" s="1"/>
      <c r="B2549" s="2"/>
      <c r="C2549" s="2"/>
      <c r="D2549" s="1"/>
      <c r="F2549" s="1"/>
      <c r="G2549" s="1"/>
    </row>
    <row r="2550" spans="1:7" x14ac:dyDescent="0.25">
      <c r="A2550" s="1"/>
      <c r="B2550" s="2"/>
      <c r="C2550" s="2"/>
      <c r="D2550" s="1"/>
      <c r="F2550" s="1"/>
      <c r="G2550" s="1"/>
    </row>
    <row r="2551" spans="1:7" x14ac:dyDescent="0.25">
      <c r="A2551" s="1"/>
      <c r="B2551" s="2"/>
      <c r="C2551" s="2"/>
      <c r="D2551" s="1"/>
      <c r="F2551" s="1"/>
      <c r="G2551" s="1"/>
    </row>
    <row r="2552" spans="1:7" x14ac:dyDescent="0.25">
      <c r="A2552" s="1"/>
      <c r="B2552" s="2"/>
      <c r="C2552" s="2"/>
      <c r="D2552" s="1"/>
      <c r="F2552" s="1"/>
      <c r="G2552" s="1"/>
    </row>
    <row r="2553" spans="1:7" x14ac:dyDescent="0.25">
      <c r="A2553" s="1"/>
      <c r="B2553" s="2"/>
      <c r="C2553" s="2"/>
      <c r="D2553" s="1"/>
      <c r="F2553" s="1"/>
      <c r="G2553" s="1"/>
    </row>
    <row r="2554" spans="1:7" x14ac:dyDescent="0.25">
      <c r="A2554" s="1"/>
      <c r="B2554" s="2"/>
      <c r="C2554" s="2"/>
      <c r="D2554" s="1"/>
      <c r="F2554" s="1"/>
      <c r="G2554" s="1"/>
    </row>
    <row r="2555" spans="1:7" x14ac:dyDescent="0.25">
      <c r="A2555" s="1"/>
      <c r="B2555" s="2"/>
      <c r="C2555" s="2"/>
      <c r="D2555" s="1"/>
      <c r="F2555" s="1"/>
      <c r="G2555" s="1"/>
    </row>
    <row r="2556" spans="1:7" x14ac:dyDescent="0.25">
      <c r="A2556" s="1"/>
      <c r="B2556" s="2"/>
      <c r="C2556" s="2"/>
      <c r="D2556" s="1"/>
      <c r="F2556" s="1"/>
      <c r="G2556" s="1"/>
    </row>
    <row r="2557" spans="1:7" x14ac:dyDescent="0.25">
      <c r="A2557" s="1"/>
      <c r="B2557" s="2"/>
      <c r="C2557" s="2"/>
      <c r="D2557" s="1"/>
      <c r="F2557" s="1"/>
      <c r="G2557" s="1"/>
    </row>
    <row r="2558" spans="1:7" x14ac:dyDescent="0.25">
      <c r="A2558" s="1"/>
      <c r="B2558" s="2"/>
      <c r="C2558" s="2"/>
      <c r="D2558" s="1"/>
      <c r="F2558" s="1"/>
      <c r="G2558" s="1"/>
    </row>
    <row r="2559" spans="1:7" x14ac:dyDescent="0.25">
      <c r="A2559" s="1"/>
      <c r="B2559" s="2"/>
      <c r="C2559" s="2"/>
      <c r="D2559" s="1"/>
      <c r="F2559" s="1"/>
      <c r="G2559" s="1"/>
    </row>
    <row r="2560" spans="1:7" x14ac:dyDescent="0.25">
      <c r="A2560" s="1"/>
      <c r="B2560" s="2"/>
      <c r="C2560" s="2"/>
      <c r="D2560" s="1"/>
      <c r="F2560" s="1"/>
      <c r="G2560" s="1"/>
    </row>
    <row r="2561" spans="1:7" x14ac:dyDescent="0.25">
      <c r="A2561" s="1"/>
      <c r="B2561" s="2"/>
      <c r="C2561" s="2"/>
      <c r="D2561" s="1"/>
      <c r="F2561" s="1"/>
      <c r="G2561" s="1"/>
    </row>
    <row r="2562" spans="1:7" x14ac:dyDescent="0.25">
      <c r="A2562" s="1"/>
      <c r="B2562" s="2"/>
      <c r="C2562" s="2"/>
      <c r="D2562" s="1"/>
      <c r="F2562" s="1"/>
      <c r="G2562" s="1"/>
    </row>
    <row r="2563" spans="1:7" x14ac:dyDescent="0.25">
      <c r="A2563" s="1"/>
      <c r="B2563" s="2"/>
      <c r="C2563" s="2"/>
      <c r="D2563" s="1"/>
      <c r="F2563" s="1"/>
      <c r="G2563" s="1"/>
    </row>
    <row r="2564" spans="1:7" x14ac:dyDescent="0.25">
      <c r="A2564" s="1"/>
      <c r="B2564" s="2"/>
      <c r="C2564" s="2"/>
      <c r="D2564" s="1"/>
      <c r="F2564" s="1"/>
      <c r="G2564" s="1"/>
    </row>
    <row r="2565" spans="1:7" x14ac:dyDescent="0.25">
      <c r="A2565" s="1"/>
      <c r="B2565" s="2"/>
      <c r="C2565" s="2"/>
      <c r="D2565" s="1"/>
      <c r="F2565" s="1"/>
      <c r="G2565" s="1"/>
    </row>
    <row r="2566" spans="1:7" x14ac:dyDescent="0.25">
      <c r="A2566" s="1"/>
      <c r="B2566" s="2"/>
      <c r="C2566" s="2"/>
      <c r="D2566" s="1"/>
      <c r="F2566" s="1"/>
      <c r="G2566" s="1"/>
    </row>
    <row r="2567" spans="1:7" x14ac:dyDescent="0.25">
      <c r="A2567" s="1"/>
      <c r="B2567" s="2"/>
      <c r="C2567" s="2"/>
      <c r="D2567" s="1"/>
      <c r="F2567" s="1"/>
      <c r="G2567" s="1"/>
    </row>
    <row r="2568" spans="1:7" x14ac:dyDescent="0.25">
      <c r="A2568" s="1"/>
      <c r="B2568" s="2"/>
      <c r="C2568" s="2"/>
      <c r="D2568" s="1"/>
      <c r="F2568" s="1"/>
      <c r="G2568" s="1"/>
    </row>
    <row r="2569" spans="1:7" x14ac:dyDescent="0.25">
      <c r="A2569" s="1"/>
      <c r="B2569" s="2"/>
      <c r="C2569" s="2"/>
      <c r="D2569" s="1"/>
      <c r="F2569" s="1"/>
      <c r="G2569" s="1"/>
    </row>
    <row r="2570" spans="1:7" x14ac:dyDescent="0.25">
      <c r="A2570" s="1"/>
      <c r="B2570" s="2"/>
      <c r="C2570" s="2"/>
      <c r="D2570" s="1"/>
      <c r="F2570" s="1"/>
      <c r="G2570" s="1"/>
    </row>
    <row r="2571" spans="1:7" x14ac:dyDescent="0.25">
      <c r="A2571" s="1"/>
      <c r="B2571" s="2"/>
      <c r="C2571" s="2"/>
      <c r="D2571" s="1"/>
      <c r="F2571" s="1"/>
      <c r="G2571" s="1"/>
    </row>
    <row r="2572" spans="1:7" x14ac:dyDescent="0.25">
      <c r="A2572" s="1"/>
      <c r="B2572" s="2"/>
      <c r="C2572" s="2"/>
      <c r="D2572" s="1"/>
      <c r="F2572" s="1"/>
      <c r="G2572" s="1"/>
    </row>
    <row r="2573" spans="1:7" x14ac:dyDescent="0.25">
      <c r="A2573" s="1"/>
      <c r="B2573" s="2"/>
      <c r="C2573" s="2"/>
      <c r="D2573" s="1"/>
      <c r="F2573" s="1"/>
      <c r="G2573" s="1"/>
    </row>
    <row r="2574" spans="1:7" x14ac:dyDescent="0.25">
      <c r="A2574" s="1"/>
      <c r="B2574" s="2"/>
      <c r="C2574" s="2"/>
      <c r="D2574" s="1"/>
      <c r="F2574" s="1"/>
      <c r="G2574" s="1"/>
    </row>
    <row r="2575" spans="1:7" x14ac:dyDescent="0.25">
      <c r="A2575" s="1"/>
      <c r="B2575" s="2"/>
      <c r="C2575" s="2"/>
      <c r="D2575" s="1"/>
      <c r="F2575" s="1"/>
      <c r="G2575" s="1"/>
    </row>
    <row r="2576" spans="1:7" x14ac:dyDescent="0.25">
      <c r="A2576" s="1"/>
      <c r="B2576" s="2"/>
      <c r="C2576" s="2"/>
      <c r="D2576" s="1"/>
      <c r="F2576" s="1"/>
      <c r="G2576" s="1"/>
    </row>
    <row r="2577" spans="1:7" x14ac:dyDescent="0.25">
      <c r="A2577" s="1"/>
      <c r="B2577" s="2"/>
      <c r="C2577" s="2"/>
      <c r="D2577" s="1"/>
      <c r="F2577" s="1"/>
      <c r="G2577" s="1"/>
    </row>
    <row r="2578" spans="1:7" x14ac:dyDescent="0.25">
      <c r="A2578" s="1"/>
      <c r="B2578" s="2"/>
      <c r="C2578" s="2"/>
      <c r="D2578" s="1"/>
      <c r="F2578" s="1"/>
      <c r="G2578" s="1"/>
    </row>
    <row r="2579" spans="1:7" x14ac:dyDescent="0.25">
      <c r="A2579" s="1"/>
      <c r="B2579" s="2"/>
      <c r="C2579" s="2"/>
      <c r="D2579" s="1"/>
      <c r="F2579" s="1"/>
      <c r="G2579" s="1"/>
    </row>
    <row r="2580" spans="1:7" x14ac:dyDescent="0.25">
      <c r="A2580" s="1"/>
      <c r="B2580" s="2"/>
      <c r="C2580" s="2"/>
      <c r="D2580" s="1"/>
      <c r="F2580" s="1"/>
      <c r="G2580" s="1"/>
    </row>
    <row r="2581" spans="1:7" x14ac:dyDescent="0.25">
      <c r="A2581" s="1"/>
      <c r="B2581" s="2"/>
      <c r="C2581" s="2"/>
      <c r="D2581" s="1"/>
      <c r="F2581" s="1"/>
      <c r="G2581" s="1"/>
    </row>
    <row r="2582" spans="1:7" x14ac:dyDescent="0.25">
      <c r="A2582" s="1"/>
      <c r="B2582" s="2"/>
      <c r="C2582" s="2"/>
      <c r="D2582" s="1"/>
      <c r="F2582" s="1"/>
      <c r="G2582" s="1"/>
    </row>
    <row r="2583" spans="1:7" x14ac:dyDescent="0.25">
      <c r="A2583" s="1"/>
      <c r="B2583" s="2"/>
      <c r="C2583" s="2"/>
      <c r="D2583" s="1"/>
      <c r="F2583" s="1"/>
      <c r="G2583" s="1"/>
    </row>
    <row r="2584" spans="1:7" x14ac:dyDescent="0.25">
      <c r="A2584" s="1"/>
      <c r="B2584" s="2"/>
      <c r="C2584" s="2"/>
      <c r="D2584" s="1"/>
      <c r="F2584" s="1"/>
      <c r="G2584" s="1"/>
    </row>
    <row r="2585" spans="1:7" x14ac:dyDescent="0.25">
      <c r="A2585" s="1"/>
      <c r="B2585" s="2"/>
      <c r="C2585" s="2"/>
      <c r="D2585" s="1"/>
      <c r="F2585" s="1"/>
      <c r="G2585" s="1"/>
    </row>
    <row r="2586" spans="1:7" x14ac:dyDescent="0.25">
      <c r="A2586" s="1"/>
      <c r="B2586" s="2"/>
      <c r="C2586" s="2"/>
      <c r="D2586" s="1"/>
      <c r="F2586" s="1"/>
      <c r="G2586" s="1"/>
    </row>
    <row r="2587" spans="1:7" x14ac:dyDescent="0.25">
      <c r="A2587" s="1"/>
      <c r="B2587" s="2"/>
      <c r="C2587" s="2"/>
      <c r="D2587" s="1"/>
      <c r="F2587" s="1"/>
      <c r="G2587" s="1"/>
    </row>
    <row r="2588" spans="1:7" x14ac:dyDescent="0.25">
      <c r="A2588" s="1"/>
      <c r="B2588" s="2"/>
      <c r="C2588" s="2"/>
      <c r="D2588" s="1"/>
      <c r="F2588" s="1"/>
      <c r="G2588" s="1"/>
    </row>
    <row r="2589" spans="1:7" x14ac:dyDescent="0.25">
      <c r="A2589" s="1"/>
      <c r="B2589" s="2"/>
      <c r="C2589" s="2"/>
      <c r="D2589" s="1"/>
      <c r="F2589" s="1"/>
      <c r="G2589" s="1"/>
    </row>
    <row r="2590" spans="1:7" x14ac:dyDescent="0.25">
      <c r="A2590" s="1"/>
      <c r="B2590" s="2"/>
      <c r="C2590" s="2"/>
      <c r="D2590" s="1"/>
      <c r="F2590" s="1"/>
      <c r="G2590" s="1"/>
    </row>
    <row r="2591" spans="1:7" x14ac:dyDescent="0.25">
      <c r="A2591" s="1"/>
      <c r="B2591" s="2"/>
      <c r="C2591" s="2"/>
      <c r="D2591" s="1"/>
      <c r="F2591" s="1"/>
      <c r="G2591" s="1"/>
    </row>
    <row r="2592" spans="1:7" x14ac:dyDescent="0.25">
      <c r="A2592" s="1"/>
      <c r="B2592" s="2"/>
      <c r="C2592" s="2"/>
      <c r="D2592" s="1"/>
      <c r="F2592" s="1"/>
      <c r="G2592" s="1"/>
    </row>
    <row r="2593" spans="1:7" x14ac:dyDescent="0.25">
      <c r="A2593" s="1"/>
      <c r="B2593" s="2"/>
      <c r="C2593" s="2"/>
      <c r="D2593" s="1"/>
      <c r="F2593" s="1"/>
      <c r="G2593" s="1"/>
    </row>
    <row r="2594" spans="1:7" x14ac:dyDescent="0.25">
      <c r="A2594" s="1"/>
      <c r="B2594" s="2"/>
      <c r="C2594" s="2"/>
      <c r="D2594" s="1"/>
      <c r="F2594" s="1"/>
      <c r="G2594" s="1"/>
    </row>
    <row r="2595" spans="1:7" x14ac:dyDescent="0.25">
      <c r="A2595" s="1"/>
      <c r="B2595" s="2"/>
      <c r="C2595" s="2"/>
      <c r="D2595" s="1"/>
      <c r="F2595" s="1"/>
      <c r="G2595" s="1"/>
    </row>
    <row r="2596" spans="1:7" x14ac:dyDescent="0.25">
      <c r="A2596" s="1"/>
      <c r="B2596" s="2"/>
      <c r="C2596" s="2"/>
      <c r="D2596" s="1"/>
      <c r="F2596" s="1"/>
      <c r="G2596" s="1"/>
    </row>
    <row r="2597" spans="1:7" x14ac:dyDescent="0.25">
      <c r="A2597" s="1"/>
      <c r="B2597" s="2"/>
      <c r="C2597" s="2"/>
      <c r="D2597" s="1"/>
      <c r="F2597" s="1"/>
      <c r="G2597" s="1"/>
    </row>
    <row r="2598" spans="1:7" x14ac:dyDescent="0.25">
      <c r="A2598" s="1"/>
      <c r="B2598" s="2"/>
      <c r="C2598" s="2"/>
      <c r="D2598" s="1"/>
      <c r="F2598" s="1"/>
      <c r="G2598" s="1"/>
    </row>
    <row r="2599" spans="1:7" x14ac:dyDescent="0.25">
      <c r="A2599" s="1"/>
      <c r="B2599" s="2"/>
      <c r="C2599" s="2"/>
      <c r="D2599" s="1"/>
      <c r="F2599" s="1"/>
      <c r="G2599" s="1"/>
    </row>
    <row r="2600" spans="1:7" x14ac:dyDescent="0.25">
      <c r="A2600" s="1"/>
      <c r="B2600" s="2"/>
      <c r="C2600" s="2"/>
      <c r="D2600" s="1"/>
      <c r="F2600" s="1"/>
      <c r="G2600" s="1"/>
    </row>
    <row r="2601" spans="1:7" x14ac:dyDescent="0.25">
      <c r="A2601" s="1"/>
      <c r="B2601" s="2"/>
      <c r="C2601" s="2"/>
      <c r="D2601" s="1"/>
      <c r="F2601" s="1"/>
      <c r="G2601" s="1"/>
    </row>
    <row r="2602" spans="1:7" x14ac:dyDescent="0.25">
      <c r="A2602" s="1"/>
      <c r="B2602" s="2"/>
      <c r="C2602" s="2"/>
      <c r="D2602" s="1"/>
      <c r="F2602" s="1"/>
      <c r="G2602" s="1"/>
    </row>
    <row r="2603" spans="1:7" x14ac:dyDescent="0.25">
      <c r="A2603" s="1"/>
      <c r="B2603" s="2"/>
      <c r="C2603" s="2"/>
      <c r="D2603" s="1"/>
      <c r="F2603" s="1"/>
      <c r="G2603" s="1"/>
    </row>
    <row r="2604" spans="1:7" x14ac:dyDescent="0.25">
      <c r="A2604" s="1"/>
      <c r="B2604" s="2"/>
      <c r="C2604" s="2"/>
      <c r="D2604" s="1"/>
      <c r="F2604" s="1"/>
      <c r="G2604" s="1"/>
    </row>
    <row r="2605" spans="1:7" x14ac:dyDescent="0.25">
      <c r="A2605" s="1"/>
      <c r="B2605" s="2"/>
      <c r="C2605" s="2"/>
      <c r="D2605" s="1"/>
      <c r="F2605" s="1"/>
      <c r="G2605" s="1"/>
    </row>
    <row r="2606" spans="1:7" x14ac:dyDescent="0.25">
      <c r="A2606" s="1"/>
      <c r="B2606" s="2"/>
      <c r="C2606" s="2"/>
      <c r="D2606" s="1"/>
      <c r="F2606" s="1"/>
      <c r="G2606" s="1"/>
    </row>
    <row r="2607" spans="1:7" x14ac:dyDescent="0.25">
      <c r="A2607" s="1"/>
      <c r="B2607" s="2"/>
      <c r="C2607" s="2"/>
      <c r="D2607" s="1"/>
      <c r="F2607" s="1"/>
      <c r="G2607" s="1"/>
    </row>
    <row r="2608" spans="1:7" x14ac:dyDescent="0.25">
      <c r="A2608" s="1"/>
      <c r="B2608" s="2"/>
      <c r="C2608" s="2"/>
      <c r="D2608" s="1"/>
      <c r="F2608" s="1"/>
      <c r="G2608" s="1"/>
    </row>
    <row r="2609" spans="1:7" x14ac:dyDescent="0.25">
      <c r="A2609" s="1"/>
      <c r="B2609" s="2"/>
      <c r="C2609" s="2"/>
      <c r="D2609" s="1"/>
      <c r="F2609" s="1"/>
      <c r="G2609" s="1"/>
    </row>
    <row r="2610" spans="1:7" x14ac:dyDescent="0.25">
      <c r="A2610" s="1"/>
      <c r="B2610" s="2"/>
      <c r="C2610" s="2"/>
      <c r="D2610" s="1"/>
      <c r="F2610" s="1"/>
      <c r="G2610" s="1"/>
    </row>
    <row r="2611" spans="1:7" x14ac:dyDescent="0.25">
      <c r="A2611" s="1"/>
      <c r="B2611" s="2"/>
      <c r="C2611" s="2"/>
      <c r="D2611" s="1"/>
      <c r="F2611" s="1"/>
      <c r="G2611" s="1"/>
    </row>
    <row r="2612" spans="1:7" x14ac:dyDescent="0.25">
      <c r="A2612" s="1"/>
      <c r="B2612" s="2"/>
      <c r="C2612" s="2"/>
      <c r="D2612" s="1"/>
      <c r="F2612" s="1"/>
      <c r="G2612" s="1"/>
    </row>
    <row r="2613" spans="1:7" x14ac:dyDescent="0.25">
      <c r="A2613" s="1"/>
      <c r="B2613" s="2"/>
      <c r="C2613" s="2"/>
      <c r="D2613" s="1"/>
      <c r="F2613" s="1"/>
      <c r="G2613" s="1"/>
    </row>
    <row r="2614" spans="1:7" x14ac:dyDescent="0.25">
      <c r="A2614" s="1"/>
      <c r="B2614" s="2"/>
      <c r="C2614" s="2"/>
      <c r="D2614" s="1"/>
      <c r="F2614" s="1"/>
      <c r="G2614" s="1"/>
    </row>
    <row r="2615" spans="1:7" x14ac:dyDescent="0.25">
      <c r="A2615" s="1"/>
      <c r="B2615" s="2"/>
      <c r="C2615" s="2"/>
      <c r="D2615" s="1"/>
      <c r="F2615" s="1"/>
      <c r="G2615" s="1"/>
    </row>
    <row r="2616" spans="1:7" x14ac:dyDescent="0.25">
      <c r="A2616" s="1"/>
      <c r="B2616" s="2"/>
      <c r="C2616" s="2"/>
      <c r="D2616" s="1"/>
      <c r="F2616" s="1"/>
      <c r="G2616" s="1"/>
    </row>
    <row r="2617" spans="1:7" x14ac:dyDescent="0.25">
      <c r="A2617" s="1"/>
      <c r="B2617" s="2"/>
      <c r="C2617" s="2"/>
      <c r="D2617" s="1"/>
      <c r="F2617" s="1"/>
      <c r="G2617" s="1"/>
    </row>
    <row r="2618" spans="1:7" x14ac:dyDescent="0.25">
      <c r="A2618" s="1"/>
      <c r="B2618" s="2"/>
      <c r="C2618" s="2"/>
      <c r="D2618" s="1"/>
      <c r="F2618" s="1"/>
      <c r="G2618" s="1"/>
    </row>
    <row r="2619" spans="1:7" x14ac:dyDescent="0.25">
      <c r="A2619" s="1"/>
      <c r="B2619" s="2"/>
      <c r="C2619" s="2"/>
      <c r="D2619" s="1"/>
      <c r="F2619" s="1"/>
      <c r="G2619" s="1"/>
    </row>
    <row r="2620" spans="1:7" x14ac:dyDescent="0.25">
      <c r="A2620" s="1"/>
      <c r="B2620" s="2"/>
      <c r="C2620" s="2"/>
      <c r="D2620" s="1"/>
      <c r="F2620" s="1"/>
      <c r="G2620" s="1"/>
    </row>
    <row r="2621" spans="1:7" x14ac:dyDescent="0.25">
      <c r="A2621" s="1"/>
      <c r="B2621" s="2"/>
      <c r="C2621" s="2"/>
      <c r="D2621" s="1"/>
      <c r="F2621" s="1"/>
      <c r="G2621" s="1"/>
    </row>
    <row r="2622" spans="1:7" x14ac:dyDescent="0.25">
      <c r="A2622" s="1"/>
      <c r="B2622" s="2"/>
      <c r="C2622" s="2"/>
      <c r="D2622" s="1"/>
      <c r="F2622" s="1"/>
      <c r="G2622" s="1"/>
    </row>
    <row r="2623" spans="1:7" x14ac:dyDescent="0.25">
      <c r="A2623" s="1"/>
      <c r="B2623" s="2"/>
      <c r="C2623" s="2"/>
      <c r="D2623" s="1"/>
      <c r="F2623" s="1"/>
      <c r="G2623" s="1"/>
    </row>
    <row r="2624" spans="1:7" x14ac:dyDescent="0.25">
      <c r="A2624" s="1"/>
      <c r="B2624" s="2"/>
      <c r="C2624" s="2"/>
      <c r="D2624" s="1"/>
      <c r="F2624" s="1"/>
      <c r="G2624" s="1"/>
    </row>
    <row r="2625" spans="1:7" x14ac:dyDescent="0.25">
      <c r="A2625" s="1"/>
      <c r="B2625" s="2"/>
      <c r="C2625" s="2"/>
      <c r="D2625" s="1"/>
      <c r="F2625" s="1"/>
      <c r="G2625" s="1"/>
    </row>
    <row r="2626" spans="1:7" x14ac:dyDescent="0.25">
      <c r="A2626" s="1"/>
      <c r="B2626" s="2"/>
      <c r="C2626" s="2"/>
      <c r="D2626" s="1"/>
      <c r="F2626" s="1"/>
      <c r="G2626" s="1"/>
    </row>
    <row r="2627" spans="1:7" x14ac:dyDescent="0.25">
      <c r="A2627" s="1"/>
      <c r="B2627" s="2"/>
      <c r="C2627" s="2"/>
      <c r="D2627" s="1"/>
      <c r="F2627" s="1"/>
      <c r="G2627" s="1"/>
    </row>
    <row r="2628" spans="1:7" x14ac:dyDescent="0.25">
      <c r="A2628" s="1"/>
      <c r="B2628" s="2"/>
      <c r="C2628" s="2"/>
      <c r="D2628" s="1"/>
      <c r="F2628" s="1"/>
      <c r="G2628" s="1"/>
    </row>
    <row r="2629" spans="1:7" x14ac:dyDescent="0.25">
      <c r="A2629" s="1"/>
      <c r="B2629" s="2"/>
      <c r="C2629" s="2"/>
      <c r="D2629" s="1"/>
      <c r="F2629" s="1"/>
      <c r="G2629" s="1"/>
    </row>
    <row r="2630" spans="1:7" x14ac:dyDescent="0.25">
      <c r="A2630" s="1"/>
      <c r="B2630" s="2"/>
      <c r="C2630" s="2"/>
      <c r="D2630" s="1"/>
      <c r="F2630" s="1"/>
      <c r="G2630" s="1"/>
    </row>
    <row r="2631" spans="1:7" x14ac:dyDescent="0.25">
      <c r="A2631" s="1"/>
      <c r="B2631" s="2"/>
      <c r="C2631" s="2"/>
      <c r="D2631" s="1"/>
      <c r="F2631" s="1"/>
      <c r="G2631" s="1"/>
    </row>
    <row r="2632" spans="1:7" x14ac:dyDescent="0.25">
      <c r="A2632" s="1"/>
      <c r="B2632" s="2"/>
      <c r="C2632" s="2"/>
      <c r="D2632" s="1"/>
      <c r="F2632" s="1"/>
      <c r="G2632" s="1"/>
    </row>
    <row r="2633" spans="1:7" x14ac:dyDescent="0.25">
      <c r="A2633" s="1"/>
      <c r="B2633" s="2"/>
      <c r="C2633" s="2"/>
      <c r="D2633" s="1"/>
      <c r="F2633" s="1"/>
      <c r="G2633" s="1"/>
    </row>
    <row r="2634" spans="1:7" x14ac:dyDescent="0.25">
      <c r="A2634" s="1"/>
      <c r="B2634" s="2"/>
      <c r="C2634" s="2"/>
      <c r="D2634" s="1"/>
      <c r="F2634" s="1"/>
      <c r="G2634" s="1"/>
    </row>
    <row r="2635" spans="1:7" x14ac:dyDescent="0.25">
      <c r="A2635" s="1"/>
      <c r="B2635" s="2"/>
      <c r="C2635" s="2"/>
      <c r="D2635" s="1"/>
      <c r="F2635" s="1"/>
      <c r="G2635" s="1"/>
    </row>
    <row r="2636" spans="1:7" x14ac:dyDescent="0.25">
      <c r="A2636" s="1"/>
      <c r="B2636" s="2"/>
      <c r="C2636" s="2"/>
      <c r="D2636" s="1"/>
      <c r="F2636" s="1"/>
      <c r="G2636" s="1"/>
    </row>
    <row r="2637" spans="1:7" x14ac:dyDescent="0.25">
      <c r="A2637" s="1"/>
      <c r="B2637" s="2"/>
      <c r="C2637" s="2"/>
      <c r="D2637" s="1"/>
      <c r="F2637" s="1"/>
      <c r="G2637" s="1"/>
    </row>
    <row r="2638" spans="1:7" x14ac:dyDescent="0.25">
      <c r="A2638" s="1"/>
      <c r="B2638" s="2"/>
      <c r="C2638" s="2"/>
      <c r="D2638" s="1"/>
      <c r="F2638" s="1"/>
      <c r="G2638" s="1"/>
    </row>
    <row r="2639" spans="1:7" x14ac:dyDescent="0.25">
      <c r="A2639" s="1"/>
      <c r="B2639" s="2"/>
      <c r="C2639" s="2"/>
      <c r="D2639" s="1"/>
      <c r="F2639" s="1"/>
      <c r="G2639" s="1"/>
    </row>
    <row r="2640" spans="1:7" x14ac:dyDescent="0.25">
      <c r="A2640" s="1"/>
      <c r="B2640" s="2"/>
      <c r="C2640" s="2"/>
      <c r="D2640" s="1"/>
      <c r="F2640" s="1"/>
      <c r="G2640" s="1"/>
    </row>
    <row r="2641" spans="1:7" x14ac:dyDescent="0.25">
      <c r="A2641" s="1"/>
      <c r="B2641" s="2"/>
      <c r="C2641" s="2"/>
      <c r="D2641" s="1"/>
      <c r="F2641" s="1"/>
      <c r="G2641" s="1"/>
    </row>
    <row r="2642" spans="1:7" x14ac:dyDescent="0.25">
      <c r="A2642" s="1"/>
      <c r="B2642" s="2"/>
      <c r="C2642" s="2"/>
      <c r="D2642" s="1"/>
      <c r="F2642" s="1"/>
      <c r="G2642" s="1"/>
    </row>
    <row r="2643" spans="1:7" x14ac:dyDescent="0.25">
      <c r="A2643" s="1"/>
      <c r="B2643" s="2"/>
      <c r="C2643" s="2"/>
      <c r="D2643" s="1"/>
      <c r="F2643" s="1"/>
      <c r="G2643" s="1"/>
    </row>
    <row r="2644" spans="1:7" x14ac:dyDescent="0.25">
      <c r="A2644" s="1"/>
      <c r="B2644" s="2"/>
      <c r="C2644" s="2"/>
      <c r="D2644" s="1"/>
      <c r="F2644" s="1"/>
      <c r="G2644" s="1"/>
    </row>
    <row r="2645" spans="1:7" x14ac:dyDescent="0.25">
      <c r="A2645" s="1"/>
      <c r="B2645" s="2"/>
      <c r="C2645" s="2"/>
      <c r="D2645" s="1"/>
      <c r="F2645" s="1"/>
      <c r="G2645" s="1"/>
    </row>
    <row r="2646" spans="1:7" x14ac:dyDescent="0.25">
      <c r="A2646" s="1"/>
      <c r="B2646" s="2"/>
      <c r="C2646" s="2"/>
      <c r="D2646" s="1"/>
      <c r="F2646" s="1"/>
      <c r="G2646" s="1"/>
    </row>
    <row r="2647" spans="1:7" x14ac:dyDescent="0.25">
      <c r="A2647" s="1"/>
      <c r="B2647" s="2"/>
      <c r="C2647" s="2"/>
      <c r="D2647" s="1"/>
      <c r="F2647" s="1"/>
      <c r="G2647" s="1"/>
    </row>
    <row r="2648" spans="1:7" x14ac:dyDescent="0.25">
      <c r="A2648" s="1"/>
      <c r="B2648" s="2"/>
      <c r="C2648" s="2"/>
      <c r="D2648" s="1"/>
      <c r="F2648" s="1"/>
      <c r="G2648" s="1"/>
    </row>
    <row r="2649" spans="1:7" x14ac:dyDescent="0.25">
      <c r="A2649" s="1"/>
      <c r="B2649" s="2"/>
      <c r="C2649" s="2"/>
      <c r="D2649" s="1"/>
      <c r="F2649" s="1"/>
      <c r="G2649" s="1"/>
    </row>
    <row r="2650" spans="1:7" x14ac:dyDescent="0.25">
      <c r="A2650" s="1"/>
      <c r="B2650" s="2"/>
      <c r="C2650" s="2"/>
      <c r="D2650" s="1"/>
      <c r="F2650" s="1"/>
      <c r="G2650" s="1"/>
    </row>
    <row r="2651" spans="1:7" x14ac:dyDescent="0.25">
      <c r="A2651" s="1"/>
      <c r="B2651" s="2"/>
      <c r="C2651" s="2"/>
      <c r="D2651" s="1"/>
      <c r="F2651" s="1"/>
      <c r="G2651" s="1"/>
    </row>
    <row r="2652" spans="1:7" x14ac:dyDescent="0.25">
      <c r="A2652" s="1"/>
      <c r="B2652" s="2"/>
      <c r="C2652" s="2"/>
      <c r="D2652" s="1"/>
      <c r="F2652" s="1"/>
      <c r="G2652" s="1"/>
    </row>
    <row r="2653" spans="1:7" x14ac:dyDescent="0.25">
      <c r="A2653" s="1"/>
      <c r="B2653" s="2"/>
      <c r="C2653" s="2"/>
      <c r="D2653" s="1"/>
      <c r="F2653" s="1"/>
      <c r="G2653" s="1"/>
    </row>
    <row r="2654" spans="1:7" x14ac:dyDescent="0.25">
      <c r="A2654" s="1"/>
      <c r="B2654" s="2"/>
      <c r="C2654" s="2"/>
      <c r="D2654" s="1"/>
      <c r="F2654" s="1"/>
      <c r="G2654" s="1"/>
    </row>
    <row r="2655" spans="1:7" x14ac:dyDescent="0.25">
      <c r="A2655" s="1"/>
      <c r="B2655" s="2"/>
      <c r="C2655" s="2"/>
      <c r="D2655" s="1"/>
      <c r="F2655" s="1"/>
      <c r="G2655" s="1"/>
    </row>
    <row r="2656" spans="1:7" x14ac:dyDescent="0.25">
      <c r="A2656" s="1"/>
      <c r="B2656" s="2"/>
      <c r="C2656" s="2"/>
      <c r="D2656" s="1"/>
      <c r="F2656" s="1"/>
      <c r="G2656" s="1"/>
    </row>
    <row r="2657" spans="1:7" x14ac:dyDescent="0.25">
      <c r="A2657" s="1"/>
      <c r="B2657" s="2"/>
      <c r="C2657" s="2"/>
      <c r="D2657" s="1"/>
      <c r="F2657" s="1"/>
      <c r="G2657" s="1"/>
    </row>
    <row r="2658" spans="1:7" x14ac:dyDescent="0.25">
      <c r="A2658" s="1"/>
      <c r="B2658" s="2"/>
      <c r="C2658" s="2"/>
      <c r="D2658" s="1"/>
      <c r="F2658" s="1"/>
      <c r="G2658" s="1"/>
    </row>
    <row r="2659" spans="1:7" x14ac:dyDescent="0.25">
      <c r="A2659" s="1"/>
      <c r="B2659" s="2"/>
      <c r="C2659" s="2"/>
      <c r="D2659" s="1"/>
      <c r="F2659" s="1"/>
      <c r="G2659" s="1"/>
    </row>
    <row r="2660" spans="1:7" x14ac:dyDescent="0.25">
      <c r="A2660" s="1"/>
      <c r="B2660" s="2"/>
      <c r="C2660" s="2"/>
      <c r="D2660" s="1"/>
      <c r="F2660" s="1"/>
      <c r="G2660" s="1"/>
    </row>
    <row r="2661" spans="1:7" x14ac:dyDescent="0.25">
      <c r="A2661" s="1"/>
      <c r="B2661" s="2"/>
      <c r="C2661" s="2"/>
      <c r="D2661" s="1"/>
      <c r="F2661" s="1"/>
      <c r="G2661" s="1"/>
    </row>
    <row r="2662" spans="1:7" x14ac:dyDescent="0.25">
      <c r="A2662" s="1"/>
      <c r="B2662" s="2"/>
      <c r="C2662" s="2"/>
      <c r="D2662" s="1"/>
      <c r="F2662" s="1"/>
      <c r="G2662" s="1"/>
    </row>
    <row r="2663" spans="1:7" x14ac:dyDescent="0.25">
      <c r="A2663" s="1"/>
      <c r="B2663" s="2"/>
      <c r="C2663" s="2"/>
      <c r="D2663" s="1"/>
      <c r="F2663" s="1"/>
      <c r="G2663" s="1"/>
    </row>
    <row r="2664" spans="1:7" x14ac:dyDescent="0.25">
      <c r="A2664" s="1"/>
      <c r="B2664" s="2"/>
      <c r="C2664" s="2"/>
      <c r="D2664" s="1"/>
      <c r="F2664" s="1"/>
      <c r="G2664" s="1"/>
    </row>
    <row r="2665" spans="1:7" x14ac:dyDescent="0.25">
      <c r="A2665" s="1"/>
      <c r="B2665" s="2"/>
      <c r="C2665" s="2"/>
      <c r="D2665" s="1"/>
      <c r="F2665" s="1"/>
      <c r="G2665" s="1"/>
    </row>
    <row r="2666" spans="1:7" x14ac:dyDescent="0.25">
      <c r="A2666" s="1"/>
      <c r="B2666" s="2"/>
      <c r="C2666" s="2"/>
      <c r="D2666" s="1"/>
      <c r="F2666" s="1"/>
      <c r="G2666" s="1"/>
    </row>
    <row r="2667" spans="1:7" x14ac:dyDescent="0.25">
      <c r="A2667" s="1"/>
      <c r="B2667" s="2"/>
      <c r="C2667" s="2"/>
      <c r="D2667" s="1"/>
      <c r="F2667" s="1"/>
      <c r="G2667" s="1"/>
    </row>
    <row r="2668" spans="1:7" x14ac:dyDescent="0.25">
      <c r="A2668" s="1"/>
      <c r="B2668" s="2"/>
      <c r="C2668" s="2"/>
      <c r="D2668" s="1"/>
      <c r="F2668" s="1"/>
      <c r="G2668" s="1"/>
    </row>
    <row r="2669" spans="1:7" x14ac:dyDescent="0.25">
      <c r="A2669" s="1"/>
      <c r="B2669" s="2"/>
      <c r="C2669" s="2"/>
      <c r="D2669" s="1"/>
      <c r="F2669" s="1"/>
      <c r="G2669" s="1"/>
    </row>
    <row r="2670" spans="1:7" x14ac:dyDescent="0.25">
      <c r="A2670" s="1"/>
      <c r="B2670" s="2"/>
      <c r="C2670" s="2"/>
      <c r="D2670" s="1"/>
      <c r="F2670" s="1"/>
      <c r="G2670" s="1"/>
    </row>
    <row r="2671" spans="1:7" x14ac:dyDescent="0.25">
      <c r="A2671" s="1"/>
      <c r="B2671" s="2"/>
      <c r="C2671" s="2"/>
      <c r="D2671" s="1"/>
      <c r="F2671" s="1"/>
      <c r="G2671" s="1"/>
    </row>
    <row r="2672" spans="1:7" x14ac:dyDescent="0.25">
      <c r="A2672" s="1"/>
      <c r="B2672" s="2"/>
      <c r="C2672" s="2"/>
      <c r="D2672" s="1"/>
      <c r="F2672" s="1"/>
      <c r="G2672" s="1"/>
    </row>
    <row r="2673" spans="1:7" x14ac:dyDescent="0.25">
      <c r="A2673" s="1"/>
      <c r="B2673" s="2"/>
      <c r="C2673" s="2"/>
      <c r="D2673" s="1"/>
      <c r="F2673" s="1"/>
      <c r="G2673" s="1"/>
    </row>
    <row r="2674" spans="1:7" x14ac:dyDescent="0.25">
      <c r="A2674" s="1"/>
      <c r="B2674" s="2"/>
      <c r="C2674" s="2"/>
      <c r="D2674" s="1"/>
      <c r="F2674" s="1"/>
      <c r="G2674" s="1"/>
    </row>
    <row r="2675" spans="1:7" x14ac:dyDescent="0.25">
      <c r="A2675" s="1"/>
      <c r="B2675" s="2"/>
      <c r="C2675" s="2"/>
      <c r="D2675" s="1"/>
      <c r="F2675" s="1"/>
      <c r="G2675" s="1"/>
    </row>
    <row r="2676" spans="1:7" x14ac:dyDescent="0.25">
      <c r="A2676" s="1"/>
      <c r="B2676" s="2"/>
      <c r="C2676" s="2"/>
      <c r="D2676" s="1"/>
      <c r="F2676" s="1"/>
      <c r="G2676" s="1"/>
    </row>
    <row r="2677" spans="1:7" x14ac:dyDescent="0.25">
      <c r="A2677" s="1"/>
      <c r="B2677" s="2"/>
      <c r="C2677" s="2"/>
      <c r="D2677" s="1"/>
      <c r="F2677" s="1"/>
      <c r="G2677" s="1"/>
    </row>
    <row r="2678" spans="1:7" x14ac:dyDescent="0.25">
      <c r="A2678" s="1"/>
      <c r="B2678" s="2"/>
      <c r="C2678" s="2"/>
      <c r="D2678" s="1"/>
      <c r="F2678" s="1"/>
      <c r="G2678" s="1"/>
    </row>
    <row r="2679" spans="1:7" x14ac:dyDescent="0.25">
      <c r="A2679" s="1"/>
      <c r="B2679" s="2"/>
      <c r="C2679" s="2"/>
      <c r="D2679" s="1"/>
      <c r="F2679" s="1"/>
      <c r="G2679" s="1"/>
    </row>
    <row r="2680" spans="1:7" x14ac:dyDescent="0.25">
      <c r="A2680" s="1"/>
      <c r="B2680" s="2"/>
      <c r="C2680" s="2"/>
      <c r="D2680" s="1"/>
      <c r="F2680" s="1"/>
      <c r="G2680" s="1"/>
    </row>
    <row r="2681" spans="1:7" x14ac:dyDescent="0.25">
      <c r="A2681" s="1"/>
      <c r="B2681" s="2"/>
      <c r="C2681" s="2"/>
      <c r="D2681" s="1"/>
      <c r="F2681" s="1"/>
      <c r="G2681" s="1"/>
    </row>
    <row r="2682" spans="1:7" x14ac:dyDescent="0.25">
      <c r="A2682" s="1"/>
      <c r="B2682" s="2"/>
      <c r="C2682" s="2"/>
      <c r="D2682" s="1"/>
      <c r="F2682" s="1"/>
      <c r="G2682" s="1"/>
    </row>
    <row r="2683" spans="1:7" x14ac:dyDescent="0.25">
      <c r="A2683" s="1"/>
      <c r="B2683" s="2"/>
      <c r="C2683" s="2"/>
      <c r="D2683" s="1"/>
      <c r="F2683" s="1"/>
      <c r="G2683" s="1"/>
    </row>
    <row r="2684" spans="1:7" x14ac:dyDescent="0.25">
      <c r="A2684" s="1"/>
      <c r="B2684" s="2"/>
      <c r="C2684" s="2"/>
      <c r="D2684" s="1"/>
      <c r="F2684" s="1"/>
      <c r="G2684" s="1"/>
    </row>
    <row r="2685" spans="1:7" x14ac:dyDescent="0.25">
      <c r="A2685" s="1"/>
      <c r="B2685" s="2"/>
      <c r="C2685" s="2"/>
      <c r="D2685" s="1"/>
      <c r="F2685" s="1"/>
      <c r="G2685" s="1"/>
    </row>
    <row r="2686" spans="1:7" x14ac:dyDescent="0.25">
      <c r="A2686" s="1"/>
      <c r="B2686" s="2"/>
      <c r="C2686" s="2"/>
      <c r="D2686" s="1"/>
      <c r="F2686" s="1"/>
      <c r="G2686" s="1"/>
    </row>
    <row r="2687" spans="1:7" x14ac:dyDescent="0.25">
      <c r="A2687" s="1"/>
      <c r="B2687" s="2"/>
      <c r="C2687" s="2"/>
      <c r="D2687" s="1"/>
      <c r="F2687" s="1"/>
      <c r="G2687" s="1"/>
    </row>
    <row r="2688" spans="1:7" x14ac:dyDescent="0.25">
      <c r="A2688" s="1"/>
      <c r="B2688" s="2"/>
      <c r="C2688" s="2"/>
      <c r="D2688" s="1"/>
      <c r="F2688" s="1"/>
      <c r="G2688" s="1"/>
    </row>
    <row r="2689" spans="1:7" x14ac:dyDescent="0.25">
      <c r="A2689" s="1"/>
      <c r="B2689" s="2"/>
      <c r="C2689" s="2"/>
      <c r="D2689" s="1"/>
      <c r="F2689" s="1"/>
      <c r="G2689" s="1"/>
    </row>
    <row r="2690" spans="1:7" x14ac:dyDescent="0.25">
      <c r="A2690" s="1"/>
      <c r="B2690" s="2"/>
      <c r="C2690" s="2"/>
      <c r="D2690" s="1"/>
      <c r="F2690" s="1"/>
      <c r="G2690" s="1"/>
    </row>
    <row r="2691" spans="1:7" x14ac:dyDescent="0.25">
      <c r="A2691" s="1"/>
      <c r="B2691" s="2"/>
      <c r="C2691" s="2"/>
      <c r="D2691" s="1"/>
      <c r="F2691" s="1"/>
      <c r="G2691" s="1"/>
    </row>
    <row r="2692" spans="1:7" x14ac:dyDescent="0.25">
      <c r="A2692" s="1"/>
      <c r="B2692" s="2"/>
      <c r="C2692" s="2"/>
      <c r="D2692" s="1"/>
      <c r="F2692" s="1"/>
      <c r="G2692" s="1"/>
    </row>
    <row r="2693" spans="1:7" x14ac:dyDescent="0.25">
      <c r="A2693" s="1"/>
      <c r="B2693" s="2"/>
      <c r="C2693" s="2"/>
      <c r="D2693" s="1"/>
      <c r="F2693" s="1"/>
      <c r="G2693" s="1"/>
    </row>
    <row r="2694" spans="1:7" x14ac:dyDescent="0.25">
      <c r="A2694" s="1"/>
      <c r="B2694" s="2"/>
      <c r="C2694" s="2"/>
      <c r="D2694" s="1"/>
      <c r="F2694" s="1"/>
      <c r="G2694" s="1"/>
    </row>
    <row r="2695" spans="1:7" x14ac:dyDescent="0.25">
      <c r="A2695" s="1"/>
      <c r="B2695" s="2"/>
      <c r="C2695" s="2"/>
      <c r="D2695" s="1"/>
      <c r="F2695" s="1"/>
      <c r="G2695" s="1"/>
    </row>
    <row r="2696" spans="1:7" x14ac:dyDescent="0.25">
      <c r="A2696" s="1"/>
      <c r="B2696" s="2"/>
      <c r="C2696" s="2"/>
      <c r="D2696" s="1"/>
      <c r="F2696" s="1"/>
      <c r="G2696" s="1"/>
    </row>
    <row r="2697" spans="1:7" x14ac:dyDescent="0.25">
      <c r="A2697" s="1"/>
      <c r="B2697" s="2"/>
      <c r="C2697" s="2"/>
      <c r="D2697" s="1"/>
      <c r="F2697" s="1"/>
      <c r="G2697" s="1"/>
    </row>
    <row r="2698" spans="1:7" x14ac:dyDescent="0.25">
      <c r="A2698" s="1"/>
      <c r="B2698" s="2"/>
      <c r="C2698" s="2"/>
      <c r="D2698" s="1"/>
      <c r="F2698" s="1"/>
      <c r="G2698" s="1"/>
    </row>
    <row r="2699" spans="1:7" x14ac:dyDescent="0.25">
      <c r="A2699" s="1"/>
      <c r="B2699" s="2"/>
      <c r="C2699" s="2"/>
      <c r="D2699" s="1"/>
      <c r="F2699" s="1"/>
      <c r="G2699" s="1"/>
    </row>
    <row r="2700" spans="1:7" x14ac:dyDescent="0.25">
      <c r="A2700" s="1"/>
      <c r="B2700" s="2"/>
      <c r="C2700" s="2"/>
      <c r="D2700" s="1"/>
      <c r="F2700" s="1"/>
      <c r="G2700" s="1"/>
    </row>
    <row r="2701" spans="1:7" x14ac:dyDescent="0.25">
      <c r="A2701" s="1"/>
      <c r="B2701" s="2"/>
      <c r="C2701" s="2"/>
      <c r="D2701" s="1"/>
      <c r="F2701" s="1"/>
      <c r="G2701" s="1"/>
    </row>
    <row r="2702" spans="1:7" x14ac:dyDescent="0.25">
      <c r="A2702" s="1"/>
      <c r="B2702" s="2"/>
      <c r="C2702" s="2"/>
      <c r="D2702" s="1"/>
      <c r="F2702" s="1"/>
      <c r="G2702" s="1"/>
    </row>
    <row r="2703" spans="1:7" x14ac:dyDescent="0.25">
      <c r="A2703" s="1"/>
      <c r="B2703" s="2"/>
      <c r="C2703" s="2"/>
      <c r="D2703" s="1"/>
      <c r="F2703" s="1"/>
      <c r="G2703" s="1"/>
    </row>
    <row r="2704" spans="1:7" x14ac:dyDescent="0.25">
      <c r="A2704" s="1"/>
      <c r="B2704" s="2"/>
      <c r="C2704" s="2"/>
      <c r="D2704" s="1"/>
      <c r="F2704" s="1"/>
      <c r="G2704" s="1"/>
    </row>
    <row r="2705" spans="1:7" x14ac:dyDescent="0.25">
      <c r="A2705" s="1"/>
      <c r="B2705" s="2"/>
      <c r="C2705" s="2"/>
      <c r="D2705" s="1"/>
      <c r="F2705" s="1"/>
      <c r="G2705" s="1"/>
    </row>
    <row r="2706" spans="1:7" x14ac:dyDescent="0.25">
      <c r="A2706" s="1"/>
      <c r="B2706" s="2"/>
      <c r="C2706" s="2"/>
      <c r="D2706" s="1"/>
      <c r="F2706" s="1"/>
      <c r="G2706" s="1"/>
    </row>
    <row r="2707" spans="1:7" x14ac:dyDescent="0.25">
      <c r="A2707" s="1"/>
      <c r="B2707" s="2"/>
      <c r="C2707" s="2"/>
      <c r="D2707" s="1"/>
      <c r="F2707" s="1"/>
      <c r="G2707" s="1"/>
    </row>
    <row r="2708" spans="1:7" x14ac:dyDescent="0.25">
      <c r="A2708" s="1"/>
      <c r="B2708" s="2"/>
      <c r="C2708" s="2"/>
      <c r="D2708" s="1"/>
      <c r="F2708" s="1"/>
      <c r="G2708" s="1"/>
    </row>
    <row r="2709" spans="1:7" x14ac:dyDescent="0.25">
      <c r="A2709" s="1"/>
      <c r="B2709" s="2"/>
      <c r="C2709" s="2"/>
      <c r="D2709" s="1"/>
      <c r="F2709" s="1"/>
      <c r="G2709" s="1"/>
    </row>
    <row r="2710" spans="1:7" x14ac:dyDescent="0.25">
      <c r="A2710" s="1"/>
      <c r="B2710" s="2"/>
      <c r="C2710" s="2"/>
      <c r="D2710" s="1"/>
      <c r="F2710" s="1"/>
      <c r="G2710" s="1"/>
    </row>
    <row r="2711" spans="1:7" x14ac:dyDescent="0.25">
      <c r="A2711" s="1"/>
      <c r="B2711" s="2"/>
      <c r="C2711" s="2"/>
      <c r="D2711" s="1"/>
      <c r="F2711" s="1"/>
      <c r="G2711" s="1"/>
    </row>
    <row r="2712" spans="1:7" x14ac:dyDescent="0.25">
      <c r="A2712" s="1"/>
      <c r="B2712" s="2"/>
      <c r="C2712" s="2"/>
      <c r="D2712" s="1"/>
      <c r="F2712" s="1"/>
      <c r="G2712" s="1"/>
    </row>
    <row r="2713" spans="1:7" x14ac:dyDescent="0.25">
      <c r="A2713" s="1"/>
      <c r="B2713" s="2"/>
      <c r="C2713" s="2"/>
      <c r="D2713" s="1"/>
      <c r="F2713" s="1"/>
      <c r="G2713" s="1"/>
    </row>
    <row r="2714" spans="1:7" x14ac:dyDescent="0.25">
      <c r="A2714" s="1"/>
      <c r="B2714" s="2"/>
      <c r="C2714" s="2"/>
      <c r="D2714" s="1"/>
      <c r="F2714" s="1"/>
      <c r="G2714" s="1"/>
    </row>
    <row r="2715" spans="1:7" x14ac:dyDescent="0.25">
      <c r="A2715" s="1"/>
      <c r="B2715" s="2"/>
      <c r="C2715" s="2"/>
      <c r="D2715" s="1"/>
      <c r="F2715" s="1"/>
      <c r="G2715" s="1"/>
    </row>
    <row r="2716" spans="1:7" x14ac:dyDescent="0.25">
      <c r="A2716" s="1"/>
      <c r="B2716" s="2"/>
      <c r="C2716" s="2"/>
      <c r="D2716" s="1"/>
      <c r="F2716" s="1"/>
      <c r="G2716" s="1"/>
    </row>
    <row r="2717" spans="1:7" x14ac:dyDescent="0.25">
      <c r="A2717" s="1"/>
      <c r="B2717" s="2"/>
      <c r="C2717" s="2"/>
      <c r="D2717" s="1"/>
      <c r="F2717" s="1"/>
      <c r="G2717" s="1"/>
    </row>
    <row r="2718" spans="1:7" x14ac:dyDescent="0.25">
      <c r="A2718" s="1"/>
      <c r="B2718" s="2"/>
      <c r="C2718" s="2"/>
      <c r="D2718" s="1"/>
      <c r="F2718" s="1"/>
      <c r="G2718" s="1"/>
    </row>
    <row r="2719" spans="1:7" x14ac:dyDescent="0.25">
      <c r="A2719" s="1"/>
      <c r="B2719" s="2"/>
      <c r="C2719" s="2"/>
      <c r="D2719" s="1"/>
      <c r="F2719" s="1"/>
      <c r="G2719" s="1"/>
    </row>
    <row r="2720" spans="1:7" x14ac:dyDescent="0.25">
      <c r="A2720" s="1"/>
      <c r="B2720" s="2"/>
      <c r="C2720" s="2"/>
      <c r="D2720" s="1"/>
      <c r="F2720" s="1"/>
      <c r="G2720" s="1"/>
    </row>
    <row r="2721" spans="1:7" x14ac:dyDescent="0.25">
      <c r="A2721" s="1"/>
      <c r="B2721" s="2"/>
      <c r="C2721" s="2"/>
      <c r="D2721" s="1"/>
      <c r="F2721" s="1"/>
      <c r="G2721" s="1"/>
    </row>
    <row r="2722" spans="1:7" x14ac:dyDescent="0.25">
      <c r="A2722" s="1"/>
      <c r="B2722" s="2"/>
      <c r="C2722" s="2"/>
      <c r="D2722" s="1"/>
      <c r="F2722" s="1"/>
      <c r="G2722" s="1"/>
    </row>
    <row r="2723" spans="1:7" x14ac:dyDescent="0.25">
      <c r="A2723" s="1"/>
      <c r="B2723" s="2"/>
      <c r="C2723" s="2"/>
      <c r="D2723" s="1"/>
      <c r="F2723" s="1"/>
      <c r="G2723" s="1"/>
    </row>
    <row r="2724" spans="1:7" x14ac:dyDescent="0.25">
      <c r="A2724" s="1"/>
      <c r="B2724" s="2"/>
      <c r="C2724" s="2"/>
      <c r="D2724" s="1"/>
      <c r="F2724" s="1"/>
      <c r="G2724" s="1"/>
    </row>
    <row r="2725" spans="1:7" x14ac:dyDescent="0.25">
      <c r="A2725" s="1"/>
      <c r="B2725" s="2"/>
      <c r="C2725" s="2"/>
      <c r="D2725" s="1"/>
      <c r="F2725" s="1"/>
      <c r="G2725" s="1"/>
    </row>
    <row r="2726" spans="1:7" x14ac:dyDescent="0.25">
      <c r="A2726" s="1"/>
      <c r="B2726" s="2"/>
      <c r="C2726" s="2"/>
      <c r="D2726" s="1"/>
      <c r="F2726" s="1"/>
      <c r="G2726" s="1"/>
    </row>
    <row r="2727" spans="1:7" x14ac:dyDescent="0.25">
      <c r="A2727" s="1"/>
      <c r="B2727" s="2"/>
      <c r="C2727" s="2"/>
      <c r="D2727" s="1"/>
      <c r="F2727" s="1"/>
      <c r="G2727" s="1"/>
    </row>
    <row r="2728" spans="1:7" x14ac:dyDescent="0.25">
      <c r="A2728" s="1"/>
      <c r="B2728" s="2"/>
      <c r="C2728" s="2"/>
      <c r="D2728" s="1"/>
      <c r="F2728" s="1"/>
      <c r="G2728" s="1"/>
    </row>
    <row r="2729" spans="1:7" x14ac:dyDescent="0.25">
      <c r="A2729" s="1"/>
      <c r="B2729" s="2"/>
      <c r="C2729" s="2"/>
      <c r="D2729" s="1"/>
      <c r="F2729" s="1"/>
      <c r="G2729" s="1"/>
    </row>
    <row r="2730" spans="1:7" x14ac:dyDescent="0.25">
      <c r="A2730" s="1"/>
      <c r="B2730" s="2"/>
      <c r="C2730" s="2"/>
      <c r="D2730" s="1"/>
      <c r="F2730" s="1"/>
      <c r="G2730" s="1"/>
    </row>
    <row r="2731" spans="1:7" x14ac:dyDescent="0.25">
      <c r="A2731" s="1"/>
      <c r="B2731" s="2"/>
      <c r="C2731" s="2"/>
      <c r="D2731" s="1"/>
      <c r="F2731" s="1"/>
      <c r="G2731" s="1"/>
    </row>
    <row r="2732" spans="1:7" x14ac:dyDescent="0.25">
      <c r="A2732" s="1"/>
      <c r="B2732" s="2"/>
      <c r="C2732" s="2"/>
      <c r="D2732" s="1"/>
      <c r="F2732" s="1"/>
      <c r="G2732" s="1"/>
    </row>
    <row r="2733" spans="1:7" x14ac:dyDescent="0.25">
      <c r="A2733" s="1"/>
      <c r="B2733" s="2"/>
      <c r="C2733" s="2"/>
      <c r="D2733" s="1"/>
      <c r="F2733" s="1"/>
      <c r="G2733" s="1"/>
    </row>
    <row r="2734" spans="1:7" x14ac:dyDescent="0.25">
      <c r="A2734" s="1"/>
      <c r="B2734" s="2"/>
      <c r="C2734" s="2"/>
      <c r="D2734" s="1"/>
      <c r="F2734" s="1"/>
      <c r="G2734" s="1"/>
    </row>
    <row r="2735" spans="1:7" x14ac:dyDescent="0.25">
      <c r="A2735" s="1"/>
      <c r="B2735" s="2"/>
      <c r="C2735" s="2"/>
      <c r="D2735" s="1"/>
      <c r="F2735" s="1"/>
      <c r="G2735" s="1"/>
    </row>
    <row r="2736" spans="1:7" x14ac:dyDescent="0.25">
      <c r="A2736" s="1"/>
      <c r="B2736" s="2"/>
      <c r="C2736" s="2"/>
      <c r="D2736" s="1"/>
      <c r="F2736" s="1"/>
      <c r="G2736" s="1"/>
    </row>
    <row r="2737" spans="1:7" x14ac:dyDescent="0.25">
      <c r="A2737" s="1"/>
      <c r="B2737" s="2"/>
      <c r="C2737" s="2"/>
      <c r="D2737" s="1"/>
      <c r="F2737" s="1"/>
      <c r="G2737" s="1"/>
    </row>
    <row r="2738" spans="1:7" x14ac:dyDescent="0.25">
      <c r="A2738" s="1"/>
      <c r="B2738" s="2"/>
      <c r="C2738" s="2"/>
      <c r="D2738" s="1"/>
      <c r="F2738" s="1"/>
      <c r="G2738" s="1"/>
    </row>
    <row r="2739" spans="1:7" x14ac:dyDescent="0.25">
      <c r="A2739" s="1"/>
      <c r="B2739" s="2"/>
      <c r="C2739" s="2"/>
      <c r="D2739" s="1"/>
      <c r="F2739" s="1"/>
      <c r="G2739" s="1"/>
    </row>
    <row r="2740" spans="1:7" x14ac:dyDescent="0.25">
      <c r="A2740" s="1"/>
      <c r="B2740" s="2"/>
      <c r="C2740" s="2"/>
      <c r="D2740" s="1"/>
      <c r="F2740" s="1"/>
      <c r="G2740" s="1"/>
    </row>
    <row r="2741" spans="1:7" x14ac:dyDescent="0.25">
      <c r="A2741" s="1"/>
      <c r="B2741" s="2"/>
      <c r="C2741" s="2"/>
      <c r="D2741" s="1"/>
      <c r="F2741" s="1"/>
      <c r="G2741" s="1"/>
    </row>
    <row r="2742" spans="1:7" x14ac:dyDescent="0.25">
      <c r="A2742" s="1"/>
      <c r="B2742" s="2"/>
      <c r="C2742" s="2"/>
      <c r="D2742" s="1"/>
      <c r="F2742" s="1"/>
      <c r="G2742" s="1"/>
    </row>
    <row r="2743" spans="1:7" x14ac:dyDescent="0.25">
      <c r="A2743" s="1"/>
      <c r="B2743" s="2"/>
      <c r="C2743" s="2"/>
      <c r="D2743" s="1"/>
      <c r="F2743" s="1"/>
      <c r="G2743" s="1"/>
    </row>
    <row r="2744" spans="1:7" x14ac:dyDescent="0.25">
      <c r="A2744" s="1"/>
      <c r="B2744" s="2"/>
      <c r="C2744" s="2"/>
      <c r="D2744" s="1"/>
      <c r="F2744" s="1"/>
      <c r="G2744" s="1"/>
    </row>
    <row r="2745" spans="1:7" x14ac:dyDescent="0.25">
      <c r="A2745" s="1"/>
      <c r="B2745" s="2"/>
      <c r="C2745" s="2"/>
      <c r="D2745" s="1"/>
      <c r="F2745" s="1"/>
      <c r="G2745" s="1"/>
    </row>
    <row r="2746" spans="1:7" x14ac:dyDescent="0.25">
      <c r="A2746" s="1"/>
      <c r="B2746" s="2"/>
      <c r="C2746" s="2"/>
      <c r="D2746" s="1"/>
      <c r="F2746" s="1"/>
      <c r="G2746" s="1"/>
    </row>
    <row r="2747" spans="1:7" x14ac:dyDescent="0.25">
      <c r="A2747" s="1"/>
      <c r="B2747" s="2"/>
      <c r="C2747" s="2"/>
      <c r="D2747" s="1"/>
      <c r="F2747" s="1"/>
      <c r="G2747" s="1"/>
    </row>
    <row r="2748" spans="1:7" x14ac:dyDescent="0.25">
      <c r="A2748" s="1"/>
      <c r="B2748" s="2"/>
      <c r="C2748" s="2"/>
      <c r="D2748" s="1"/>
      <c r="F2748" s="1"/>
      <c r="G2748" s="1"/>
    </row>
    <row r="2749" spans="1:7" x14ac:dyDescent="0.25">
      <c r="A2749" s="1"/>
      <c r="B2749" s="2"/>
      <c r="C2749" s="2"/>
      <c r="D2749" s="1"/>
      <c r="F2749" s="1"/>
      <c r="G2749" s="1"/>
    </row>
    <row r="2750" spans="1:7" x14ac:dyDescent="0.25">
      <c r="A2750" s="1"/>
      <c r="B2750" s="2"/>
      <c r="C2750" s="2"/>
      <c r="D2750" s="1"/>
      <c r="F2750" s="1"/>
      <c r="G2750" s="1"/>
    </row>
    <row r="2751" spans="1:7" x14ac:dyDescent="0.25">
      <c r="A2751" s="1"/>
      <c r="B2751" s="2"/>
      <c r="C2751" s="2"/>
      <c r="D2751" s="1"/>
      <c r="F2751" s="1"/>
      <c r="G2751" s="1"/>
    </row>
    <row r="2752" spans="1:7" x14ac:dyDescent="0.25">
      <c r="A2752" s="1"/>
      <c r="B2752" s="2"/>
      <c r="C2752" s="2"/>
      <c r="D2752" s="1"/>
      <c r="F2752" s="1"/>
      <c r="G2752" s="1"/>
    </row>
    <row r="2753" spans="1:7" x14ac:dyDescent="0.25">
      <c r="A2753" s="1"/>
      <c r="B2753" s="2"/>
      <c r="C2753" s="2"/>
      <c r="D2753" s="1"/>
      <c r="F2753" s="1"/>
      <c r="G2753" s="1"/>
    </row>
    <row r="2754" spans="1:7" x14ac:dyDescent="0.25">
      <c r="A2754" s="1"/>
      <c r="B2754" s="2"/>
      <c r="C2754" s="2"/>
      <c r="D2754" s="1"/>
      <c r="F2754" s="1"/>
      <c r="G2754" s="1"/>
    </row>
    <row r="2755" spans="1:7" x14ac:dyDescent="0.25">
      <c r="A2755" s="1"/>
      <c r="B2755" s="2"/>
      <c r="C2755" s="2"/>
      <c r="D2755" s="1"/>
      <c r="F2755" s="1"/>
      <c r="G2755" s="1"/>
    </row>
    <row r="2756" spans="1:7" x14ac:dyDescent="0.25">
      <c r="A2756" s="1"/>
      <c r="B2756" s="2"/>
      <c r="C2756" s="2"/>
      <c r="D2756" s="1"/>
      <c r="F2756" s="1"/>
      <c r="G2756" s="1"/>
    </row>
    <row r="2757" spans="1:7" x14ac:dyDescent="0.25">
      <c r="A2757" s="1"/>
      <c r="B2757" s="2"/>
      <c r="C2757" s="2"/>
      <c r="D2757" s="1"/>
      <c r="F2757" s="1"/>
      <c r="G2757" s="1"/>
    </row>
    <row r="2758" spans="1:7" x14ac:dyDescent="0.25">
      <c r="A2758" s="1"/>
      <c r="B2758" s="2"/>
      <c r="C2758" s="2"/>
      <c r="D2758" s="1"/>
      <c r="F2758" s="1"/>
      <c r="G2758" s="1"/>
    </row>
    <row r="2759" spans="1:7" x14ac:dyDescent="0.25">
      <c r="A2759" s="1"/>
      <c r="B2759" s="2"/>
      <c r="C2759" s="2"/>
      <c r="D2759" s="1"/>
      <c r="F2759" s="1"/>
      <c r="G2759" s="1"/>
    </row>
    <row r="2760" spans="1:7" x14ac:dyDescent="0.25">
      <c r="A2760" s="1"/>
      <c r="B2760" s="2"/>
      <c r="C2760" s="2"/>
      <c r="D2760" s="1"/>
      <c r="F2760" s="1"/>
      <c r="G2760" s="1"/>
    </row>
    <row r="2761" spans="1:7" x14ac:dyDescent="0.25">
      <c r="A2761" s="1"/>
      <c r="B2761" s="2"/>
      <c r="C2761" s="2"/>
      <c r="D2761" s="1"/>
      <c r="F2761" s="1"/>
      <c r="G2761" s="1"/>
    </row>
    <row r="2762" spans="1:7" x14ac:dyDescent="0.25">
      <c r="A2762" s="1"/>
      <c r="B2762" s="2"/>
      <c r="C2762" s="2"/>
      <c r="D2762" s="1"/>
      <c r="F2762" s="1"/>
      <c r="G2762" s="1"/>
    </row>
    <row r="2763" spans="1:7" x14ac:dyDescent="0.25">
      <c r="A2763" s="1"/>
      <c r="B2763" s="2"/>
      <c r="C2763" s="2"/>
      <c r="D2763" s="1"/>
      <c r="F2763" s="1"/>
      <c r="G2763" s="1"/>
    </row>
    <row r="2764" spans="1:7" x14ac:dyDescent="0.25">
      <c r="A2764" s="1"/>
      <c r="B2764" s="2"/>
      <c r="C2764" s="2"/>
      <c r="D2764" s="1"/>
      <c r="F2764" s="1"/>
      <c r="G2764" s="1"/>
    </row>
    <row r="2765" spans="1:7" x14ac:dyDescent="0.25">
      <c r="A2765" s="1"/>
      <c r="B2765" s="2"/>
      <c r="C2765" s="2"/>
      <c r="D2765" s="1"/>
      <c r="F2765" s="1"/>
      <c r="G2765" s="1"/>
    </row>
    <row r="2766" spans="1:7" x14ac:dyDescent="0.25">
      <c r="A2766" s="1"/>
      <c r="B2766" s="2"/>
      <c r="C2766" s="2"/>
      <c r="D2766" s="1"/>
      <c r="F2766" s="1"/>
      <c r="G2766" s="1"/>
    </row>
    <row r="2767" spans="1:7" x14ac:dyDescent="0.25">
      <c r="A2767" s="1"/>
      <c r="B2767" s="2"/>
      <c r="C2767" s="2"/>
      <c r="D2767" s="1"/>
      <c r="F2767" s="1"/>
      <c r="G2767" s="1"/>
    </row>
    <row r="2768" spans="1:7" x14ac:dyDescent="0.25">
      <c r="A2768" s="1"/>
      <c r="B2768" s="2"/>
      <c r="C2768" s="2"/>
      <c r="D2768" s="1"/>
      <c r="F2768" s="1"/>
      <c r="G2768" s="1"/>
    </row>
    <row r="2769" spans="1:7" x14ac:dyDescent="0.25">
      <c r="A2769" s="1"/>
      <c r="B2769" s="2"/>
      <c r="C2769" s="2"/>
      <c r="D2769" s="1"/>
      <c r="F2769" s="1"/>
      <c r="G2769" s="1"/>
    </row>
    <row r="2770" spans="1:7" x14ac:dyDescent="0.25">
      <c r="A2770" s="1"/>
      <c r="B2770" s="2"/>
      <c r="C2770" s="2"/>
      <c r="D2770" s="1"/>
      <c r="F2770" s="1"/>
      <c r="G2770" s="1"/>
    </row>
    <row r="2771" spans="1:7" x14ac:dyDescent="0.25">
      <c r="A2771" s="1"/>
      <c r="B2771" s="2"/>
      <c r="C2771" s="2"/>
      <c r="D2771" s="1"/>
      <c r="F2771" s="1"/>
      <c r="G2771" s="1"/>
    </row>
    <row r="2772" spans="1:7" x14ac:dyDescent="0.25">
      <c r="A2772" s="1"/>
      <c r="B2772" s="2"/>
      <c r="C2772" s="2"/>
      <c r="D2772" s="1"/>
      <c r="F2772" s="1"/>
      <c r="G2772" s="1"/>
    </row>
    <row r="2773" spans="1:7" x14ac:dyDescent="0.25">
      <c r="A2773" s="1"/>
      <c r="B2773" s="2"/>
      <c r="C2773" s="2"/>
      <c r="D2773" s="1"/>
      <c r="F2773" s="1"/>
      <c r="G2773" s="1"/>
    </row>
    <row r="2774" spans="1:7" x14ac:dyDescent="0.25">
      <c r="A2774" s="1"/>
      <c r="B2774" s="2"/>
      <c r="C2774" s="2"/>
      <c r="D2774" s="1"/>
      <c r="F2774" s="1"/>
      <c r="G2774" s="1"/>
    </row>
    <row r="2775" spans="1:7" x14ac:dyDescent="0.25">
      <c r="A2775" s="1"/>
      <c r="B2775" s="2"/>
      <c r="C2775" s="2"/>
      <c r="D2775" s="1"/>
      <c r="F2775" s="1"/>
      <c r="G2775" s="1"/>
    </row>
    <row r="2776" spans="1:7" x14ac:dyDescent="0.25">
      <c r="A2776" s="1"/>
      <c r="B2776" s="2"/>
      <c r="C2776" s="2"/>
      <c r="D2776" s="1"/>
      <c r="F2776" s="1"/>
      <c r="G2776" s="1"/>
    </row>
    <row r="2777" spans="1:7" x14ac:dyDescent="0.25">
      <c r="A2777" s="1"/>
      <c r="B2777" s="2"/>
      <c r="C2777" s="2"/>
      <c r="D2777" s="1"/>
      <c r="F2777" s="1"/>
      <c r="G2777" s="1"/>
    </row>
    <row r="2778" spans="1:7" x14ac:dyDescent="0.25">
      <c r="A2778" s="1"/>
      <c r="B2778" s="2"/>
      <c r="C2778" s="2"/>
      <c r="D2778" s="1"/>
      <c r="F2778" s="1"/>
      <c r="G2778" s="1"/>
    </row>
    <row r="2779" spans="1:7" x14ac:dyDescent="0.25">
      <c r="A2779" s="1"/>
      <c r="B2779" s="2"/>
      <c r="C2779" s="2"/>
      <c r="D2779" s="1"/>
      <c r="F2779" s="1"/>
      <c r="G2779" s="1"/>
    </row>
    <row r="2780" spans="1:7" x14ac:dyDescent="0.25">
      <c r="A2780" s="1"/>
      <c r="B2780" s="2"/>
      <c r="C2780" s="2"/>
      <c r="D2780" s="1"/>
      <c r="F2780" s="1"/>
      <c r="G2780" s="1"/>
    </row>
    <row r="2781" spans="1:7" x14ac:dyDescent="0.25">
      <c r="A2781" s="1"/>
      <c r="B2781" s="2"/>
      <c r="C2781" s="2"/>
      <c r="D2781" s="1"/>
      <c r="F2781" s="1"/>
      <c r="G2781" s="1"/>
    </row>
    <row r="2782" spans="1:7" x14ac:dyDescent="0.25">
      <c r="A2782" s="1"/>
      <c r="B2782" s="2"/>
      <c r="C2782" s="2"/>
      <c r="D2782" s="1"/>
      <c r="F2782" s="1"/>
      <c r="G2782" s="1"/>
    </row>
    <row r="2783" spans="1:7" x14ac:dyDescent="0.25">
      <c r="A2783" s="1"/>
      <c r="B2783" s="2"/>
      <c r="C2783" s="2"/>
      <c r="D2783" s="1"/>
      <c r="F2783" s="1"/>
      <c r="G2783" s="1"/>
    </row>
    <row r="2784" spans="1:7" x14ac:dyDescent="0.25">
      <c r="A2784" s="1"/>
      <c r="B2784" s="2"/>
      <c r="C2784" s="2"/>
      <c r="D2784" s="1"/>
      <c r="F2784" s="1"/>
      <c r="G2784" s="1"/>
    </row>
    <row r="2785" spans="1:7" x14ac:dyDescent="0.25">
      <c r="A2785" s="1"/>
      <c r="B2785" s="2"/>
      <c r="C2785" s="2"/>
      <c r="D2785" s="1"/>
      <c r="F2785" s="1"/>
      <c r="G2785" s="1"/>
    </row>
    <row r="2786" spans="1:7" x14ac:dyDescent="0.25">
      <c r="A2786" s="1"/>
      <c r="B2786" s="2"/>
      <c r="C2786" s="2"/>
      <c r="D2786" s="1"/>
      <c r="F2786" s="1"/>
      <c r="G2786" s="1"/>
    </row>
    <row r="2787" spans="1:7" x14ac:dyDescent="0.25">
      <c r="A2787" s="1"/>
      <c r="B2787" s="2"/>
      <c r="C2787" s="2"/>
      <c r="D2787" s="1"/>
      <c r="F2787" s="1"/>
      <c r="G2787" s="1"/>
    </row>
    <row r="2788" spans="1:7" x14ac:dyDescent="0.25">
      <c r="A2788" s="1"/>
      <c r="B2788" s="2"/>
      <c r="C2788" s="2"/>
      <c r="D2788" s="1"/>
      <c r="F2788" s="1"/>
      <c r="G2788" s="1"/>
    </row>
    <row r="2789" spans="1:7" x14ac:dyDescent="0.25">
      <c r="A2789" s="1"/>
      <c r="B2789" s="2"/>
      <c r="C2789" s="2"/>
      <c r="D2789" s="1"/>
      <c r="F2789" s="1"/>
      <c r="G2789" s="1"/>
    </row>
    <row r="2790" spans="1:7" x14ac:dyDescent="0.25">
      <c r="A2790" s="1"/>
      <c r="B2790" s="2"/>
      <c r="C2790" s="2"/>
      <c r="D2790" s="1"/>
      <c r="F2790" s="1"/>
      <c r="G2790" s="1"/>
    </row>
    <row r="2791" spans="1:7" x14ac:dyDescent="0.25">
      <c r="A2791" s="1"/>
      <c r="B2791" s="2"/>
      <c r="C2791" s="2"/>
      <c r="D2791" s="1"/>
      <c r="F2791" s="1"/>
      <c r="G2791" s="1"/>
    </row>
    <row r="2792" spans="1:7" x14ac:dyDescent="0.25">
      <c r="A2792" s="1"/>
      <c r="B2792" s="2"/>
      <c r="C2792" s="2"/>
      <c r="D2792" s="1"/>
      <c r="F2792" s="1"/>
      <c r="G2792" s="1"/>
    </row>
    <row r="2793" spans="1:7" x14ac:dyDescent="0.25">
      <c r="A2793" s="1"/>
      <c r="B2793" s="2"/>
      <c r="C2793" s="2"/>
      <c r="D2793" s="1"/>
      <c r="F2793" s="1"/>
      <c r="G2793" s="1"/>
    </row>
    <row r="2794" spans="1:7" x14ac:dyDescent="0.25">
      <c r="A2794" s="1"/>
      <c r="B2794" s="2"/>
      <c r="C2794" s="2"/>
      <c r="D2794" s="1"/>
      <c r="F2794" s="1"/>
      <c r="G2794" s="1"/>
    </row>
    <row r="2795" spans="1:7" x14ac:dyDescent="0.25">
      <c r="A2795" s="1"/>
      <c r="B2795" s="2"/>
      <c r="C2795" s="2"/>
      <c r="D2795" s="1"/>
      <c r="F2795" s="1"/>
      <c r="G2795" s="1"/>
    </row>
    <row r="2796" spans="1:7" x14ac:dyDescent="0.25">
      <c r="A2796" s="1"/>
      <c r="B2796" s="2"/>
      <c r="C2796" s="2"/>
      <c r="D2796" s="1"/>
      <c r="F2796" s="1"/>
      <c r="G2796" s="1"/>
    </row>
    <row r="2797" spans="1:7" x14ac:dyDescent="0.25">
      <c r="A2797" s="1"/>
      <c r="B2797" s="2"/>
      <c r="C2797" s="2"/>
      <c r="D2797" s="1"/>
      <c r="F2797" s="1"/>
      <c r="G2797" s="1"/>
    </row>
    <row r="2798" spans="1:7" x14ac:dyDescent="0.25">
      <c r="A2798" s="1"/>
      <c r="B2798" s="2"/>
      <c r="C2798" s="2"/>
      <c r="D2798" s="1"/>
      <c r="F2798" s="1"/>
      <c r="G2798" s="1"/>
    </row>
    <row r="2799" spans="1:7" x14ac:dyDescent="0.25">
      <c r="A2799" s="1"/>
      <c r="B2799" s="2"/>
      <c r="C2799" s="2"/>
      <c r="D2799" s="1"/>
      <c r="F2799" s="1"/>
      <c r="G2799" s="1"/>
    </row>
    <row r="2800" spans="1:7" x14ac:dyDescent="0.25">
      <c r="A2800" s="1"/>
      <c r="B2800" s="2"/>
      <c r="C2800" s="2"/>
      <c r="D2800" s="1"/>
      <c r="F2800" s="1"/>
      <c r="G2800" s="1"/>
    </row>
    <row r="2801" spans="1:7" x14ac:dyDescent="0.25">
      <c r="A2801" s="1"/>
      <c r="B2801" s="2"/>
      <c r="C2801" s="2"/>
      <c r="D2801" s="1"/>
      <c r="F2801" s="1"/>
      <c r="G2801" s="1"/>
    </row>
    <row r="2802" spans="1:7" x14ac:dyDescent="0.25">
      <c r="A2802" s="1"/>
      <c r="B2802" s="2"/>
      <c r="C2802" s="2"/>
      <c r="D2802" s="1"/>
      <c r="F2802" s="1"/>
      <c r="G2802" s="1"/>
    </row>
    <row r="2803" spans="1:7" x14ac:dyDescent="0.25">
      <c r="A2803" s="1"/>
      <c r="B2803" s="2"/>
      <c r="C2803" s="2"/>
      <c r="D2803" s="1"/>
      <c r="F2803" s="1"/>
      <c r="G2803" s="1"/>
    </row>
    <row r="2804" spans="1:7" x14ac:dyDescent="0.25">
      <c r="A2804" s="1"/>
      <c r="B2804" s="2"/>
      <c r="C2804" s="2"/>
      <c r="D2804" s="1"/>
      <c r="F2804" s="1"/>
      <c r="G2804" s="1"/>
    </row>
    <row r="2805" spans="1:7" x14ac:dyDescent="0.25">
      <c r="A2805" s="1"/>
      <c r="B2805" s="2"/>
      <c r="C2805" s="2"/>
      <c r="D2805" s="1"/>
      <c r="F2805" s="1"/>
      <c r="G2805" s="1"/>
    </row>
    <row r="2806" spans="1:7" x14ac:dyDescent="0.25">
      <c r="A2806" s="1"/>
      <c r="B2806" s="2"/>
      <c r="C2806" s="2"/>
      <c r="D2806" s="1"/>
      <c r="F2806" s="1"/>
      <c r="G2806" s="1"/>
    </row>
    <row r="2807" spans="1:7" x14ac:dyDescent="0.25">
      <c r="A2807" s="1"/>
      <c r="B2807" s="2"/>
      <c r="C2807" s="2"/>
      <c r="D2807" s="1"/>
      <c r="F2807" s="1"/>
      <c r="G2807" s="1"/>
    </row>
    <row r="2808" spans="1:7" x14ac:dyDescent="0.25">
      <c r="A2808" s="1"/>
      <c r="B2808" s="2"/>
      <c r="C2808" s="2"/>
      <c r="D2808" s="1"/>
      <c r="F2808" s="1"/>
      <c r="G2808" s="1"/>
    </row>
    <row r="2809" spans="1:7" x14ac:dyDescent="0.25">
      <c r="A2809" s="1"/>
      <c r="B2809" s="2"/>
      <c r="C2809" s="2"/>
      <c r="D2809" s="1"/>
      <c r="F2809" s="1"/>
      <c r="G2809" s="1"/>
    </row>
    <row r="2810" spans="1:7" x14ac:dyDescent="0.25">
      <c r="A2810" s="1"/>
      <c r="B2810" s="2"/>
      <c r="C2810" s="2"/>
      <c r="D2810" s="1"/>
      <c r="F2810" s="1"/>
      <c r="G2810" s="1"/>
    </row>
    <row r="2811" spans="1:7" x14ac:dyDescent="0.25">
      <c r="A2811" s="1"/>
      <c r="B2811" s="2"/>
      <c r="C2811" s="2"/>
      <c r="D2811" s="1"/>
      <c r="F2811" s="1"/>
      <c r="G2811" s="1"/>
    </row>
    <row r="2812" spans="1:7" x14ac:dyDescent="0.25">
      <c r="A2812" s="1"/>
      <c r="B2812" s="2"/>
      <c r="C2812" s="2"/>
      <c r="D2812" s="1"/>
      <c r="F2812" s="1"/>
      <c r="G2812" s="1"/>
    </row>
    <row r="2813" spans="1:7" x14ac:dyDescent="0.25">
      <c r="A2813" s="1"/>
      <c r="B2813" s="2"/>
      <c r="C2813" s="2"/>
      <c r="D2813" s="1"/>
      <c r="F2813" s="1"/>
      <c r="G2813" s="1"/>
    </row>
    <row r="2814" spans="1:7" x14ac:dyDescent="0.25">
      <c r="A2814" s="1"/>
      <c r="B2814" s="2"/>
      <c r="C2814" s="2"/>
      <c r="D2814" s="1"/>
      <c r="F2814" s="1"/>
      <c r="G2814" s="1"/>
    </row>
    <row r="2815" spans="1:7" x14ac:dyDescent="0.25">
      <c r="A2815" s="1"/>
      <c r="B2815" s="2"/>
      <c r="C2815" s="2"/>
      <c r="D2815" s="1"/>
      <c r="F2815" s="1"/>
      <c r="G2815" s="1"/>
    </row>
    <row r="2816" spans="1:7" x14ac:dyDescent="0.25">
      <c r="A2816" s="1"/>
      <c r="B2816" s="2"/>
      <c r="C2816" s="2"/>
      <c r="D2816" s="1"/>
      <c r="F2816" s="1"/>
      <c r="G2816" s="1"/>
    </row>
    <row r="2817" spans="1:7" x14ac:dyDescent="0.25">
      <c r="A2817" s="1"/>
      <c r="B2817" s="2"/>
      <c r="C2817" s="2"/>
      <c r="D2817" s="1"/>
      <c r="F2817" s="1"/>
      <c r="G2817" s="1"/>
    </row>
    <row r="2818" spans="1:7" x14ac:dyDescent="0.25">
      <c r="A2818" s="1"/>
      <c r="B2818" s="2"/>
      <c r="C2818" s="2"/>
      <c r="D2818" s="1"/>
      <c r="F2818" s="1"/>
      <c r="G2818" s="1"/>
    </row>
    <row r="2819" spans="1:7" x14ac:dyDescent="0.25">
      <c r="A2819" s="1"/>
      <c r="B2819" s="2"/>
      <c r="C2819" s="2"/>
      <c r="D2819" s="1"/>
      <c r="F2819" s="1"/>
      <c r="G2819" s="1"/>
    </row>
    <row r="2820" spans="1:7" x14ac:dyDescent="0.25">
      <c r="A2820" s="1"/>
      <c r="B2820" s="2"/>
      <c r="C2820" s="2"/>
      <c r="D2820" s="1"/>
      <c r="F2820" s="1"/>
      <c r="G2820" s="1"/>
    </row>
    <row r="2821" spans="1:7" x14ac:dyDescent="0.25">
      <c r="A2821" s="1"/>
      <c r="B2821" s="2"/>
      <c r="C2821" s="2"/>
      <c r="D2821" s="1"/>
      <c r="F2821" s="1"/>
      <c r="G2821" s="1"/>
    </row>
    <row r="2822" spans="1:7" x14ac:dyDescent="0.25">
      <c r="A2822" s="1"/>
      <c r="B2822" s="2"/>
      <c r="C2822" s="2"/>
      <c r="D2822" s="1"/>
      <c r="F2822" s="1"/>
      <c r="G2822" s="1"/>
    </row>
    <row r="2823" spans="1:7" x14ac:dyDescent="0.25">
      <c r="A2823" s="1"/>
      <c r="B2823" s="2"/>
      <c r="C2823" s="2"/>
      <c r="D2823" s="1"/>
      <c r="F2823" s="1"/>
      <c r="G2823" s="1"/>
    </row>
    <row r="2824" spans="1:7" x14ac:dyDescent="0.25">
      <c r="A2824" s="1"/>
      <c r="B2824" s="2"/>
      <c r="C2824" s="2"/>
      <c r="D2824" s="1"/>
      <c r="F2824" s="1"/>
      <c r="G2824" s="1"/>
    </row>
    <row r="2825" spans="1:7" x14ac:dyDescent="0.25">
      <c r="A2825" s="1"/>
      <c r="B2825" s="2"/>
      <c r="C2825" s="2"/>
      <c r="D2825" s="1"/>
      <c r="F2825" s="1"/>
      <c r="G2825" s="1"/>
    </row>
    <row r="2826" spans="1:7" x14ac:dyDescent="0.25">
      <c r="A2826" s="1"/>
      <c r="B2826" s="2"/>
      <c r="C2826" s="2"/>
      <c r="D2826" s="1"/>
      <c r="F2826" s="1"/>
      <c r="G2826" s="1"/>
    </row>
    <row r="2827" spans="1:7" x14ac:dyDescent="0.25">
      <c r="A2827" s="1"/>
      <c r="B2827" s="2"/>
      <c r="C2827" s="2"/>
      <c r="D2827" s="1"/>
      <c r="F2827" s="1"/>
      <c r="G2827" s="1"/>
    </row>
    <row r="2828" spans="1:7" x14ac:dyDescent="0.25">
      <c r="A2828" s="1"/>
      <c r="B2828" s="2"/>
      <c r="C2828" s="2"/>
      <c r="D2828" s="1"/>
      <c r="F2828" s="1"/>
      <c r="G2828" s="1"/>
    </row>
    <row r="2829" spans="1:7" x14ac:dyDescent="0.25">
      <c r="A2829" s="1"/>
      <c r="B2829" s="2"/>
      <c r="C2829" s="2"/>
      <c r="D2829" s="1"/>
      <c r="F2829" s="1"/>
      <c r="G2829" s="1"/>
    </row>
    <row r="2830" spans="1:7" x14ac:dyDescent="0.25">
      <c r="A2830" s="1"/>
      <c r="B2830" s="2"/>
      <c r="C2830" s="2"/>
      <c r="D2830" s="1"/>
      <c r="F2830" s="1"/>
      <c r="G2830" s="1"/>
    </row>
    <row r="2831" spans="1:7" x14ac:dyDescent="0.25">
      <c r="A2831" s="1"/>
      <c r="B2831" s="2"/>
      <c r="C2831" s="2"/>
      <c r="D2831" s="1"/>
      <c r="F2831" s="1"/>
      <c r="G2831" s="1"/>
    </row>
    <row r="2832" spans="1:7" x14ac:dyDescent="0.25">
      <c r="A2832" s="1"/>
      <c r="B2832" s="2"/>
      <c r="C2832" s="2"/>
      <c r="D2832" s="1"/>
      <c r="F2832" s="1"/>
      <c r="G2832" s="1"/>
    </row>
    <row r="2833" spans="1:7" x14ac:dyDescent="0.25">
      <c r="A2833" s="1"/>
      <c r="B2833" s="2"/>
      <c r="C2833" s="2"/>
      <c r="D2833" s="1"/>
      <c r="F2833" s="1"/>
      <c r="G2833" s="1"/>
    </row>
    <row r="2834" spans="1:7" x14ac:dyDescent="0.25">
      <c r="A2834" s="1"/>
      <c r="B2834" s="2"/>
      <c r="C2834" s="2"/>
      <c r="D2834" s="1"/>
      <c r="F2834" s="1"/>
      <c r="G2834" s="1"/>
    </row>
    <row r="2835" spans="1:7" x14ac:dyDescent="0.25">
      <c r="A2835" s="1"/>
      <c r="B2835" s="2"/>
      <c r="C2835" s="2"/>
      <c r="D2835" s="1"/>
      <c r="F2835" s="1"/>
      <c r="G2835" s="1"/>
    </row>
    <row r="2836" spans="1:7" x14ac:dyDescent="0.25">
      <c r="A2836" s="1"/>
      <c r="B2836" s="2"/>
      <c r="C2836" s="2"/>
      <c r="D2836" s="1"/>
      <c r="F2836" s="1"/>
      <c r="G2836" s="1"/>
    </row>
    <row r="2837" spans="1:7" x14ac:dyDescent="0.25">
      <c r="A2837" s="1"/>
      <c r="B2837" s="2"/>
      <c r="C2837" s="2"/>
      <c r="D2837" s="1"/>
      <c r="F2837" s="1"/>
      <c r="G2837" s="1"/>
    </row>
    <row r="2838" spans="1:7" x14ac:dyDescent="0.25">
      <c r="A2838" s="1"/>
      <c r="B2838" s="2"/>
      <c r="C2838" s="2"/>
      <c r="D2838" s="1"/>
      <c r="F2838" s="1"/>
      <c r="G2838" s="1"/>
    </row>
    <row r="2839" spans="1:7" x14ac:dyDescent="0.25">
      <c r="A2839" s="1"/>
      <c r="B2839" s="2"/>
      <c r="C2839" s="2"/>
      <c r="D2839" s="1"/>
      <c r="F2839" s="1"/>
      <c r="G2839" s="1"/>
    </row>
    <row r="2840" spans="1:7" x14ac:dyDescent="0.25">
      <c r="A2840" s="1"/>
      <c r="B2840" s="2"/>
      <c r="C2840" s="2"/>
      <c r="D2840" s="1"/>
      <c r="F2840" s="1"/>
      <c r="G2840" s="1"/>
    </row>
    <row r="2841" spans="1:7" x14ac:dyDescent="0.25">
      <c r="A2841" s="1"/>
      <c r="B2841" s="2"/>
      <c r="C2841" s="2"/>
      <c r="D2841" s="1"/>
      <c r="F2841" s="1"/>
      <c r="G2841" s="1"/>
    </row>
    <row r="2842" spans="1:7" x14ac:dyDescent="0.25">
      <c r="A2842" s="1"/>
      <c r="B2842" s="2"/>
      <c r="C2842" s="2"/>
      <c r="D2842" s="1"/>
      <c r="F2842" s="1"/>
      <c r="G2842" s="1"/>
    </row>
    <row r="2843" spans="1:7" x14ac:dyDescent="0.25">
      <c r="A2843" s="1"/>
      <c r="B2843" s="2"/>
      <c r="C2843" s="2"/>
      <c r="D2843" s="1"/>
      <c r="F2843" s="1"/>
      <c r="G2843" s="1"/>
    </row>
    <row r="2844" spans="1:7" x14ac:dyDescent="0.25">
      <c r="A2844" s="1"/>
      <c r="B2844" s="2"/>
      <c r="C2844" s="2"/>
      <c r="D2844" s="1"/>
      <c r="F2844" s="1"/>
      <c r="G2844" s="1"/>
    </row>
    <row r="2845" spans="1:7" x14ac:dyDescent="0.25">
      <c r="A2845" s="1"/>
      <c r="B2845" s="2"/>
      <c r="C2845" s="2"/>
      <c r="D2845" s="1"/>
      <c r="F2845" s="1"/>
      <c r="G2845" s="1"/>
    </row>
    <row r="2846" spans="1:7" x14ac:dyDescent="0.25">
      <c r="A2846" s="1"/>
      <c r="B2846" s="2"/>
      <c r="C2846" s="2"/>
      <c r="D2846" s="1"/>
      <c r="F2846" s="1"/>
      <c r="G2846" s="1"/>
    </row>
    <row r="2847" spans="1:7" x14ac:dyDescent="0.25">
      <c r="A2847" s="1"/>
      <c r="B2847" s="2"/>
      <c r="C2847" s="2"/>
      <c r="D2847" s="1"/>
      <c r="F2847" s="1"/>
      <c r="G2847" s="1"/>
    </row>
    <row r="2848" spans="1:7" x14ac:dyDescent="0.25">
      <c r="A2848" s="1"/>
      <c r="B2848" s="2"/>
      <c r="C2848" s="2"/>
      <c r="D2848" s="1"/>
      <c r="F2848" s="1"/>
      <c r="G2848" s="1"/>
    </row>
    <row r="2849" spans="1:7" x14ac:dyDescent="0.25">
      <c r="A2849" s="1"/>
      <c r="B2849" s="2"/>
      <c r="C2849" s="2"/>
      <c r="D2849" s="1"/>
      <c r="F2849" s="1"/>
      <c r="G2849" s="1"/>
    </row>
    <row r="2850" spans="1:7" x14ac:dyDescent="0.25">
      <c r="A2850" s="1"/>
      <c r="B2850" s="2"/>
      <c r="C2850" s="2"/>
      <c r="D2850" s="1"/>
      <c r="F2850" s="1"/>
      <c r="G2850" s="1"/>
    </row>
    <row r="2851" spans="1:7" x14ac:dyDescent="0.25">
      <c r="A2851" s="1"/>
      <c r="B2851" s="2"/>
      <c r="C2851" s="2"/>
      <c r="D2851" s="1"/>
      <c r="F2851" s="1"/>
      <c r="G2851" s="1"/>
    </row>
    <row r="2852" spans="1:7" x14ac:dyDescent="0.25">
      <c r="A2852" s="1"/>
      <c r="B2852" s="2"/>
      <c r="C2852" s="2"/>
      <c r="D2852" s="1"/>
      <c r="F2852" s="1"/>
      <c r="G2852" s="1"/>
    </row>
    <row r="2853" spans="1:7" x14ac:dyDescent="0.25">
      <c r="A2853" s="1"/>
      <c r="B2853" s="2"/>
      <c r="C2853" s="2"/>
      <c r="D2853" s="1"/>
      <c r="F2853" s="1"/>
      <c r="G2853" s="1"/>
    </row>
    <row r="2854" spans="1:7" x14ac:dyDescent="0.25">
      <c r="A2854" s="1"/>
      <c r="B2854" s="2"/>
      <c r="C2854" s="2"/>
      <c r="D2854" s="1"/>
      <c r="F2854" s="1"/>
      <c r="G2854" s="1"/>
    </row>
    <row r="2855" spans="1:7" x14ac:dyDescent="0.25">
      <c r="A2855" s="1"/>
      <c r="B2855" s="2"/>
      <c r="C2855" s="2"/>
      <c r="D2855" s="1"/>
      <c r="F2855" s="1"/>
      <c r="G2855" s="1"/>
    </row>
    <row r="2856" spans="1:7" x14ac:dyDescent="0.25">
      <c r="A2856" s="1"/>
      <c r="B2856" s="2"/>
      <c r="C2856" s="2"/>
      <c r="D2856" s="1"/>
      <c r="F2856" s="1"/>
      <c r="G2856" s="1"/>
    </row>
    <row r="2857" spans="1:7" x14ac:dyDescent="0.25">
      <c r="A2857" s="1"/>
      <c r="B2857" s="2"/>
      <c r="C2857" s="2"/>
      <c r="D2857" s="1"/>
      <c r="F2857" s="1"/>
      <c r="G2857" s="1"/>
    </row>
    <row r="2858" spans="1:7" x14ac:dyDescent="0.25">
      <c r="A2858" s="1"/>
      <c r="B2858" s="2"/>
      <c r="C2858" s="2"/>
      <c r="D2858" s="1"/>
      <c r="F2858" s="1"/>
      <c r="G2858" s="1"/>
    </row>
    <row r="2859" spans="1:7" x14ac:dyDescent="0.25">
      <c r="A2859" s="1"/>
      <c r="B2859" s="2"/>
      <c r="C2859" s="2"/>
      <c r="D2859" s="1"/>
      <c r="F2859" s="1"/>
      <c r="G2859" s="1"/>
    </row>
    <row r="2860" spans="1:7" x14ac:dyDescent="0.25">
      <c r="A2860" s="1"/>
      <c r="B2860" s="2"/>
      <c r="C2860" s="2"/>
      <c r="D2860" s="1"/>
      <c r="F2860" s="1"/>
      <c r="G2860" s="1"/>
    </row>
    <row r="2861" spans="1:7" x14ac:dyDescent="0.25">
      <c r="A2861" s="1"/>
      <c r="B2861" s="2"/>
      <c r="C2861" s="2"/>
      <c r="D2861" s="1"/>
      <c r="F2861" s="1"/>
      <c r="G2861" s="1"/>
    </row>
    <row r="2862" spans="1:7" x14ac:dyDescent="0.25">
      <c r="A2862" s="1"/>
      <c r="B2862" s="2"/>
      <c r="C2862" s="2"/>
      <c r="D2862" s="1"/>
      <c r="F2862" s="1"/>
      <c r="G2862" s="1"/>
    </row>
    <row r="2863" spans="1:7" x14ac:dyDescent="0.25">
      <c r="A2863" s="1"/>
      <c r="B2863" s="2"/>
      <c r="C2863" s="2"/>
      <c r="D2863" s="1"/>
      <c r="F2863" s="1"/>
      <c r="G2863" s="1"/>
    </row>
    <row r="2864" spans="1:7" x14ac:dyDescent="0.25">
      <c r="A2864" s="1"/>
      <c r="B2864" s="2"/>
      <c r="C2864" s="2"/>
      <c r="D2864" s="1"/>
      <c r="F2864" s="1"/>
      <c r="G2864" s="1"/>
    </row>
    <row r="2865" spans="1:7" x14ac:dyDescent="0.25">
      <c r="A2865" s="1"/>
      <c r="B2865" s="2"/>
      <c r="C2865" s="2"/>
      <c r="D2865" s="1"/>
      <c r="F2865" s="1"/>
      <c r="G2865" s="1"/>
    </row>
    <row r="2866" spans="1:7" x14ac:dyDescent="0.25">
      <c r="A2866" s="1"/>
      <c r="B2866" s="2"/>
      <c r="C2866" s="2"/>
      <c r="D2866" s="1"/>
      <c r="F2866" s="1"/>
      <c r="G2866" s="1"/>
    </row>
    <row r="2867" spans="1:7" x14ac:dyDescent="0.25">
      <c r="A2867" s="1"/>
      <c r="B2867" s="2"/>
      <c r="C2867" s="2"/>
      <c r="D2867" s="1"/>
      <c r="F2867" s="1"/>
      <c r="G2867" s="1"/>
    </row>
    <row r="2868" spans="1:7" x14ac:dyDescent="0.25">
      <c r="A2868" s="1"/>
      <c r="B2868" s="2"/>
      <c r="C2868" s="2"/>
      <c r="D2868" s="1"/>
      <c r="F2868" s="1"/>
      <c r="G2868" s="1"/>
    </row>
    <row r="2869" spans="1:7" x14ac:dyDescent="0.25">
      <c r="A2869" s="1"/>
      <c r="B2869" s="2"/>
      <c r="C2869" s="2"/>
      <c r="D2869" s="1"/>
      <c r="F2869" s="1"/>
      <c r="G2869" s="1"/>
    </row>
    <row r="2870" spans="1:7" x14ac:dyDescent="0.25">
      <c r="A2870" s="1"/>
      <c r="B2870" s="2"/>
      <c r="C2870" s="2"/>
      <c r="D2870" s="1"/>
      <c r="F2870" s="1"/>
      <c r="G2870" s="1"/>
    </row>
    <row r="2871" spans="1:7" x14ac:dyDescent="0.25">
      <c r="A2871" s="1"/>
      <c r="B2871" s="2"/>
      <c r="C2871" s="2"/>
      <c r="D2871" s="1"/>
      <c r="F2871" s="1"/>
      <c r="G2871" s="1"/>
    </row>
    <row r="2872" spans="1:7" x14ac:dyDescent="0.25">
      <c r="A2872" s="1"/>
      <c r="B2872" s="2"/>
      <c r="C2872" s="2"/>
      <c r="D2872" s="1"/>
      <c r="F2872" s="1"/>
      <c r="G2872" s="1"/>
    </row>
    <row r="2873" spans="1:7" x14ac:dyDescent="0.25">
      <c r="A2873" s="1"/>
      <c r="B2873" s="2"/>
      <c r="C2873" s="2"/>
      <c r="D2873" s="1"/>
      <c r="F2873" s="1"/>
      <c r="G2873" s="1"/>
    </row>
    <row r="2874" spans="1:7" x14ac:dyDescent="0.25">
      <c r="A2874" s="1"/>
      <c r="B2874" s="2"/>
      <c r="C2874" s="2"/>
      <c r="D2874" s="1"/>
      <c r="F2874" s="1"/>
      <c r="G2874" s="1"/>
    </row>
    <row r="2875" spans="1:7" x14ac:dyDescent="0.25">
      <c r="A2875" s="1"/>
      <c r="B2875" s="2"/>
      <c r="C2875" s="2"/>
      <c r="D2875" s="1"/>
      <c r="F2875" s="1"/>
      <c r="G2875" s="1"/>
    </row>
    <row r="2876" spans="1:7" x14ac:dyDescent="0.25">
      <c r="A2876" s="1"/>
      <c r="B2876" s="2"/>
      <c r="C2876" s="2"/>
      <c r="D2876" s="1"/>
      <c r="F2876" s="1"/>
      <c r="G2876" s="1"/>
    </row>
    <row r="2877" spans="1:7" x14ac:dyDescent="0.25">
      <c r="A2877" s="1"/>
      <c r="B2877" s="2"/>
      <c r="C2877" s="2"/>
      <c r="D2877" s="1"/>
      <c r="F2877" s="1"/>
      <c r="G2877" s="1"/>
    </row>
    <row r="2878" spans="1:7" x14ac:dyDescent="0.25">
      <c r="A2878" s="1"/>
      <c r="B2878" s="2"/>
      <c r="C2878" s="2"/>
      <c r="D2878" s="1"/>
      <c r="F2878" s="1"/>
      <c r="G2878" s="1"/>
    </row>
    <row r="2879" spans="1:7" x14ac:dyDescent="0.25">
      <c r="A2879" s="1"/>
      <c r="B2879" s="2"/>
      <c r="C2879" s="2"/>
      <c r="D2879" s="1"/>
      <c r="F2879" s="1"/>
      <c r="G2879" s="1"/>
    </row>
    <row r="2880" spans="1:7" x14ac:dyDescent="0.25">
      <c r="A2880" s="1"/>
      <c r="B2880" s="2"/>
      <c r="C2880" s="2"/>
      <c r="D2880" s="1"/>
      <c r="F2880" s="1"/>
      <c r="G2880" s="1"/>
    </row>
    <row r="2881" spans="1:7" x14ac:dyDescent="0.25">
      <c r="A2881" s="1"/>
      <c r="B2881" s="2"/>
      <c r="C2881" s="2"/>
      <c r="D2881" s="1"/>
      <c r="F2881" s="1"/>
      <c r="G2881" s="1"/>
    </row>
    <row r="2882" spans="1:7" x14ac:dyDescent="0.25">
      <c r="A2882" s="1"/>
      <c r="B2882" s="2"/>
      <c r="C2882" s="2"/>
      <c r="D2882" s="1"/>
      <c r="F2882" s="1"/>
      <c r="G2882" s="1"/>
    </row>
    <row r="2883" spans="1:7" x14ac:dyDescent="0.25">
      <c r="A2883" s="1"/>
      <c r="B2883" s="2"/>
      <c r="C2883" s="2"/>
      <c r="D2883" s="1"/>
      <c r="F2883" s="1"/>
      <c r="G2883" s="1"/>
    </row>
    <row r="2884" spans="1:7" x14ac:dyDescent="0.25">
      <c r="A2884" s="1"/>
      <c r="B2884" s="2"/>
      <c r="C2884" s="2"/>
      <c r="D2884" s="1"/>
      <c r="F2884" s="1"/>
      <c r="G2884" s="1"/>
    </row>
    <row r="2885" spans="1:7" x14ac:dyDescent="0.25">
      <c r="A2885" s="1"/>
      <c r="B2885" s="2"/>
      <c r="C2885" s="2"/>
      <c r="D2885" s="1"/>
      <c r="F2885" s="1"/>
      <c r="G2885" s="1"/>
    </row>
    <row r="2886" spans="1:7" x14ac:dyDescent="0.25">
      <c r="A2886" s="1"/>
      <c r="B2886" s="2"/>
      <c r="C2886" s="2"/>
      <c r="D2886" s="1"/>
      <c r="F2886" s="1"/>
      <c r="G2886" s="1"/>
    </row>
    <row r="2887" spans="1:7" x14ac:dyDescent="0.25">
      <c r="A2887" s="1"/>
      <c r="B2887" s="2"/>
      <c r="C2887" s="2"/>
      <c r="D2887" s="1"/>
      <c r="F2887" s="1"/>
      <c r="G2887" s="1"/>
    </row>
    <row r="2888" spans="1:7" x14ac:dyDescent="0.25">
      <c r="A2888" s="1"/>
      <c r="B2888" s="2"/>
      <c r="C2888" s="2"/>
      <c r="D2888" s="1"/>
      <c r="F2888" s="1"/>
      <c r="G2888" s="1"/>
    </row>
    <row r="2889" spans="1:7" x14ac:dyDescent="0.25">
      <c r="A2889" s="1"/>
      <c r="B2889" s="2"/>
      <c r="C2889" s="2"/>
      <c r="D2889" s="1"/>
      <c r="F2889" s="1"/>
      <c r="G2889" s="1"/>
    </row>
    <row r="2890" spans="1:7" x14ac:dyDescent="0.25">
      <c r="A2890" s="1"/>
      <c r="B2890" s="2"/>
      <c r="C2890" s="2"/>
      <c r="D2890" s="1"/>
      <c r="F2890" s="1"/>
      <c r="G2890" s="1"/>
    </row>
    <row r="2891" spans="1:7" x14ac:dyDescent="0.25">
      <c r="A2891" s="1"/>
      <c r="B2891" s="2"/>
      <c r="C2891" s="2"/>
      <c r="D2891" s="1"/>
      <c r="F2891" s="1"/>
      <c r="G2891" s="1"/>
    </row>
    <row r="2892" spans="1:7" x14ac:dyDescent="0.25">
      <c r="A2892" s="1"/>
      <c r="B2892" s="2"/>
      <c r="C2892" s="2"/>
      <c r="D2892" s="1"/>
      <c r="F2892" s="1"/>
      <c r="G2892" s="1"/>
    </row>
    <row r="2893" spans="1:7" x14ac:dyDescent="0.25">
      <c r="A2893" s="1"/>
      <c r="B2893" s="2"/>
      <c r="C2893" s="2"/>
      <c r="D2893" s="1"/>
      <c r="F2893" s="1"/>
      <c r="G2893" s="1"/>
    </row>
    <row r="2894" spans="1:7" x14ac:dyDescent="0.25">
      <c r="A2894" s="1"/>
      <c r="B2894" s="2"/>
      <c r="C2894" s="2"/>
      <c r="D2894" s="1"/>
      <c r="F2894" s="1"/>
      <c r="G2894" s="1"/>
    </row>
    <row r="2895" spans="1:7" x14ac:dyDescent="0.25">
      <c r="A2895" s="1"/>
      <c r="B2895" s="2"/>
      <c r="C2895" s="2"/>
      <c r="D2895" s="1"/>
      <c r="F2895" s="1"/>
      <c r="G2895" s="1"/>
    </row>
    <row r="2896" spans="1:7" x14ac:dyDescent="0.25">
      <c r="A2896" s="1"/>
      <c r="B2896" s="2"/>
      <c r="C2896" s="2"/>
      <c r="D2896" s="1"/>
      <c r="F2896" s="1"/>
      <c r="G2896" s="1"/>
    </row>
    <row r="2897" spans="1:7" x14ac:dyDescent="0.25">
      <c r="A2897" s="1"/>
      <c r="B2897" s="2"/>
      <c r="C2897" s="2"/>
      <c r="D2897" s="1"/>
      <c r="F2897" s="1"/>
      <c r="G2897" s="1"/>
    </row>
    <row r="2898" spans="1:7" x14ac:dyDescent="0.25">
      <c r="A2898" s="1"/>
      <c r="B2898" s="2"/>
      <c r="C2898" s="2"/>
      <c r="D2898" s="1"/>
      <c r="F2898" s="1"/>
      <c r="G2898" s="1"/>
    </row>
    <row r="2899" spans="1:7" x14ac:dyDescent="0.25">
      <c r="A2899" s="1"/>
      <c r="B2899" s="2"/>
      <c r="C2899" s="2"/>
      <c r="D2899" s="1"/>
      <c r="F2899" s="1"/>
      <c r="G2899" s="1"/>
    </row>
    <row r="2900" spans="1:7" x14ac:dyDescent="0.25">
      <c r="A2900" s="1"/>
      <c r="B2900" s="2"/>
      <c r="C2900" s="2"/>
      <c r="D2900" s="1"/>
      <c r="F2900" s="1"/>
      <c r="G2900" s="1"/>
    </row>
    <row r="2901" spans="1:7" x14ac:dyDescent="0.25">
      <c r="A2901" s="1"/>
      <c r="B2901" s="2"/>
      <c r="C2901" s="2"/>
      <c r="D2901" s="1"/>
      <c r="F2901" s="1"/>
      <c r="G2901" s="1"/>
    </row>
    <row r="2902" spans="1:7" x14ac:dyDescent="0.25">
      <c r="A2902" s="1"/>
      <c r="B2902" s="2"/>
      <c r="C2902" s="2"/>
      <c r="D2902" s="1"/>
      <c r="F2902" s="1"/>
      <c r="G2902" s="1"/>
    </row>
    <row r="2903" spans="1:7" x14ac:dyDescent="0.25">
      <c r="A2903" s="1"/>
      <c r="B2903" s="2"/>
      <c r="C2903" s="2"/>
      <c r="D2903" s="1"/>
      <c r="F2903" s="1"/>
      <c r="G2903" s="1"/>
    </row>
    <row r="2904" spans="1:7" x14ac:dyDescent="0.25">
      <c r="A2904" s="1"/>
      <c r="B2904" s="2"/>
      <c r="C2904" s="2"/>
      <c r="D2904" s="1"/>
      <c r="F2904" s="1"/>
      <c r="G2904" s="1"/>
    </row>
    <row r="2905" spans="1:7" x14ac:dyDescent="0.25">
      <c r="A2905" s="1"/>
      <c r="B2905" s="2"/>
      <c r="C2905" s="2"/>
      <c r="D2905" s="1"/>
      <c r="F2905" s="1"/>
      <c r="G2905" s="1"/>
    </row>
    <row r="2906" spans="1:7" x14ac:dyDescent="0.25">
      <c r="A2906" s="1"/>
      <c r="B2906" s="2"/>
      <c r="C2906" s="2"/>
      <c r="D2906" s="1"/>
      <c r="F2906" s="1"/>
      <c r="G2906" s="1"/>
    </row>
    <row r="2907" spans="1:7" x14ac:dyDescent="0.25">
      <c r="A2907" s="1"/>
      <c r="B2907" s="2"/>
      <c r="C2907" s="2"/>
      <c r="D2907" s="1"/>
      <c r="F2907" s="1"/>
      <c r="G2907" s="1"/>
    </row>
    <row r="2908" spans="1:7" x14ac:dyDescent="0.25">
      <c r="A2908" s="1"/>
      <c r="B2908" s="2"/>
      <c r="C2908" s="2"/>
      <c r="D2908" s="1"/>
      <c r="F2908" s="1"/>
      <c r="G2908" s="1"/>
    </row>
    <row r="2909" spans="1:7" x14ac:dyDescent="0.25">
      <c r="A2909" s="1"/>
      <c r="B2909" s="2"/>
      <c r="C2909" s="2"/>
      <c r="D2909" s="1"/>
      <c r="F2909" s="1"/>
      <c r="G2909" s="1"/>
    </row>
    <row r="2910" spans="1:7" x14ac:dyDescent="0.25">
      <c r="A2910" s="1"/>
      <c r="B2910" s="2"/>
      <c r="C2910" s="2"/>
      <c r="D2910" s="1"/>
      <c r="F2910" s="1"/>
      <c r="G2910" s="1"/>
    </row>
    <row r="2911" spans="1:7" x14ac:dyDescent="0.25">
      <c r="A2911" s="1"/>
      <c r="B2911" s="2"/>
      <c r="C2911" s="2"/>
      <c r="D2911" s="1"/>
      <c r="F2911" s="1"/>
      <c r="G2911" s="1"/>
    </row>
    <row r="2912" spans="1:7" x14ac:dyDescent="0.25">
      <c r="A2912" s="1"/>
      <c r="B2912" s="2"/>
      <c r="C2912" s="2"/>
      <c r="D2912" s="1"/>
      <c r="F2912" s="1"/>
      <c r="G2912" s="1"/>
    </row>
    <row r="2913" spans="1:7" x14ac:dyDescent="0.25">
      <c r="A2913" s="1"/>
      <c r="B2913" s="2"/>
      <c r="C2913" s="2"/>
      <c r="D2913" s="1"/>
      <c r="F2913" s="1"/>
      <c r="G2913" s="1"/>
    </row>
    <row r="2914" spans="1:7" x14ac:dyDescent="0.25">
      <c r="A2914" s="1"/>
      <c r="B2914" s="2"/>
      <c r="C2914" s="2"/>
      <c r="D2914" s="1"/>
      <c r="F2914" s="1"/>
      <c r="G2914" s="1"/>
    </row>
    <row r="2915" spans="1:7" x14ac:dyDescent="0.25">
      <c r="A2915" s="1"/>
      <c r="B2915" s="2"/>
      <c r="C2915" s="2"/>
      <c r="D2915" s="1"/>
      <c r="F2915" s="1"/>
      <c r="G2915" s="1"/>
    </row>
    <row r="2916" spans="1:7" x14ac:dyDescent="0.25">
      <c r="A2916" s="1"/>
      <c r="B2916" s="2"/>
      <c r="C2916" s="2"/>
      <c r="D2916" s="1"/>
      <c r="F2916" s="1"/>
      <c r="G2916" s="1"/>
    </row>
    <row r="2917" spans="1:7" x14ac:dyDescent="0.25">
      <c r="A2917" s="1"/>
      <c r="B2917" s="2"/>
      <c r="C2917" s="2"/>
      <c r="D2917" s="1"/>
      <c r="F2917" s="1"/>
      <c r="G2917" s="1"/>
    </row>
    <row r="2918" spans="1:7" x14ac:dyDescent="0.25">
      <c r="A2918" s="1"/>
      <c r="B2918" s="2"/>
      <c r="C2918" s="2"/>
      <c r="D2918" s="1"/>
      <c r="F2918" s="1"/>
      <c r="G2918" s="1"/>
    </row>
    <row r="2919" spans="1:7" x14ac:dyDescent="0.25">
      <c r="A2919" s="1"/>
      <c r="B2919" s="2"/>
      <c r="C2919" s="2"/>
      <c r="D2919" s="1"/>
      <c r="F2919" s="1"/>
      <c r="G2919" s="1"/>
    </row>
    <row r="2920" spans="1:7" x14ac:dyDescent="0.25">
      <c r="A2920" s="1"/>
      <c r="B2920" s="2"/>
      <c r="C2920" s="2"/>
      <c r="D2920" s="1"/>
      <c r="F2920" s="1"/>
      <c r="G2920" s="1"/>
    </row>
    <row r="2921" spans="1:7" x14ac:dyDescent="0.25">
      <c r="A2921" s="1"/>
      <c r="B2921" s="2"/>
      <c r="C2921" s="2"/>
      <c r="D2921" s="1"/>
      <c r="F2921" s="1"/>
      <c r="G2921" s="1"/>
    </row>
    <row r="2922" spans="1:7" x14ac:dyDescent="0.25">
      <c r="A2922" s="1"/>
      <c r="B2922" s="2"/>
      <c r="C2922" s="2"/>
      <c r="D2922" s="1"/>
      <c r="F2922" s="1"/>
      <c r="G2922" s="1"/>
    </row>
    <row r="2923" spans="1:7" x14ac:dyDescent="0.25">
      <c r="A2923" s="1"/>
      <c r="B2923" s="2"/>
      <c r="C2923" s="2"/>
      <c r="D2923" s="1"/>
      <c r="F2923" s="1"/>
      <c r="G2923" s="1"/>
    </row>
    <row r="2924" spans="1:7" x14ac:dyDescent="0.25">
      <c r="A2924" s="1"/>
      <c r="B2924" s="2"/>
      <c r="C2924" s="2"/>
      <c r="D2924" s="1"/>
      <c r="F2924" s="1"/>
      <c r="G2924" s="1"/>
    </row>
    <row r="2925" spans="1:7" x14ac:dyDescent="0.25">
      <c r="A2925" s="1"/>
      <c r="B2925" s="2"/>
      <c r="C2925" s="2"/>
      <c r="D2925" s="1"/>
      <c r="F2925" s="1"/>
      <c r="G2925" s="1"/>
    </row>
    <row r="2926" spans="1:7" x14ac:dyDescent="0.25">
      <c r="A2926" s="1"/>
      <c r="B2926" s="2"/>
      <c r="C2926" s="2"/>
      <c r="D2926" s="1"/>
      <c r="F2926" s="1"/>
      <c r="G2926" s="1"/>
    </row>
    <row r="2927" spans="1:7" x14ac:dyDescent="0.25">
      <c r="A2927" s="1"/>
      <c r="B2927" s="2"/>
      <c r="C2927" s="2"/>
      <c r="D2927" s="1"/>
      <c r="F2927" s="1"/>
      <c r="G2927" s="1"/>
    </row>
    <row r="2928" spans="1:7" x14ac:dyDescent="0.25">
      <c r="A2928" s="1"/>
      <c r="B2928" s="2"/>
      <c r="C2928" s="2"/>
      <c r="D2928" s="1"/>
      <c r="F2928" s="1"/>
      <c r="G2928" s="1"/>
    </row>
    <row r="2929" spans="1:7" x14ac:dyDescent="0.25">
      <c r="A2929" s="1"/>
      <c r="B2929" s="2"/>
      <c r="C2929" s="2"/>
      <c r="D2929" s="1"/>
      <c r="F2929" s="1"/>
      <c r="G2929" s="1"/>
    </row>
    <row r="2930" spans="1:7" x14ac:dyDescent="0.25">
      <c r="A2930" s="1"/>
      <c r="B2930" s="2"/>
      <c r="C2930" s="2"/>
      <c r="D2930" s="1"/>
      <c r="F2930" s="1"/>
      <c r="G2930" s="1"/>
    </row>
    <row r="2931" spans="1:7" x14ac:dyDescent="0.25">
      <c r="A2931" s="1"/>
      <c r="B2931" s="2"/>
      <c r="C2931" s="2"/>
      <c r="D2931" s="1"/>
      <c r="F2931" s="1"/>
      <c r="G2931" s="1"/>
    </row>
    <row r="2932" spans="1:7" x14ac:dyDescent="0.25">
      <c r="A2932" s="1"/>
      <c r="B2932" s="2"/>
      <c r="C2932" s="2"/>
      <c r="D2932" s="1"/>
      <c r="F2932" s="1"/>
      <c r="G2932" s="1"/>
    </row>
    <row r="2933" spans="1:7" x14ac:dyDescent="0.25">
      <c r="A2933" s="1"/>
      <c r="B2933" s="2"/>
      <c r="C2933" s="2"/>
      <c r="D2933" s="1"/>
      <c r="F2933" s="1"/>
      <c r="G2933" s="1"/>
    </row>
    <row r="2934" spans="1:7" x14ac:dyDescent="0.25">
      <c r="A2934" s="1"/>
      <c r="B2934" s="2"/>
      <c r="C2934" s="2"/>
      <c r="D2934" s="1"/>
      <c r="F2934" s="1"/>
      <c r="G2934" s="1"/>
    </row>
    <row r="2935" spans="1:7" x14ac:dyDescent="0.25">
      <c r="A2935" s="1"/>
      <c r="B2935" s="2"/>
      <c r="C2935" s="2"/>
      <c r="D2935" s="1"/>
      <c r="F2935" s="1"/>
      <c r="G2935" s="1"/>
    </row>
    <row r="2936" spans="1:7" x14ac:dyDescent="0.25">
      <c r="A2936" s="1"/>
      <c r="B2936" s="2"/>
      <c r="C2936" s="2"/>
      <c r="D2936" s="1"/>
      <c r="F2936" s="1"/>
      <c r="G2936" s="1"/>
    </row>
    <row r="2937" spans="1:7" x14ac:dyDescent="0.25">
      <c r="A2937" s="1"/>
      <c r="B2937" s="2"/>
      <c r="C2937" s="2"/>
      <c r="D2937" s="1"/>
      <c r="F2937" s="1"/>
      <c r="G2937" s="1"/>
    </row>
    <row r="2938" spans="1:7" x14ac:dyDescent="0.25">
      <c r="A2938" s="1"/>
      <c r="B2938" s="2"/>
      <c r="C2938" s="2"/>
      <c r="D2938" s="1"/>
      <c r="F2938" s="1"/>
      <c r="G2938" s="1"/>
    </row>
    <row r="2939" spans="1:7" x14ac:dyDescent="0.25">
      <c r="A2939" s="1"/>
      <c r="B2939" s="2"/>
      <c r="C2939" s="2"/>
      <c r="D2939" s="1"/>
      <c r="F2939" s="1"/>
      <c r="G2939" s="1"/>
    </row>
    <row r="2940" spans="1:7" x14ac:dyDescent="0.25">
      <c r="A2940" s="1"/>
      <c r="B2940" s="2"/>
      <c r="C2940" s="2"/>
      <c r="D2940" s="1"/>
      <c r="F2940" s="1"/>
      <c r="G2940" s="1"/>
    </row>
    <row r="2941" spans="1:7" x14ac:dyDescent="0.25">
      <c r="A2941" s="1"/>
      <c r="B2941" s="2"/>
      <c r="C2941" s="2"/>
      <c r="D2941" s="1"/>
      <c r="F2941" s="1"/>
      <c r="G2941" s="1"/>
    </row>
    <row r="2942" spans="1:7" x14ac:dyDescent="0.25">
      <c r="A2942" s="1"/>
      <c r="B2942" s="2"/>
      <c r="C2942" s="2"/>
      <c r="D2942" s="1"/>
      <c r="F2942" s="1"/>
      <c r="G2942" s="1"/>
    </row>
    <row r="2943" spans="1:7" x14ac:dyDescent="0.25">
      <c r="A2943" s="1"/>
      <c r="B2943" s="2"/>
      <c r="C2943" s="2"/>
      <c r="D2943" s="1"/>
      <c r="F2943" s="1"/>
      <c r="G2943" s="1"/>
    </row>
    <row r="2944" spans="1:7" x14ac:dyDescent="0.25">
      <c r="A2944" s="1"/>
      <c r="B2944" s="2"/>
      <c r="C2944" s="2"/>
      <c r="D2944" s="1"/>
      <c r="F2944" s="1"/>
      <c r="G2944" s="1"/>
    </row>
    <row r="2945" spans="1:7" x14ac:dyDescent="0.25">
      <c r="A2945" s="1"/>
      <c r="B2945" s="2"/>
      <c r="C2945" s="2"/>
      <c r="D2945" s="1"/>
      <c r="F2945" s="1"/>
      <c r="G2945" s="1"/>
    </row>
    <row r="2946" spans="1:7" x14ac:dyDescent="0.25">
      <c r="A2946" s="1"/>
      <c r="B2946" s="2"/>
      <c r="C2946" s="2"/>
      <c r="D2946" s="1"/>
      <c r="F2946" s="1"/>
      <c r="G2946" s="1"/>
    </row>
    <row r="2947" spans="1:7" x14ac:dyDescent="0.25">
      <c r="A2947" s="1"/>
      <c r="B2947" s="2"/>
      <c r="C2947" s="2"/>
      <c r="D2947" s="1"/>
      <c r="F2947" s="1"/>
      <c r="G2947" s="1"/>
    </row>
    <row r="2948" spans="1:7" x14ac:dyDescent="0.25">
      <c r="A2948" s="1"/>
      <c r="B2948" s="2"/>
      <c r="C2948" s="2"/>
      <c r="D2948" s="1"/>
      <c r="F2948" s="1"/>
      <c r="G2948" s="1"/>
    </row>
    <row r="2949" spans="1:7" x14ac:dyDescent="0.25">
      <c r="A2949" s="1"/>
      <c r="B2949" s="2"/>
      <c r="C2949" s="2"/>
      <c r="D2949" s="1"/>
      <c r="F2949" s="1"/>
      <c r="G2949" s="1"/>
    </row>
    <row r="2950" spans="1:7" x14ac:dyDescent="0.25">
      <c r="A2950" s="1"/>
      <c r="B2950" s="2"/>
      <c r="C2950" s="2"/>
      <c r="D2950" s="1"/>
      <c r="F2950" s="1"/>
      <c r="G2950" s="1"/>
    </row>
    <row r="2951" spans="1:7" x14ac:dyDescent="0.25">
      <c r="A2951" s="1"/>
      <c r="B2951" s="2"/>
      <c r="C2951" s="2"/>
      <c r="D2951" s="1"/>
      <c r="F2951" s="1"/>
      <c r="G2951" s="1"/>
    </row>
    <row r="2952" spans="1:7" x14ac:dyDescent="0.25">
      <c r="A2952" s="1"/>
      <c r="B2952" s="2"/>
      <c r="C2952" s="2"/>
      <c r="D2952" s="1"/>
      <c r="F2952" s="1"/>
      <c r="G2952" s="1"/>
    </row>
    <row r="2953" spans="1:7" x14ac:dyDescent="0.25">
      <c r="A2953" s="1"/>
      <c r="B2953" s="2"/>
      <c r="C2953" s="2"/>
      <c r="D2953" s="1"/>
      <c r="F2953" s="1"/>
      <c r="G2953" s="1"/>
    </row>
    <row r="2954" spans="1:7" x14ac:dyDescent="0.25">
      <c r="A2954" s="1"/>
      <c r="B2954" s="2"/>
      <c r="C2954" s="2"/>
      <c r="D2954" s="1"/>
      <c r="F2954" s="1"/>
      <c r="G2954" s="1"/>
    </row>
    <row r="2955" spans="1:7" x14ac:dyDescent="0.25">
      <c r="A2955" s="1"/>
      <c r="B2955" s="2"/>
      <c r="C2955" s="2"/>
      <c r="D2955" s="1"/>
      <c r="F2955" s="1"/>
      <c r="G2955" s="1"/>
    </row>
    <row r="2956" spans="1:7" x14ac:dyDescent="0.25">
      <c r="A2956" s="1"/>
      <c r="B2956" s="2"/>
      <c r="C2956" s="2"/>
      <c r="D2956" s="1"/>
      <c r="F2956" s="1"/>
      <c r="G2956" s="1"/>
    </row>
    <row r="2957" spans="1:7" x14ac:dyDescent="0.25">
      <c r="A2957" s="1"/>
      <c r="B2957" s="2"/>
      <c r="C2957" s="2"/>
      <c r="D2957" s="1"/>
      <c r="F2957" s="1"/>
      <c r="G2957" s="1"/>
    </row>
    <row r="2958" spans="1:7" x14ac:dyDescent="0.25">
      <c r="A2958" s="1"/>
      <c r="B2958" s="2"/>
      <c r="C2958" s="2"/>
      <c r="D2958" s="1"/>
      <c r="F2958" s="1"/>
      <c r="G2958" s="1"/>
    </row>
    <row r="2959" spans="1:7" x14ac:dyDescent="0.25">
      <c r="A2959" s="1"/>
      <c r="B2959" s="2"/>
      <c r="C2959" s="2"/>
      <c r="D2959" s="1"/>
      <c r="F2959" s="1"/>
      <c r="G2959" s="1"/>
    </row>
    <row r="2960" spans="1:7" x14ac:dyDescent="0.25">
      <c r="A2960" s="1"/>
      <c r="B2960" s="2"/>
      <c r="C2960" s="2"/>
      <c r="D2960" s="1"/>
      <c r="F2960" s="1"/>
      <c r="G2960" s="1"/>
    </row>
    <row r="2961" spans="1:7" x14ac:dyDescent="0.25">
      <c r="A2961" s="1"/>
      <c r="B2961" s="2"/>
      <c r="C2961" s="2"/>
      <c r="D2961" s="1"/>
      <c r="F2961" s="1"/>
      <c r="G2961" s="1"/>
    </row>
    <row r="2962" spans="1:7" x14ac:dyDescent="0.25">
      <c r="A2962" s="1"/>
      <c r="B2962" s="2"/>
      <c r="C2962" s="2"/>
      <c r="D2962" s="1"/>
      <c r="F2962" s="1"/>
      <c r="G2962" s="1"/>
    </row>
    <row r="2963" spans="1:7" x14ac:dyDescent="0.25">
      <c r="A2963" s="1"/>
      <c r="B2963" s="2"/>
      <c r="C2963" s="2"/>
      <c r="D2963" s="1"/>
      <c r="F2963" s="1"/>
      <c r="G2963" s="1"/>
    </row>
    <row r="2964" spans="1:7" x14ac:dyDescent="0.25">
      <c r="A2964" s="1"/>
      <c r="B2964" s="2"/>
      <c r="C2964" s="2"/>
      <c r="D2964" s="1"/>
      <c r="F2964" s="1"/>
      <c r="G2964" s="1"/>
    </row>
    <row r="2965" spans="1:7" x14ac:dyDescent="0.25">
      <c r="A2965" s="1"/>
      <c r="B2965" s="2"/>
      <c r="C2965" s="2"/>
      <c r="D2965" s="1"/>
      <c r="F2965" s="1"/>
      <c r="G2965" s="1"/>
    </row>
    <row r="2966" spans="1:7" x14ac:dyDescent="0.25">
      <c r="A2966" s="1"/>
      <c r="B2966" s="2"/>
      <c r="C2966" s="2"/>
      <c r="D2966" s="1"/>
      <c r="F2966" s="1"/>
      <c r="G2966" s="1"/>
    </row>
    <row r="2967" spans="1:7" x14ac:dyDescent="0.25">
      <c r="A2967" s="1"/>
      <c r="B2967" s="2"/>
      <c r="C2967" s="2"/>
      <c r="D2967" s="1"/>
      <c r="F2967" s="1"/>
      <c r="G2967" s="1"/>
    </row>
    <row r="2968" spans="1:7" x14ac:dyDescent="0.25">
      <c r="A2968" s="1"/>
      <c r="B2968" s="2"/>
      <c r="C2968" s="2"/>
      <c r="D2968" s="1"/>
      <c r="F2968" s="1"/>
      <c r="G2968" s="1"/>
    </row>
    <row r="2969" spans="1:7" x14ac:dyDescent="0.25">
      <c r="A2969" s="1"/>
      <c r="B2969" s="2"/>
      <c r="C2969" s="2"/>
      <c r="D2969" s="1"/>
      <c r="F2969" s="1"/>
      <c r="G2969" s="1"/>
    </row>
    <row r="2970" spans="1:7" x14ac:dyDescent="0.25">
      <c r="A2970" s="1"/>
      <c r="B2970" s="2"/>
      <c r="C2970" s="2"/>
      <c r="D2970" s="1"/>
      <c r="F2970" s="1"/>
      <c r="G2970" s="1"/>
    </row>
    <row r="2971" spans="1:7" x14ac:dyDescent="0.25">
      <c r="A2971" s="1"/>
      <c r="B2971" s="2"/>
      <c r="C2971" s="2"/>
      <c r="D2971" s="1"/>
      <c r="F2971" s="1"/>
      <c r="G2971" s="1"/>
    </row>
    <row r="2972" spans="1:7" x14ac:dyDescent="0.25">
      <c r="A2972" s="1"/>
      <c r="B2972" s="2"/>
      <c r="C2972" s="2"/>
      <c r="D2972" s="1"/>
      <c r="F2972" s="1"/>
      <c r="G2972" s="1"/>
    </row>
    <row r="2973" spans="1:7" x14ac:dyDescent="0.25">
      <c r="A2973" s="1"/>
      <c r="B2973" s="2"/>
      <c r="C2973" s="2"/>
      <c r="D2973" s="1"/>
      <c r="F2973" s="1"/>
      <c r="G2973" s="1"/>
    </row>
    <row r="2974" spans="1:7" x14ac:dyDescent="0.25">
      <c r="A2974" s="1"/>
      <c r="B2974" s="2"/>
      <c r="C2974" s="2"/>
      <c r="D2974" s="1"/>
      <c r="F2974" s="1"/>
      <c r="G2974" s="1"/>
    </row>
    <row r="2975" spans="1:7" x14ac:dyDescent="0.25">
      <c r="A2975" s="1"/>
      <c r="B2975" s="2"/>
      <c r="C2975" s="2"/>
      <c r="D2975" s="1"/>
      <c r="F2975" s="1"/>
      <c r="G2975" s="1"/>
    </row>
    <row r="2976" spans="1:7" x14ac:dyDescent="0.25">
      <c r="A2976" s="1"/>
      <c r="B2976" s="2"/>
      <c r="C2976" s="2"/>
      <c r="D2976" s="1"/>
      <c r="F2976" s="1"/>
      <c r="G2976" s="1"/>
    </row>
    <row r="2977" spans="1:7" x14ac:dyDescent="0.25">
      <c r="A2977" s="1"/>
      <c r="B2977" s="2"/>
      <c r="C2977" s="2"/>
      <c r="D2977" s="1"/>
      <c r="F2977" s="1"/>
      <c r="G2977" s="1"/>
    </row>
    <row r="2978" spans="1:7" x14ac:dyDescent="0.25">
      <c r="A2978" s="1"/>
      <c r="B2978" s="2"/>
      <c r="C2978" s="2"/>
      <c r="D2978" s="1"/>
      <c r="F2978" s="1"/>
      <c r="G2978" s="1"/>
    </row>
    <row r="2979" spans="1:7" x14ac:dyDescent="0.25">
      <c r="A2979" s="1"/>
      <c r="B2979" s="2"/>
      <c r="C2979" s="2"/>
      <c r="D2979" s="1"/>
      <c r="F2979" s="1"/>
      <c r="G2979" s="1"/>
    </row>
    <row r="2980" spans="1:7" x14ac:dyDescent="0.25">
      <c r="A2980" s="1"/>
      <c r="B2980" s="2"/>
      <c r="C2980" s="2"/>
      <c r="D2980" s="1"/>
      <c r="F2980" s="1"/>
      <c r="G2980" s="1"/>
    </row>
    <row r="2981" spans="1:7" x14ac:dyDescent="0.25">
      <c r="A2981" s="1"/>
      <c r="B2981" s="2"/>
      <c r="C2981" s="2"/>
      <c r="D2981" s="1"/>
      <c r="F2981" s="1"/>
      <c r="G2981" s="1"/>
    </row>
    <row r="2982" spans="1:7" x14ac:dyDescent="0.25">
      <c r="A2982" s="1"/>
      <c r="B2982" s="2"/>
      <c r="C2982" s="2"/>
      <c r="D2982" s="1"/>
      <c r="F2982" s="1"/>
      <c r="G2982" s="1"/>
    </row>
    <row r="2983" spans="1:7" x14ac:dyDescent="0.25">
      <c r="A2983" s="1"/>
      <c r="B2983" s="2"/>
      <c r="C2983" s="2"/>
      <c r="D2983" s="1"/>
      <c r="F2983" s="1"/>
      <c r="G2983" s="1"/>
    </row>
    <row r="2984" spans="1:7" x14ac:dyDescent="0.25">
      <c r="A2984" s="1"/>
      <c r="B2984" s="2"/>
      <c r="C2984" s="2"/>
      <c r="D2984" s="1"/>
      <c r="F2984" s="1"/>
      <c r="G2984"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CE1E-BD4A-4498-9024-B4C3CBD18DE3}">
  <dimension ref="A1:I56"/>
  <sheetViews>
    <sheetView tabSelected="1" zoomScale="91" workbookViewId="0">
      <selection activeCell="F34" sqref="F34"/>
    </sheetView>
  </sheetViews>
  <sheetFormatPr defaultRowHeight="15" x14ac:dyDescent="0.25"/>
  <cols>
    <col min="1" max="1" width="18" bestFit="1" customWidth="1"/>
    <col min="2" max="2" width="12" bestFit="1" customWidth="1"/>
    <col min="3" max="3" width="16.5703125" bestFit="1" customWidth="1"/>
    <col min="4" max="4" width="18.5703125" bestFit="1" customWidth="1"/>
    <col min="5" max="5" width="23.140625" bestFit="1" customWidth="1"/>
    <col min="6" max="6" width="16.140625" bestFit="1" customWidth="1"/>
    <col min="7" max="7" width="13.7109375" bestFit="1" customWidth="1"/>
    <col min="8" max="8" width="16.28515625" bestFit="1" customWidth="1"/>
    <col min="9" max="9" width="19.28515625" bestFit="1" customWidth="1"/>
  </cols>
  <sheetData>
    <row r="1" spans="1:7" x14ac:dyDescent="0.25">
      <c r="A1" s="30" t="s">
        <v>417</v>
      </c>
      <c r="B1" s="31"/>
      <c r="C1" s="31"/>
      <c r="D1" s="31"/>
      <c r="E1" s="31"/>
    </row>
    <row r="2" spans="1:7" x14ac:dyDescent="0.25">
      <c r="A2" s="31"/>
      <c r="B2" s="31"/>
      <c r="C2" s="31"/>
      <c r="D2" s="31"/>
      <c r="E2" s="31"/>
    </row>
    <row r="3" spans="1:7" x14ac:dyDescent="0.25">
      <c r="A3" s="31"/>
      <c r="B3" s="31"/>
      <c r="C3" s="31"/>
      <c r="D3" s="31"/>
      <c r="E3" s="31"/>
    </row>
    <row r="6" spans="1:7" x14ac:dyDescent="0.25">
      <c r="A6" s="7" t="s">
        <v>393</v>
      </c>
      <c r="B6" t="s">
        <v>396</v>
      </c>
      <c r="C6" t="s">
        <v>397</v>
      </c>
      <c r="D6" t="s">
        <v>398</v>
      </c>
      <c r="E6" t="s">
        <v>399</v>
      </c>
      <c r="F6" t="s">
        <v>401</v>
      </c>
      <c r="G6" t="s">
        <v>400</v>
      </c>
    </row>
    <row r="7" spans="1:7" x14ac:dyDescent="0.25">
      <c r="A7" s="8" t="s">
        <v>21</v>
      </c>
      <c r="B7" s="1">
        <v>138793</v>
      </c>
      <c r="C7" s="1">
        <v>2891.5208333333335</v>
      </c>
      <c r="D7" s="1">
        <v>1846272</v>
      </c>
      <c r="E7" s="1">
        <v>38464</v>
      </c>
      <c r="F7" s="1">
        <v>134.04166666666666</v>
      </c>
      <c r="G7" s="1">
        <v>6434</v>
      </c>
    </row>
    <row r="8" spans="1:7" x14ac:dyDescent="0.25">
      <c r="A8" s="8" t="s">
        <v>31</v>
      </c>
      <c r="B8" s="1">
        <v>183346</v>
      </c>
      <c r="C8" s="1">
        <v>2736.5074626865671</v>
      </c>
      <c r="D8" s="1">
        <v>2266053</v>
      </c>
      <c r="E8" s="1">
        <v>33821.686567164179</v>
      </c>
      <c r="F8" s="1">
        <v>149.73134328358208</v>
      </c>
      <c r="G8" s="1">
        <v>10032</v>
      </c>
    </row>
    <row r="9" spans="1:7" x14ac:dyDescent="0.25">
      <c r="A9" s="8" t="s">
        <v>27</v>
      </c>
      <c r="B9" s="1">
        <v>159783</v>
      </c>
      <c r="C9" s="1">
        <v>2754.8793103448274</v>
      </c>
      <c r="D9" s="1">
        <v>1986356</v>
      </c>
      <c r="E9" s="1">
        <v>34247.517241379312</v>
      </c>
      <c r="F9" s="1">
        <v>170.20689655172413</v>
      </c>
      <c r="G9" s="1">
        <v>9872</v>
      </c>
    </row>
    <row r="10" spans="1:7" x14ac:dyDescent="0.25">
      <c r="A10" s="8" t="s">
        <v>37</v>
      </c>
      <c r="B10" s="1">
        <v>187909</v>
      </c>
      <c r="C10" s="1">
        <v>2646.605633802817</v>
      </c>
      <c r="D10" s="1">
        <v>2464864</v>
      </c>
      <c r="E10" s="1">
        <v>34716.394366197186</v>
      </c>
      <c r="F10" s="1">
        <v>150.54929577464787</v>
      </c>
      <c r="G10" s="1">
        <v>10689</v>
      </c>
    </row>
    <row r="11" spans="1:7" x14ac:dyDescent="0.25">
      <c r="A11" s="8" t="s">
        <v>395</v>
      </c>
      <c r="B11" s="1">
        <v>669831</v>
      </c>
      <c r="C11" s="1">
        <v>2745.2090163934427</v>
      </c>
      <c r="D11" s="1">
        <v>8563545</v>
      </c>
      <c r="E11" s="1">
        <v>35096.495901639348</v>
      </c>
      <c r="F11" s="1">
        <v>151.75</v>
      </c>
      <c r="G11" s="1">
        <v>37027</v>
      </c>
    </row>
    <row r="25" spans="5:9" x14ac:dyDescent="0.25">
      <c r="E25" s="32" t="s">
        <v>418</v>
      </c>
      <c r="F25" s="33"/>
      <c r="G25" s="33"/>
      <c r="H25" s="33"/>
      <c r="I25" s="33"/>
    </row>
    <row r="26" spans="5:9" x14ac:dyDescent="0.25">
      <c r="E26" s="33"/>
      <c r="F26" s="33"/>
      <c r="G26" s="33"/>
      <c r="H26" s="33"/>
      <c r="I26" s="33"/>
    </row>
    <row r="27" spans="5:9" x14ac:dyDescent="0.25">
      <c r="E27" s="33"/>
      <c r="F27" s="33"/>
      <c r="G27" s="33"/>
      <c r="H27" s="33"/>
      <c r="I27" s="33"/>
    </row>
    <row r="31" spans="5:9" x14ac:dyDescent="0.25">
      <c r="E31" s="7" t="s">
        <v>393</v>
      </c>
      <c r="F31" t="s">
        <v>402</v>
      </c>
      <c r="G31" t="s">
        <v>403</v>
      </c>
      <c r="H31" t="s">
        <v>404</v>
      </c>
      <c r="I31" t="s">
        <v>406</v>
      </c>
    </row>
    <row r="32" spans="5:9" x14ac:dyDescent="0.25">
      <c r="E32" s="8" t="s">
        <v>40</v>
      </c>
      <c r="F32" s="1">
        <v>0.14512249780643294</v>
      </c>
      <c r="G32" s="1">
        <v>0.1445636237064119</v>
      </c>
      <c r="H32" s="1">
        <v>-7.3009813503094517E-2</v>
      </c>
      <c r="I32" s="1">
        <v>-7.3009813503094517E-2</v>
      </c>
    </row>
    <row r="33" spans="5:9" x14ac:dyDescent="0.25">
      <c r="E33" s="9" t="s">
        <v>21</v>
      </c>
      <c r="F33" s="1">
        <v>0.14429188333001522</v>
      </c>
      <c r="G33" s="1">
        <v>0.14733207447931204</v>
      </c>
      <c r="H33" s="1">
        <v>-8.8921341177728971E-2</v>
      </c>
      <c r="I33" s="1">
        <v>-8.8921341177728971E-2</v>
      </c>
    </row>
    <row r="34" spans="5:9" x14ac:dyDescent="0.25">
      <c r="E34" s="9" t="s">
        <v>31</v>
      </c>
      <c r="F34" s="1">
        <v>0.13876724695973458</v>
      </c>
      <c r="G34" s="1">
        <v>0.12951826859861534</v>
      </c>
      <c r="H34" s="1">
        <v>-9.0689969571511458E-2</v>
      </c>
      <c r="I34" s="1">
        <v>-9.0689969571511458E-2</v>
      </c>
    </row>
    <row r="35" spans="5:9" x14ac:dyDescent="0.25">
      <c r="E35" s="9" t="s">
        <v>27</v>
      </c>
      <c r="F35" s="1">
        <v>0.15272271834758175</v>
      </c>
      <c r="G35" s="1">
        <v>0.16372884390253548</v>
      </c>
      <c r="H35" s="1">
        <v>-5.1859462585075143E-2</v>
      </c>
      <c r="I35" s="1">
        <v>-5.1859462585075143E-2</v>
      </c>
    </row>
    <row r="36" spans="5:9" x14ac:dyDescent="0.25">
      <c r="E36" s="9" t="s">
        <v>37</v>
      </c>
      <c r="F36" s="1">
        <v>0.14998421353386857</v>
      </c>
      <c r="G36" s="1">
        <v>0.13750437630616974</v>
      </c>
      <c r="H36" s="1">
        <v>-0.14596518046474369</v>
      </c>
      <c r="I36" s="1">
        <v>-0.14596518046474369</v>
      </c>
    </row>
    <row r="37" spans="5:9" x14ac:dyDescent="0.25">
      <c r="E37" s="9" t="s">
        <v>394</v>
      </c>
      <c r="F37" s="1">
        <v>0.1422345814004071</v>
      </c>
      <c r="G37" s="1">
        <v>0.15426227115890742</v>
      </c>
      <c r="H37" s="1">
        <v>2.5590919967778184E-2</v>
      </c>
      <c r="I37" s="1">
        <v>2.5590919967778184E-2</v>
      </c>
    </row>
    <row r="38" spans="5:9" x14ac:dyDescent="0.25">
      <c r="E38" s="8" t="s">
        <v>33</v>
      </c>
      <c r="F38" s="1">
        <v>0.14962161077098066</v>
      </c>
      <c r="G38" s="1">
        <v>0.14944188654846061</v>
      </c>
      <c r="H38" s="1">
        <v>-7.8242747233680743E-2</v>
      </c>
      <c r="I38" s="1">
        <v>-7.8242747233680743E-2</v>
      </c>
    </row>
    <row r="39" spans="5:9" x14ac:dyDescent="0.25">
      <c r="E39" s="9" t="s">
        <v>21</v>
      </c>
      <c r="F39" s="1">
        <v>0.15239502597264862</v>
      </c>
      <c r="G39" s="1">
        <v>0.15515286641156287</v>
      </c>
      <c r="H39" s="1">
        <v>-4.8083930651331389E-2</v>
      </c>
      <c r="I39" s="1">
        <v>-4.8083930651331389E-2</v>
      </c>
    </row>
    <row r="40" spans="5:9" x14ac:dyDescent="0.25">
      <c r="E40" s="9" t="s">
        <v>31</v>
      </c>
      <c r="F40" s="1">
        <v>0.14778435826994077</v>
      </c>
      <c r="G40" s="1">
        <v>0.16200910996743095</v>
      </c>
      <c r="H40" s="1">
        <v>5.211129168119181E-3</v>
      </c>
      <c r="I40" s="1">
        <v>5.211129168119181E-3</v>
      </c>
    </row>
    <row r="41" spans="5:9" x14ac:dyDescent="0.25">
      <c r="E41" s="9" t="s">
        <v>27</v>
      </c>
      <c r="F41" s="1">
        <v>0.14776209397788714</v>
      </c>
      <c r="G41" s="1">
        <v>0.14286656907217768</v>
      </c>
      <c r="H41" s="1">
        <v>-0.12260103376202691</v>
      </c>
      <c r="I41" s="1">
        <v>-0.12260103376202691</v>
      </c>
    </row>
    <row r="42" spans="5:9" x14ac:dyDescent="0.25">
      <c r="E42" s="9" t="s">
        <v>37</v>
      </c>
      <c r="F42" s="1">
        <v>0.14955919456029368</v>
      </c>
      <c r="G42" s="1">
        <v>0.14151155341884536</v>
      </c>
      <c r="H42" s="1">
        <v>-0.1194073636097686</v>
      </c>
      <c r="I42" s="1">
        <v>-0.1194073636097686</v>
      </c>
    </row>
    <row r="43" spans="5:9" x14ac:dyDescent="0.25">
      <c r="E43" s="9" t="s">
        <v>394</v>
      </c>
      <c r="F43" s="1">
        <v>0.15093288752996697</v>
      </c>
      <c r="G43" s="1">
        <v>0.14860317586280899</v>
      </c>
      <c r="H43" s="1">
        <v>-9.0387499405726407E-2</v>
      </c>
      <c r="I43" s="1">
        <v>-9.0387499405726407E-2</v>
      </c>
    </row>
    <row r="44" spans="5:9" x14ac:dyDescent="0.25">
      <c r="E44" s="8" t="s">
        <v>16</v>
      </c>
      <c r="F44" s="1">
        <v>0.1483538476096391</v>
      </c>
      <c r="G44" s="1">
        <v>0.14266351963900692</v>
      </c>
      <c r="H44" s="1">
        <v>-0.15201162726855971</v>
      </c>
      <c r="I44" s="1">
        <v>-0.15201162726855971</v>
      </c>
    </row>
    <row r="45" spans="5:9" x14ac:dyDescent="0.25">
      <c r="E45" s="9" t="s">
        <v>21</v>
      </c>
      <c r="F45" s="1">
        <v>0.1462430317445228</v>
      </c>
      <c r="G45" s="1">
        <v>0.140188444596449</v>
      </c>
      <c r="H45" s="1">
        <v>-7.3722105736862248E-2</v>
      </c>
      <c r="I45" s="1">
        <v>-7.3722105736862248E-2</v>
      </c>
    </row>
    <row r="46" spans="5:9" x14ac:dyDescent="0.25">
      <c r="E46" s="9" t="s">
        <v>31</v>
      </c>
      <c r="F46" s="1">
        <v>0.15763568016891738</v>
      </c>
      <c r="G46" s="1">
        <v>0.17364052010233305</v>
      </c>
      <c r="H46" s="1">
        <v>-4.2840373930649538E-2</v>
      </c>
      <c r="I46" s="1">
        <v>-4.2840373930649538E-2</v>
      </c>
    </row>
    <row r="47" spans="5:9" x14ac:dyDescent="0.25">
      <c r="E47" s="9" t="s">
        <v>27</v>
      </c>
      <c r="F47" s="1">
        <v>0.14220050636800641</v>
      </c>
      <c r="G47" s="1">
        <v>0.13728933556227033</v>
      </c>
      <c r="H47" s="1">
        <v>-9.3757711662168577E-2</v>
      </c>
      <c r="I47" s="1">
        <v>-9.3757711662168577E-2</v>
      </c>
    </row>
    <row r="48" spans="5:9" x14ac:dyDescent="0.25">
      <c r="E48" s="9" t="s">
        <v>37</v>
      </c>
      <c r="F48" s="1">
        <v>0.14564707256818138</v>
      </c>
      <c r="G48" s="1">
        <v>0.12917818000997663</v>
      </c>
      <c r="H48" s="1">
        <v>-0.289468931665465</v>
      </c>
      <c r="I48" s="1">
        <v>-0.289468931665465</v>
      </c>
    </row>
    <row r="49" spans="5:9" x14ac:dyDescent="0.25">
      <c r="E49" s="9" t="s">
        <v>394</v>
      </c>
      <c r="F49" s="1">
        <v>0.14928924022676604</v>
      </c>
      <c r="G49" s="1">
        <v>0.13629015924878965</v>
      </c>
      <c r="H49" s="1">
        <v>-0.1806086234773816</v>
      </c>
      <c r="I49" s="1">
        <v>-0.1806086234773816</v>
      </c>
    </row>
    <row r="50" spans="5:9" x14ac:dyDescent="0.25">
      <c r="E50" s="8" t="s">
        <v>29</v>
      </c>
      <c r="F50" s="1">
        <v>0.14847033782889296</v>
      </c>
      <c r="G50" s="1">
        <v>0.16131344548974769</v>
      </c>
      <c r="H50" s="1">
        <v>-4.4424457311398345E-2</v>
      </c>
      <c r="I50" s="1">
        <v>-4.4424457311398345E-2</v>
      </c>
    </row>
    <row r="51" spans="5:9" x14ac:dyDescent="0.25">
      <c r="E51" s="9" t="s">
        <v>21</v>
      </c>
      <c r="F51" s="1">
        <v>0.15348968486183842</v>
      </c>
      <c r="G51" s="1">
        <v>0.17096058961050964</v>
      </c>
      <c r="H51" s="1">
        <v>-1.0735231746211299E-2</v>
      </c>
      <c r="I51" s="1">
        <v>-1.0735231746211299E-2</v>
      </c>
    </row>
    <row r="52" spans="5:9" x14ac:dyDescent="0.25">
      <c r="E52" s="9" t="s">
        <v>31</v>
      </c>
      <c r="F52" s="1">
        <v>0.13999239226671253</v>
      </c>
      <c r="G52" s="1">
        <v>0.16746314452675734</v>
      </c>
      <c r="H52" s="1">
        <v>5.2072382763113274E-2</v>
      </c>
      <c r="I52" s="1">
        <v>5.2072382763113274E-2</v>
      </c>
    </row>
    <row r="53" spans="5:9" x14ac:dyDescent="0.25">
      <c r="E53" s="9" t="s">
        <v>27</v>
      </c>
      <c r="F53" s="1">
        <v>0.15171691693245526</v>
      </c>
      <c r="G53" s="1">
        <v>0.16563259241326433</v>
      </c>
      <c r="H53" s="1">
        <v>-6.0349797581579469E-2</v>
      </c>
      <c r="I53" s="1">
        <v>-6.0349797581579469E-2</v>
      </c>
    </row>
    <row r="54" spans="5:9" x14ac:dyDescent="0.25">
      <c r="E54" s="9" t="s">
        <v>37</v>
      </c>
      <c r="F54" s="1">
        <v>0.14933409857618066</v>
      </c>
      <c r="G54" s="1">
        <v>0.16867305059119755</v>
      </c>
      <c r="H54" s="1">
        <v>3.9265828052294581E-2</v>
      </c>
      <c r="I54" s="1">
        <v>3.9265828052294581E-2</v>
      </c>
    </row>
    <row r="55" spans="5:9" x14ac:dyDescent="0.25">
      <c r="E55" s="9" t="s">
        <v>394</v>
      </c>
      <c r="F55" s="1">
        <v>0.14925323620776734</v>
      </c>
      <c r="G55" s="1">
        <v>0.13338751391343512</v>
      </c>
      <c r="H55" s="1">
        <v>-0.24349358641756852</v>
      </c>
      <c r="I55" s="1">
        <v>-0.24349358641756852</v>
      </c>
    </row>
    <row r="56" spans="5:9" x14ac:dyDescent="0.25">
      <c r="E56" s="8" t="s">
        <v>395</v>
      </c>
      <c r="F56" s="1">
        <v>0.14781659487302526</v>
      </c>
      <c r="G56" s="1">
        <v>0.14864200380112413</v>
      </c>
      <c r="H56" s="1">
        <v>-8.956984362602112E-2</v>
      </c>
      <c r="I56" s="1">
        <v>-8.956984362602112E-2</v>
      </c>
    </row>
  </sheetData>
  <mergeCells count="2">
    <mergeCell ref="A1:E3"/>
    <mergeCell ref="E25:I27"/>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B75D-F40A-4A37-90E0-715802E1DF6E}">
  <dimension ref="A1:AE306"/>
  <sheetViews>
    <sheetView topLeftCell="A18" zoomScale="66" workbookViewId="0">
      <selection activeCell="D18" sqref="D18"/>
    </sheetView>
  </sheetViews>
  <sheetFormatPr defaultRowHeight="15" x14ac:dyDescent="0.25"/>
  <cols>
    <col min="1" max="1" width="30.140625" customWidth="1"/>
    <col min="2" max="2" width="24.85546875" customWidth="1"/>
    <col min="3" max="3" width="31" customWidth="1"/>
    <col min="4" max="4" width="28.42578125" customWidth="1"/>
    <col min="27" max="27" width="18.42578125" customWidth="1"/>
    <col min="28" max="28" width="13.85546875" customWidth="1"/>
    <col min="30" max="30" width="12.85546875" bestFit="1" customWidth="1"/>
    <col min="31" max="31" width="8.28515625" bestFit="1" customWidth="1"/>
  </cols>
  <sheetData>
    <row r="1" spans="1:27" x14ac:dyDescent="0.25">
      <c r="G1" s="31" t="s">
        <v>419</v>
      </c>
      <c r="H1" s="31"/>
      <c r="I1" s="31"/>
      <c r="J1" s="31"/>
      <c r="K1" s="31"/>
      <c r="L1" s="31"/>
    </row>
    <row r="2" spans="1:27" x14ac:dyDescent="0.25">
      <c r="G2" s="31"/>
      <c r="H2" s="31"/>
      <c r="I2" s="31"/>
      <c r="J2" s="31"/>
      <c r="K2" s="31"/>
      <c r="L2" s="31"/>
    </row>
    <row r="3" spans="1:27" x14ac:dyDescent="0.25">
      <c r="G3" s="31"/>
      <c r="H3" s="31"/>
      <c r="I3" s="31"/>
      <c r="J3" s="31"/>
      <c r="K3" s="31"/>
      <c r="L3" s="31"/>
    </row>
    <row r="5" spans="1:27" ht="23.25" x14ac:dyDescent="0.35">
      <c r="A5" s="22" t="s">
        <v>14</v>
      </c>
      <c r="B5" s="22" t="s">
        <v>368</v>
      </c>
      <c r="C5" s="27" t="s">
        <v>416</v>
      </c>
      <c r="D5" s="27" t="s">
        <v>413</v>
      </c>
    </row>
    <row r="6" spans="1:27" ht="23.25" x14ac:dyDescent="0.35">
      <c r="A6" s="25" t="s">
        <v>21</v>
      </c>
      <c r="B6" s="23">
        <v>150000</v>
      </c>
      <c r="C6" s="27">
        <f>SUMIFS(Posts_Cleaned[Likes],Posts_Cleaned[Campaign_Name],"CybertruckLaunch")+SUMIFS(Posts_Cleaned[Shares],Posts_Cleaned[Campaign_Name],"CybertruckLaunch")+SUMIFS(Posts_Cleaned[Comments],Posts_Cleaned[Campaign_Name],"CybertruckLaunch")+SUMIFS(Posts_Cleaned[Clicks],Posts_Cleaned[Campaign_Name],"CybertruckLaunch")</f>
        <v>180335</v>
      </c>
      <c r="D6" s="27">
        <f>C6/B6</f>
        <v>1.2022333333333333</v>
      </c>
      <c r="AA6" s="1"/>
    </row>
    <row r="7" spans="1:27" ht="23.25" x14ac:dyDescent="0.35">
      <c r="A7" s="26" t="s">
        <v>27</v>
      </c>
      <c r="B7" s="24">
        <v>200000</v>
      </c>
      <c r="C7" s="27">
        <f>SUMIFS(Posts_Cleaned[Likes],Posts_Cleaned[Campaign_Name],"ModelYCampaign")+SUMIFS(Posts_Cleaned[Shares],Posts_Cleaned[Campaign_Name],"ModelYCampaign")+SUMIFS(Posts_Cleaned[Comments],Posts_Cleaned[Campaign_Name],"ModelYCampaign")+SUMIFS(Posts_Cleaned[Clicks],Posts_Cleaned[Campaign_Name],"ModelYCampaign")</f>
        <v>211611</v>
      </c>
      <c r="D7" s="27">
        <f t="shared" ref="D7:D9" si="0">C7/B7</f>
        <v>1.058055</v>
      </c>
      <c r="AA7" s="1"/>
    </row>
    <row r="8" spans="1:27" ht="23.25" x14ac:dyDescent="0.35">
      <c r="A8" s="25" t="s">
        <v>31</v>
      </c>
      <c r="B8" s="23">
        <v>250000</v>
      </c>
      <c r="C8" s="27">
        <f>SUMIFS(Posts_Cleaned[Likes],Posts_Cleaned[Campaign_Name],"FSDUpdate")+SUMIFS(Posts_Cleaned[Shares],Posts_Cleaned[Campaign_Name],"FSDUPdate")+SUMIFS(Posts_Cleaned[Comments],Posts_Cleaned[Campaign_Name],"FSDUPdate")+SUMIFS(Posts_Cleaned[Clicks],Posts_Cleaned[Campaign_Name],"FSDUPdate")</f>
        <v>242853</v>
      </c>
      <c r="D8" s="27">
        <f t="shared" si="0"/>
        <v>0.97141200000000005</v>
      </c>
      <c r="AA8" s="1"/>
    </row>
    <row r="9" spans="1:27" ht="23.25" x14ac:dyDescent="0.35">
      <c r="A9" s="26" t="s">
        <v>37</v>
      </c>
      <c r="B9" s="24">
        <v>180000</v>
      </c>
      <c r="C9" s="27">
        <f>SUMIFS(Posts_Cleaned[Likes],Posts_Cleaned[Campaign_Name],"SustainabilityDrive")+SUMIFS(Posts_Cleaned[Shares],Posts_Cleaned[Campaign_Name],"SustainabilityDrive")+SUMIFS(Posts_Cleaned[Comments],Posts_Cleaned[Campaign_Name],"SustainabilityDrive")+SUMIFS(Posts_Cleaned[Clicks],Posts_Cleaned[Campaign_Name],"SustainabilityDrive")</f>
        <v>251172</v>
      </c>
      <c r="D9" s="27">
        <f t="shared" si="0"/>
        <v>1.3954</v>
      </c>
      <c r="AA9" s="1"/>
    </row>
    <row r="10" spans="1:27" x14ac:dyDescent="0.25">
      <c r="AA10" s="1"/>
    </row>
    <row r="11" spans="1:27" x14ac:dyDescent="0.25">
      <c r="AA11" s="1"/>
    </row>
    <row r="12" spans="1:27" x14ac:dyDescent="0.25">
      <c r="AA12" s="1"/>
    </row>
    <row r="13" spans="1:27" x14ac:dyDescent="0.25">
      <c r="AA13" s="1"/>
    </row>
    <row r="14" spans="1:27" ht="15.75" x14ac:dyDescent="0.25">
      <c r="C14" s="18" t="s">
        <v>393</v>
      </c>
      <c r="D14" s="19" t="s">
        <v>414</v>
      </c>
      <c r="AA14" s="1"/>
    </row>
    <row r="15" spans="1:27" ht="15.75" x14ac:dyDescent="0.25">
      <c r="C15" s="20" t="s">
        <v>21</v>
      </c>
      <c r="D15" s="21">
        <v>1.2022333333333333</v>
      </c>
      <c r="AA15" s="1"/>
    </row>
    <row r="16" spans="1:27" ht="15.75" x14ac:dyDescent="0.25">
      <c r="C16" s="20" t="s">
        <v>31</v>
      </c>
      <c r="D16" s="21">
        <v>0.97141200000000005</v>
      </c>
      <c r="AA16" s="1"/>
    </row>
    <row r="17" spans="3:27" ht="15.75" x14ac:dyDescent="0.25">
      <c r="C17" s="20" t="s">
        <v>27</v>
      </c>
      <c r="D17" s="21">
        <v>1.058055</v>
      </c>
      <c r="AA17" s="1"/>
    </row>
    <row r="18" spans="3:27" ht="15.75" x14ac:dyDescent="0.25">
      <c r="C18" s="20" t="s">
        <v>37</v>
      </c>
      <c r="D18" s="21">
        <v>1.3954</v>
      </c>
      <c r="AA18" s="1"/>
    </row>
    <row r="19" spans="3:27" x14ac:dyDescent="0.25">
      <c r="C19" s="8" t="s">
        <v>395</v>
      </c>
      <c r="D19" s="1">
        <v>4.6271003333333329</v>
      </c>
      <c r="AA19" s="1"/>
    </row>
    <row r="20" spans="3:27" x14ac:dyDescent="0.25">
      <c r="AA20" s="1"/>
    </row>
    <row r="21" spans="3:27" x14ac:dyDescent="0.25">
      <c r="AA21" s="1"/>
    </row>
    <row r="22" spans="3:27" x14ac:dyDescent="0.25">
      <c r="AA22" s="1"/>
    </row>
    <row r="23" spans="3:27" x14ac:dyDescent="0.25">
      <c r="AA23" s="1"/>
    </row>
    <row r="24" spans="3:27" x14ac:dyDescent="0.25">
      <c r="AA24" s="1"/>
    </row>
    <row r="25" spans="3:27" x14ac:dyDescent="0.25">
      <c r="AA25" s="1"/>
    </row>
    <row r="26" spans="3:27" x14ac:dyDescent="0.25">
      <c r="AA26" s="1"/>
    </row>
    <row r="27" spans="3:27" x14ac:dyDescent="0.25">
      <c r="AA27" s="1"/>
    </row>
    <row r="28" spans="3:27" x14ac:dyDescent="0.25">
      <c r="AA28" s="1"/>
    </row>
    <row r="29" spans="3:27" x14ac:dyDescent="0.25">
      <c r="AA29" s="1"/>
    </row>
    <row r="30" spans="3:27" x14ac:dyDescent="0.25">
      <c r="AA30" s="1"/>
    </row>
    <row r="31" spans="3:27" x14ac:dyDescent="0.25">
      <c r="AA31" s="1"/>
    </row>
    <row r="32" spans="3:27" x14ac:dyDescent="0.25">
      <c r="AA32" s="1"/>
    </row>
    <row r="33" spans="27:27" x14ac:dyDescent="0.25">
      <c r="AA33" s="1"/>
    </row>
    <row r="34" spans="27:27" x14ac:dyDescent="0.25">
      <c r="AA34" s="1"/>
    </row>
    <row r="35" spans="27:27" x14ac:dyDescent="0.25">
      <c r="AA35" s="1"/>
    </row>
    <row r="36" spans="27:27" x14ac:dyDescent="0.25">
      <c r="AA36" s="1"/>
    </row>
    <row r="37" spans="27:27" x14ac:dyDescent="0.25">
      <c r="AA37" s="1"/>
    </row>
    <row r="38" spans="27:27" x14ac:dyDescent="0.25">
      <c r="AA38" s="1"/>
    </row>
    <row r="39" spans="27:27" x14ac:dyDescent="0.25">
      <c r="AA39" s="1"/>
    </row>
    <row r="40" spans="27:27" x14ac:dyDescent="0.25">
      <c r="AA40" s="1"/>
    </row>
    <row r="41" spans="27:27" x14ac:dyDescent="0.25">
      <c r="AA41" s="1"/>
    </row>
    <row r="42" spans="27:27" x14ac:dyDescent="0.25">
      <c r="AA42" s="1"/>
    </row>
    <row r="43" spans="27:27" x14ac:dyDescent="0.25">
      <c r="AA43" s="1"/>
    </row>
    <row r="44" spans="27:27" x14ac:dyDescent="0.25">
      <c r="AA44" s="1"/>
    </row>
    <row r="45" spans="27:27" x14ac:dyDescent="0.25">
      <c r="AA45" s="1"/>
    </row>
    <row r="46" spans="27:27" x14ac:dyDescent="0.25">
      <c r="AA46" s="1"/>
    </row>
    <row r="47" spans="27:27" x14ac:dyDescent="0.25">
      <c r="AA47" s="1"/>
    </row>
    <row r="48" spans="27:27" x14ac:dyDescent="0.25">
      <c r="AA48" s="1"/>
    </row>
    <row r="49" spans="27:27" x14ac:dyDescent="0.25">
      <c r="AA49" s="1"/>
    </row>
    <row r="50" spans="27:27" x14ac:dyDescent="0.25">
      <c r="AA50" s="1"/>
    </row>
    <row r="51" spans="27:27" x14ac:dyDescent="0.25">
      <c r="AA51" s="1"/>
    </row>
    <row r="52" spans="27:27" x14ac:dyDescent="0.25">
      <c r="AA52" s="1"/>
    </row>
    <row r="53" spans="27:27" x14ac:dyDescent="0.25">
      <c r="AA53" s="1"/>
    </row>
    <row r="54" spans="27:27" x14ac:dyDescent="0.25">
      <c r="AA54" s="1"/>
    </row>
    <row r="55" spans="27:27" x14ac:dyDescent="0.25">
      <c r="AA55" s="1"/>
    </row>
    <row r="56" spans="27:27" x14ac:dyDescent="0.25">
      <c r="AA56" s="1"/>
    </row>
    <row r="57" spans="27:27" x14ac:dyDescent="0.25">
      <c r="AA57" s="1"/>
    </row>
    <row r="58" spans="27:27" x14ac:dyDescent="0.25">
      <c r="AA58" s="1"/>
    </row>
    <row r="59" spans="27:27" x14ac:dyDescent="0.25">
      <c r="AA59" s="1"/>
    </row>
    <row r="60" spans="27:27" x14ac:dyDescent="0.25">
      <c r="AA60" s="1"/>
    </row>
    <row r="61" spans="27:27" x14ac:dyDescent="0.25">
      <c r="AA61" s="1"/>
    </row>
    <row r="62" spans="27:27" x14ac:dyDescent="0.25">
      <c r="AA62" s="1"/>
    </row>
    <row r="63" spans="27:27" x14ac:dyDescent="0.25">
      <c r="AA63" s="1"/>
    </row>
    <row r="64" spans="27:27" x14ac:dyDescent="0.25">
      <c r="AA64" s="1"/>
    </row>
    <row r="65" spans="27:27" x14ac:dyDescent="0.25">
      <c r="AA65" s="1"/>
    </row>
    <row r="66" spans="27:27" x14ac:dyDescent="0.25">
      <c r="AA66" s="1"/>
    </row>
    <row r="67" spans="27:27" x14ac:dyDescent="0.25">
      <c r="AA67" s="1"/>
    </row>
    <row r="68" spans="27:27" x14ac:dyDescent="0.25">
      <c r="AA68" s="1"/>
    </row>
    <row r="69" spans="27:27" x14ac:dyDescent="0.25">
      <c r="AA69" s="1"/>
    </row>
    <row r="70" spans="27:27" x14ac:dyDescent="0.25">
      <c r="AA70" s="1"/>
    </row>
    <row r="71" spans="27:27" x14ac:dyDescent="0.25">
      <c r="AA71" s="1"/>
    </row>
    <row r="72" spans="27:27" x14ac:dyDescent="0.25">
      <c r="AA72" s="1"/>
    </row>
    <row r="73" spans="27:27" x14ac:dyDescent="0.25">
      <c r="AA73" s="1"/>
    </row>
    <row r="74" spans="27:27" x14ac:dyDescent="0.25">
      <c r="AA74" s="1"/>
    </row>
    <row r="75" spans="27:27" x14ac:dyDescent="0.25">
      <c r="AA75" s="1"/>
    </row>
    <row r="76" spans="27:27" x14ac:dyDescent="0.25">
      <c r="AA76" s="1"/>
    </row>
    <row r="77" spans="27:27" x14ac:dyDescent="0.25">
      <c r="AA77" s="1"/>
    </row>
    <row r="78" spans="27:27" x14ac:dyDescent="0.25">
      <c r="AA78" s="1"/>
    </row>
    <row r="79" spans="27:27" x14ac:dyDescent="0.25">
      <c r="AA79" s="1"/>
    </row>
    <row r="80" spans="27:27" x14ac:dyDescent="0.25">
      <c r="AA80" s="1"/>
    </row>
    <row r="81" spans="27:27" x14ac:dyDescent="0.25">
      <c r="AA81" s="1"/>
    </row>
    <row r="82" spans="27:27" x14ac:dyDescent="0.25">
      <c r="AA82" s="1"/>
    </row>
    <row r="83" spans="27:27" x14ac:dyDescent="0.25">
      <c r="AA83" s="1"/>
    </row>
    <row r="84" spans="27:27" x14ac:dyDescent="0.25">
      <c r="AA84" s="1"/>
    </row>
    <row r="85" spans="27:27" x14ac:dyDescent="0.25">
      <c r="AA85" s="1"/>
    </row>
    <row r="86" spans="27:27" x14ac:dyDescent="0.25">
      <c r="AA86" s="1"/>
    </row>
    <row r="87" spans="27:27" x14ac:dyDescent="0.25">
      <c r="AA87" s="1"/>
    </row>
    <row r="88" spans="27:27" x14ac:dyDescent="0.25">
      <c r="AA88" s="1"/>
    </row>
    <row r="89" spans="27:27" x14ac:dyDescent="0.25">
      <c r="AA89" s="1"/>
    </row>
    <row r="90" spans="27:27" x14ac:dyDescent="0.25">
      <c r="AA90" s="1"/>
    </row>
    <row r="91" spans="27:27" x14ac:dyDescent="0.25">
      <c r="AA91" s="1"/>
    </row>
    <row r="92" spans="27:27" x14ac:dyDescent="0.25">
      <c r="AA92" s="1"/>
    </row>
    <row r="93" spans="27:27" x14ac:dyDescent="0.25">
      <c r="AA93" s="1"/>
    </row>
    <row r="94" spans="27:27" x14ac:dyDescent="0.25">
      <c r="AA94" s="1"/>
    </row>
    <row r="95" spans="27:27" x14ac:dyDescent="0.25">
      <c r="AA95" s="1"/>
    </row>
    <row r="96" spans="27:27" x14ac:dyDescent="0.25">
      <c r="AA96" s="1"/>
    </row>
    <row r="97" spans="27:27" x14ac:dyDescent="0.25">
      <c r="AA97" s="1"/>
    </row>
    <row r="98" spans="27:27" x14ac:dyDescent="0.25">
      <c r="AA98" s="1"/>
    </row>
    <row r="99" spans="27:27" x14ac:dyDescent="0.25">
      <c r="AA99" s="1"/>
    </row>
    <row r="100" spans="27:27" x14ac:dyDescent="0.25">
      <c r="AA100" s="1"/>
    </row>
    <row r="101" spans="27:27" x14ac:dyDescent="0.25">
      <c r="AA101" s="1"/>
    </row>
    <row r="102" spans="27:27" x14ac:dyDescent="0.25">
      <c r="AA102" s="1"/>
    </row>
    <row r="103" spans="27:27" x14ac:dyDescent="0.25">
      <c r="AA103" s="1"/>
    </row>
    <row r="104" spans="27:27" x14ac:dyDescent="0.25">
      <c r="AA104" s="1"/>
    </row>
    <row r="105" spans="27:27" x14ac:dyDescent="0.25">
      <c r="AA105" s="1"/>
    </row>
    <row r="106" spans="27:27" x14ac:dyDescent="0.25">
      <c r="AA106" s="1"/>
    </row>
    <row r="107" spans="27:27" x14ac:dyDescent="0.25">
      <c r="AA107" s="1"/>
    </row>
    <row r="108" spans="27:27" x14ac:dyDescent="0.25">
      <c r="AA108" s="1"/>
    </row>
    <row r="109" spans="27:27" x14ac:dyDescent="0.25">
      <c r="AA109" s="1"/>
    </row>
    <row r="110" spans="27:27" x14ac:dyDescent="0.25">
      <c r="AA110" s="1"/>
    </row>
    <row r="111" spans="27:27" x14ac:dyDescent="0.25">
      <c r="AA111" s="1"/>
    </row>
    <row r="112" spans="27:27" x14ac:dyDescent="0.25">
      <c r="AA112" s="1"/>
    </row>
    <row r="113" spans="27:27" x14ac:dyDescent="0.25">
      <c r="AA113" s="1"/>
    </row>
    <row r="114" spans="27:27" x14ac:dyDescent="0.25">
      <c r="AA114" s="1"/>
    </row>
    <row r="115" spans="27:27" x14ac:dyDescent="0.25">
      <c r="AA115" s="1"/>
    </row>
    <row r="116" spans="27:27" x14ac:dyDescent="0.25">
      <c r="AA116" s="1"/>
    </row>
    <row r="117" spans="27:27" x14ac:dyDescent="0.25">
      <c r="AA117" s="1"/>
    </row>
    <row r="118" spans="27:27" x14ac:dyDescent="0.25">
      <c r="AA118" s="1"/>
    </row>
    <row r="119" spans="27:27" x14ac:dyDescent="0.25">
      <c r="AA119" s="1"/>
    </row>
    <row r="120" spans="27:27" x14ac:dyDescent="0.25">
      <c r="AA120" s="1"/>
    </row>
    <row r="121" spans="27:27" x14ac:dyDescent="0.25">
      <c r="AA121" s="1"/>
    </row>
    <row r="122" spans="27:27" x14ac:dyDescent="0.25">
      <c r="AA122" s="1"/>
    </row>
    <row r="123" spans="27:27" x14ac:dyDescent="0.25">
      <c r="AA123" s="1"/>
    </row>
    <row r="124" spans="27:27" x14ac:dyDescent="0.25">
      <c r="AA124" s="1"/>
    </row>
    <row r="125" spans="27:27" x14ac:dyDescent="0.25">
      <c r="AA125" s="1"/>
    </row>
    <row r="126" spans="27:27" x14ac:dyDescent="0.25">
      <c r="AA126" s="1"/>
    </row>
    <row r="127" spans="27:27" x14ac:dyDescent="0.25">
      <c r="AA127" s="1"/>
    </row>
    <row r="128" spans="27:27" x14ac:dyDescent="0.25">
      <c r="AA128" s="1"/>
    </row>
    <row r="129" spans="27:27" x14ac:dyDescent="0.25">
      <c r="AA129" s="1"/>
    </row>
    <row r="130" spans="27:27" x14ac:dyDescent="0.25">
      <c r="AA130" s="1"/>
    </row>
    <row r="131" spans="27:27" x14ac:dyDescent="0.25">
      <c r="AA131" s="1"/>
    </row>
    <row r="132" spans="27:27" x14ac:dyDescent="0.25">
      <c r="AA132" s="1"/>
    </row>
    <row r="133" spans="27:27" x14ac:dyDescent="0.25">
      <c r="AA133" s="1"/>
    </row>
    <row r="134" spans="27:27" x14ac:dyDescent="0.25">
      <c r="AA134" s="1"/>
    </row>
    <row r="135" spans="27:27" x14ac:dyDescent="0.25">
      <c r="AA135" s="1"/>
    </row>
    <row r="136" spans="27:27" x14ac:dyDescent="0.25">
      <c r="AA136" s="1"/>
    </row>
    <row r="137" spans="27:27" x14ac:dyDescent="0.25">
      <c r="AA137" s="1"/>
    </row>
    <row r="138" spans="27:27" x14ac:dyDescent="0.25">
      <c r="AA138" s="1"/>
    </row>
    <row r="139" spans="27:27" x14ac:dyDescent="0.25">
      <c r="AA139" s="1"/>
    </row>
    <row r="140" spans="27:27" x14ac:dyDescent="0.25">
      <c r="AA140" s="1"/>
    </row>
    <row r="141" spans="27:27" x14ac:dyDescent="0.25">
      <c r="AA141" s="1"/>
    </row>
    <row r="142" spans="27:27" x14ac:dyDescent="0.25">
      <c r="AA142" s="1"/>
    </row>
    <row r="143" spans="27:27" x14ac:dyDescent="0.25">
      <c r="AA143" s="1"/>
    </row>
    <row r="144" spans="27:27" x14ac:dyDescent="0.25">
      <c r="AA144" s="1"/>
    </row>
    <row r="145" spans="27:27" x14ac:dyDescent="0.25">
      <c r="AA145" s="1"/>
    </row>
    <row r="146" spans="27:27" x14ac:dyDescent="0.25">
      <c r="AA146" s="1"/>
    </row>
    <row r="147" spans="27:27" x14ac:dyDescent="0.25">
      <c r="AA147" s="1"/>
    </row>
    <row r="148" spans="27:27" x14ac:dyDescent="0.25">
      <c r="AA148" s="1"/>
    </row>
    <row r="149" spans="27:27" x14ac:dyDescent="0.25">
      <c r="AA149" s="1"/>
    </row>
    <row r="150" spans="27:27" x14ac:dyDescent="0.25">
      <c r="AA150" s="1"/>
    </row>
    <row r="151" spans="27:27" x14ac:dyDescent="0.25">
      <c r="AA151" s="1"/>
    </row>
    <row r="152" spans="27:27" x14ac:dyDescent="0.25">
      <c r="AA152" s="1"/>
    </row>
    <row r="153" spans="27:27" x14ac:dyDescent="0.25">
      <c r="AA153" s="1"/>
    </row>
    <row r="154" spans="27:27" x14ac:dyDescent="0.25">
      <c r="AA154" s="1"/>
    </row>
    <row r="155" spans="27:27" x14ac:dyDescent="0.25">
      <c r="AA155" s="1"/>
    </row>
    <row r="156" spans="27:27" x14ac:dyDescent="0.25">
      <c r="AA156" s="1"/>
    </row>
    <row r="157" spans="27:27" x14ac:dyDescent="0.25">
      <c r="AA157" s="1"/>
    </row>
    <row r="158" spans="27:27" x14ac:dyDescent="0.25">
      <c r="AA158" s="1"/>
    </row>
    <row r="159" spans="27:27" x14ac:dyDescent="0.25">
      <c r="AA159" s="1"/>
    </row>
    <row r="160" spans="27:27" x14ac:dyDescent="0.25">
      <c r="AA160" s="1"/>
    </row>
    <row r="161" spans="27:27" x14ac:dyDescent="0.25">
      <c r="AA161" s="1"/>
    </row>
    <row r="162" spans="27:27" x14ac:dyDescent="0.25">
      <c r="AA162" s="1"/>
    </row>
    <row r="163" spans="27:27" x14ac:dyDescent="0.25">
      <c r="AA163" s="1"/>
    </row>
    <row r="164" spans="27:27" x14ac:dyDescent="0.25">
      <c r="AA164" s="1"/>
    </row>
    <row r="165" spans="27:27" x14ac:dyDescent="0.25">
      <c r="AA165" s="1"/>
    </row>
    <row r="166" spans="27:27" x14ac:dyDescent="0.25">
      <c r="AA166" s="1"/>
    </row>
    <row r="167" spans="27:27" x14ac:dyDescent="0.25">
      <c r="AA167" s="1"/>
    </row>
    <row r="168" spans="27:27" x14ac:dyDescent="0.25">
      <c r="AA168" s="1"/>
    </row>
    <row r="169" spans="27:27" x14ac:dyDescent="0.25">
      <c r="AA169" s="1"/>
    </row>
    <row r="170" spans="27:27" x14ac:dyDescent="0.25">
      <c r="AA170" s="1"/>
    </row>
    <row r="171" spans="27:27" x14ac:dyDescent="0.25">
      <c r="AA171" s="1"/>
    </row>
    <row r="172" spans="27:27" x14ac:dyDescent="0.25">
      <c r="AA172" s="1"/>
    </row>
    <row r="173" spans="27:27" x14ac:dyDescent="0.25">
      <c r="AA173" s="1"/>
    </row>
    <row r="174" spans="27:27" x14ac:dyDescent="0.25">
      <c r="AA174" s="1"/>
    </row>
    <row r="175" spans="27:27" x14ac:dyDescent="0.25">
      <c r="AA175" s="1"/>
    </row>
    <row r="176" spans="27:27" x14ac:dyDescent="0.25">
      <c r="AA176" s="1"/>
    </row>
    <row r="177" spans="27:27" x14ac:dyDescent="0.25">
      <c r="AA177" s="1"/>
    </row>
    <row r="178" spans="27:27" x14ac:dyDescent="0.25">
      <c r="AA178" s="1"/>
    </row>
    <row r="179" spans="27:27" x14ac:dyDescent="0.25">
      <c r="AA179" s="1"/>
    </row>
    <row r="180" spans="27:27" x14ac:dyDescent="0.25">
      <c r="AA180" s="1"/>
    </row>
    <row r="181" spans="27:27" x14ac:dyDescent="0.25">
      <c r="AA181" s="1"/>
    </row>
    <row r="182" spans="27:27" x14ac:dyDescent="0.25">
      <c r="AA182" s="1"/>
    </row>
    <row r="183" spans="27:27" x14ac:dyDescent="0.25">
      <c r="AA183" s="1"/>
    </row>
    <row r="184" spans="27:27" x14ac:dyDescent="0.25">
      <c r="AA184" s="1"/>
    </row>
    <row r="185" spans="27:27" x14ac:dyDescent="0.25">
      <c r="AA185" s="1"/>
    </row>
    <row r="186" spans="27:27" x14ac:dyDescent="0.25">
      <c r="AA186" s="1"/>
    </row>
    <row r="187" spans="27:27" x14ac:dyDescent="0.25">
      <c r="AA187" s="1"/>
    </row>
    <row r="188" spans="27:27" x14ac:dyDescent="0.25">
      <c r="AA188" s="1"/>
    </row>
    <row r="189" spans="27:27" x14ac:dyDescent="0.25">
      <c r="AA189" s="1"/>
    </row>
    <row r="190" spans="27:27" x14ac:dyDescent="0.25">
      <c r="AA190" s="1"/>
    </row>
    <row r="191" spans="27:27" x14ac:dyDescent="0.25">
      <c r="AA191" s="1"/>
    </row>
    <row r="192" spans="27:27" x14ac:dyDescent="0.25">
      <c r="AA192" s="1"/>
    </row>
    <row r="193" spans="27:27" x14ac:dyDescent="0.25">
      <c r="AA193" s="1"/>
    </row>
    <row r="194" spans="27:27" x14ac:dyDescent="0.25">
      <c r="AA194" s="1"/>
    </row>
    <row r="195" spans="27:27" x14ac:dyDescent="0.25">
      <c r="AA195" s="1"/>
    </row>
    <row r="196" spans="27:27" x14ac:dyDescent="0.25">
      <c r="AA196" s="1"/>
    </row>
    <row r="197" spans="27:27" x14ac:dyDescent="0.25">
      <c r="AA197" s="1"/>
    </row>
    <row r="198" spans="27:27" x14ac:dyDescent="0.25">
      <c r="AA198" s="1"/>
    </row>
    <row r="199" spans="27:27" x14ac:dyDescent="0.25">
      <c r="AA199" s="1"/>
    </row>
    <row r="200" spans="27:27" x14ac:dyDescent="0.25">
      <c r="AA200" s="1"/>
    </row>
    <row r="201" spans="27:27" x14ac:dyDescent="0.25">
      <c r="AA201" s="1"/>
    </row>
    <row r="202" spans="27:27" x14ac:dyDescent="0.25">
      <c r="AA202" s="1"/>
    </row>
    <row r="203" spans="27:27" x14ac:dyDescent="0.25">
      <c r="AA203" s="1"/>
    </row>
    <row r="204" spans="27:27" x14ac:dyDescent="0.25">
      <c r="AA204" s="1"/>
    </row>
    <row r="205" spans="27:27" x14ac:dyDescent="0.25">
      <c r="AA205" s="1"/>
    </row>
    <row r="206" spans="27:27" x14ac:dyDescent="0.25">
      <c r="AA206" s="1"/>
    </row>
    <row r="207" spans="27:27" x14ac:dyDescent="0.25">
      <c r="AA207" s="1"/>
    </row>
    <row r="208" spans="27:27" x14ac:dyDescent="0.25">
      <c r="AA208" s="1"/>
    </row>
    <row r="209" spans="27:31" x14ac:dyDescent="0.25">
      <c r="AA209" s="1"/>
    </row>
    <row r="210" spans="27:31" x14ac:dyDescent="0.25">
      <c r="AA210" s="1"/>
    </row>
    <row r="211" spans="27:31" x14ac:dyDescent="0.25">
      <c r="AA211" s="1"/>
    </row>
    <row r="212" spans="27:31" x14ac:dyDescent="0.25">
      <c r="AA212" s="1"/>
    </row>
    <row r="213" spans="27:31" x14ac:dyDescent="0.25">
      <c r="AA213" s="1"/>
    </row>
    <row r="214" spans="27:31" x14ac:dyDescent="0.25">
      <c r="AA214" s="1"/>
    </row>
    <row r="215" spans="27:31" x14ac:dyDescent="0.25">
      <c r="AA215" s="1"/>
    </row>
    <row r="216" spans="27:31" x14ac:dyDescent="0.25">
      <c r="AA216" s="1"/>
    </row>
    <row r="217" spans="27:31" x14ac:dyDescent="0.25">
      <c r="AA217" s="1"/>
    </row>
    <row r="218" spans="27:31" x14ac:dyDescent="0.25">
      <c r="AA218" s="1"/>
    </row>
    <row r="219" spans="27:31" x14ac:dyDescent="0.25">
      <c r="AA219" s="1"/>
    </row>
    <row r="220" spans="27:31" x14ac:dyDescent="0.25">
      <c r="AA220" s="1"/>
    </row>
    <row r="221" spans="27:31" x14ac:dyDescent="0.25">
      <c r="AA221" s="1"/>
    </row>
    <row r="222" spans="27:31" x14ac:dyDescent="0.25">
      <c r="AA222" s="1"/>
      <c r="AB222">
        <v>4606</v>
      </c>
      <c r="AC222">
        <v>931</v>
      </c>
      <c r="AD222">
        <v>230</v>
      </c>
      <c r="AE222">
        <v>56</v>
      </c>
    </row>
    <row r="223" spans="27:31" x14ac:dyDescent="0.25">
      <c r="AA223" s="1"/>
    </row>
    <row r="224" spans="27:31" x14ac:dyDescent="0.25">
      <c r="AA224" s="1"/>
    </row>
    <row r="225" spans="27:31" x14ac:dyDescent="0.25">
      <c r="AA225" s="1"/>
      <c r="AB225">
        <v>84</v>
      </c>
      <c r="AC225">
        <v>897</v>
      </c>
      <c r="AD225">
        <v>85</v>
      </c>
      <c r="AE225">
        <v>12</v>
      </c>
    </row>
    <row r="226" spans="27:31" x14ac:dyDescent="0.25">
      <c r="AA226" s="1"/>
      <c r="AB226">
        <v>4453</v>
      </c>
      <c r="AC226">
        <v>111</v>
      </c>
      <c r="AD226">
        <v>420</v>
      </c>
      <c r="AE226">
        <v>23</v>
      </c>
    </row>
    <row r="227" spans="27:31" x14ac:dyDescent="0.25">
      <c r="AA227" s="1"/>
    </row>
    <row r="228" spans="27:31" x14ac:dyDescent="0.25">
      <c r="AA228" s="1"/>
      <c r="AB228">
        <v>3338</v>
      </c>
      <c r="AC228">
        <v>277</v>
      </c>
      <c r="AD228">
        <v>118</v>
      </c>
      <c r="AE228">
        <v>252</v>
      </c>
    </row>
    <row r="229" spans="27:31" x14ac:dyDescent="0.25">
      <c r="AA229" s="1"/>
    </row>
    <row r="230" spans="27:31" x14ac:dyDescent="0.25">
      <c r="AA230" s="1"/>
      <c r="AB230">
        <v>4672</v>
      </c>
      <c r="AC230">
        <v>325</v>
      </c>
      <c r="AD230">
        <v>32</v>
      </c>
      <c r="AE230">
        <v>118</v>
      </c>
    </row>
    <row r="231" spans="27:31" x14ac:dyDescent="0.25">
      <c r="AA231" s="1"/>
      <c r="AB231">
        <v>1741</v>
      </c>
      <c r="AC231">
        <v>164</v>
      </c>
      <c r="AD231">
        <v>318</v>
      </c>
      <c r="AE231">
        <v>121</v>
      </c>
    </row>
    <row r="232" spans="27:31" x14ac:dyDescent="0.25">
      <c r="AA232" s="1"/>
    </row>
    <row r="233" spans="27:31" x14ac:dyDescent="0.25">
      <c r="AA233" s="1"/>
    </row>
    <row r="234" spans="27:31" x14ac:dyDescent="0.25">
      <c r="AA234" s="1"/>
      <c r="AB234">
        <v>4799</v>
      </c>
      <c r="AC234">
        <v>694</v>
      </c>
      <c r="AD234">
        <v>289</v>
      </c>
      <c r="AE234">
        <v>118</v>
      </c>
    </row>
    <row r="235" spans="27:31" x14ac:dyDescent="0.25">
      <c r="AA235" s="1"/>
    </row>
    <row r="236" spans="27:31" x14ac:dyDescent="0.25">
      <c r="AA236" s="1"/>
    </row>
    <row r="237" spans="27:31" x14ac:dyDescent="0.25">
      <c r="AA237" s="1"/>
    </row>
    <row r="238" spans="27:31" x14ac:dyDescent="0.25">
      <c r="AA238" s="1"/>
    </row>
    <row r="239" spans="27:31" x14ac:dyDescent="0.25">
      <c r="AA239" s="1"/>
      <c r="AB239">
        <v>1272</v>
      </c>
      <c r="AC239">
        <v>465</v>
      </c>
      <c r="AD239">
        <v>99</v>
      </c>
      <c r="AE239">
        <v>42</v>
      </c>
    </row>
    <row r="240" spans="27:31" x14ac:dyDescent="0.25">
      <c r="AA240" s="1"/>
    </row>
    <row r="241" spans="27:31" x14ac:dyDescent="0.25">
      <c r="AA241" s="1"/>
    </row>
    <row r="242" spans="27:31" x14ac:dyDescent="0.25">
      <c r="AA242" s="1"/>
    </row>
    <row r="243" spans="27:31" x14ac:dyDescent="0.25">
      <c r="AA243" s="1"/>
    </row>
    <row r="244" spans="27:31" x14ac:dyDescent="0.25">
      <c r="AA244" s="1"/>
      <c r="AB244">
        <v>4188</v>
      </c>
      <c r="AC244">
        <v>942</v>
      </c>
      <c r="AD244">
        <v>118</v>
      </c>
      <c r="AE244">
        <v>102</v>
      </c>
    </row>
    <row r="245" spans="27:31" x14ac:dyDescent="0.25">
      <c r="AA245" s="1"/>
    </row>
    <row r="246" spans="27:31" x14ac:dyDescent="0.25">
      <c r="AA246" s="1"/>
    </row>
    <row r="247" spans="27:31" x14ac:dyDescent="0.25">
      <c r="AA247" s="1"/>
    </row>
    <row r="248" spans="27:31" x14ac:dyDescent="0.25">
      <c r="AA248" s="1"/>
    </row>
    <row r="249" spans="27:31" x14ac:dyDescent="0.25">
      <c r="AA249" s="1"/>
    </row>
    <row r="250" spans="27:31" x14ac:dyDescent="0.25">
      <c r="AA250" s="1"/>
    </row>
    <row r="251" spans="27:31" x14ac:dyDescent="0.25">
      <c r="AA251" s="1"/>
    </row>
    <row r="252" spans="27:31" x14ac:dyDescent="0.25">
      <c r="AA252" s="1"/>
      <c r="AB252">
        <v>3960</v>
      </c>
      <c r="AC252">
        <v>266</v>
      </c>
      <c r="AD252">
        <v>8</v>
      </c>
      <c r="AE252">
        <v>208</v>
      </c>
    </row>
    <row r="253" spans="27:31" x14ac:dyDescent="0.25">
      <c r="AA253" s="1"/>
      <c r="AB253">
        <v>886</v>
      </c>
      <c r="AC253">
        <v>126</v>
      </c>
      <c r="AD253">
        <v>153</v>
      </c>
      <c r="AE253">
        <v>212</v>
      </c>
    </row>
    <row r="254" spans="27:31" x14ac:dyDescent="0.25">
      <c r="AA254" s="1"/>
    </row>
    <row r="255" spans="27:31" x14ac:dyDescent="0.25">
      <c r="AA255" s="1"/>
      <c r="AB255">
        <v>3813</v>
      </c>
      <c r="AC255">
        <v>935</v>
      </c>
      <c r="AD255">
        <v>274</v>
      </c>
      <c r="AE255">
        <v>251</v>
      </c>
    </row>
    <row r="256" spans="27:31" x14ac:dyDescent="0.25">
      <c r="AA256" s="1"/>
      <c r="AB256">
        <v>1377</v>
      </c>
      <c r="AC256">
        <v>796</v>
      </c>
      <c r="AD256">
        <v>387</v>
      </c>
      <c r="AE256">
        <v>189</v>
      </c>
    </row>
    <row r="257" spans="27:31" x14ac:dyDescent="0.25">
      <c r="AA257" s="1"/>
    </row>
    <row r="258" spans="27:31" x14ac:dyDescent="0.25">
      <c r="AA258" s="1"/>
      <c r="AB258">
        <v>3791</v>
      </c>
      <c r="AC258">
        <v>593</v>
      </c>
      <c r="AD258">
        <v>228</v>
      </c>
      <c r="AE258">
        <v>205</v>
      </c>
    </row>
    <row r="259" spans="27:31" x14ac:dyDescent="0.25">
      <c r="AA259" s="1"/>
    </row>
    <row r="260" spans="27:31" x14ac:dyDescent="0.25">
      <c r="AA260" s="1"/>
    </row>
    <row r="261" spans="27:31" x14ac:dyDescent="0.25">
      <c r="AA261" s="1"/>
    </row>
    <row r="262" spans="27:31" x14ac:dyDescent="0.25">
      <c r="AA262" s="1"/>
    </row>
    <row r="263" spans="27:31" x14ac:dyDescent="0.25">
      <c r="AA263" s="1"/>
    </row>
    <row r="264" spans="27:31" x14ac:dyDescent="0.25">
      <c r="AA264" s="1"/>
    </row>
    <row r="265" spans="27:31" x14ac:dyDescent="0.25">
      <c r="AA265" s="1"/>
    </row>
    <row r="266" spans="27:31" x14ac:dyDescent="0.25">
      <c r="AA266" s="1"/>
    </row>
    <row r="267" spans="27:31" x14ac:dyDescent="0.25">
      <c r="AA267" s="1"/>
      <c r="AB267">
        <v>1206</v>
      </c>
      <c r="AC267">
        <v>238</v>
      </c>
      <c r="AD267">
        <v>36</v>
      </c>
      <c r="AE267">
        <v>237</v>
      </c>
    </row>
    <row r="268" spans="27:31" x14ac:dyDescent="0.25">
      <c r="AA268" s="1"/>
    </row>
    <row r="269" spans="27:31" x14ac:dyDescent="0.25">
      <c r="AA269" s="1"/>
    </row>
    <row r="270" spans="27:31" x14ac:dyDescent="0.25">
      <c r="AA270" s="1"/>
    </row>
    <row r="271" spans="27:31" x14ac:dyDescent="0.25">
      <c r="AA271" s="1"/>
    </row>
    <row r="272" spans="27:31" x14ac:dyDescent="0.25">
      <c r="AA272" s="1"/>
      <c r="AB272">
        <v>4187</v>
      </c>
      <c r="AC272">
        <v>66</v>
      </c>
      <c r="AD272">
        <v>31</v>
      </c>
      <c r="AE272">
        <v>62</v>
      </c>
    </row>
    <row r="273" spans="27:27" x14ac:dyDescent="0.25">
      <c r="AA273" s="1"/>
    </row>
    <row r="274" spans="27:27" x14ac:dyDescent="0.25">
      <c r="AA274" s="1"/>
    </row>
    <row r="275" spans="27:27" x14ac:dyDescent="0.25">
      <c r="AA275" s="1"/>
    </row>
    <row r="276" spans="27:27" x14ac:dyDescent="0.25">
      <c r="AA276" s="1"/>
    </row>
    <row r="277" spans="27:27" x14ac:dyDescent="0.25">
      <c r="AA277" s="1"/>
    </row>
    <row r="278" spans="27:27" x14ac:dyDescent="0.25">
      <c r="AA278" s="1"/>
    </row>
    <row r="279" spans="27:27" x14ac:dyDescent="0.25">
      <c r="AA279" s="1"/>
    </row>
    <row r="280" spans="27:27" x14ac:dyDescent="0.25">
      <c r="AA280" s="1"/>
    </row>
    <row r="281" spans="27:27" x14ac:dyDescent="0.25">
      <c r="AA281" s="1"/>
    </row>
    <row r="282" spans="27:27" x14ac:dyDescent="0.25">
      <c r="AA282" s="1"/>
    </row>
    <row r="283" spans="27:27" x14ac:dyDescent="0.25">
      <c r="AA283" s="1"/>
    </row>
    <row r="284" spans="27:27" x14ac:dyDescent="0.25">
      <c r="AA284" s="1"/>
    </row>
    <row r="285" spans="27:27" x14ac:dyDescent="0.25">
      <c r="AA285" s="1"/>
    </row>
    <row r="286" spans="27:27" x14ac:dyDescent="0.25">
      <c r="AA286" s="1"/>
    </row>
    <row r="287" spans="27:27" x14ac:dyDescent="0.25">
      <c r="AA287" s="1"/>
    </row>
    <row r="288" spans="27:27" x14ac:dyDescent="0.25">
      <c r="AA288" s="1"/>
    </row>
    <row r="289" spans="27:31" x14ac:dyDescent="0.25">
      <c r="AA289" s="1"/>
    </row>
    <row r="290" spans="27:31" x14ac:dyDescent="0.25">
      <c r="AA290" s="1"/>
      <c r="AB290">
        <v>4021</v>
      </c>
      <c r="AC290">
        <v>794</v>
      </c>
      <c r="AD290">
        <v>77</v>
      </c>
      <c r="AE290">
        <v>174</v>
      </c>
    </row>
    <row r="291" spans="27:31" x14ac:dyDescent="0.25">
      <c r="AA291" s="1"/>
    </row>
    <row r="292" spans="27:31" x14ac:dyDescent="0.25">
      <c r="AA292" s="1"/>
    </row>
    <row r="293" spans="27:31" x14ac:dyDescent="0.25">
      <c r="AA293" s="1"/>
    </row>
    <row r="294" spans="27:31" x14ac:dyDescent="0.25">
      <c r="AA294" s="1"/>
      <c r="AB294">
        <v>2751</v>
      </c>
      <c r="AC294">
        <v>33</v>
      </c>
      <c r="AD294">
        <v>430</v>
      </c>
      <c r="AE294">
        <v>129</v>
      </c>
    </row>
    <row r="295" spans="27:31" x14ac:dyDescent="0.25">
      <c r="AA295" s="1"/>
    </row>
    <row r="296" spans="27:31" x14ac:dyDescent="0.25">
      <c r="AA296" s="1"/>
    </row>
    <row r="297" spans="27:31" x14ac:dyDescent="0.25">
      <c r="AA297" s="1"/>
      <c r="AB297">
        <v>880</v>
      </c>
      <c r="AC297">
        <v>297</v>
      </c>
      <c r="AD297">
        <v>345</v>
      </c>
      <c r="AE297">
        <v>238</v>
      </c>
    </row>
    <row r="298" spans="27:31" x14ac:dyDescent="0.25">
      <c r="AA298" s="1"/>
    </row>
    <row r="299" spans="27:31" x14ac:dyDescent="0.25">
      <c r="AA299" s="1"/>
    </row>
    <row r="300" spans="27:31" x14ac:dyDescent="0.25">
      <c r="AA300" s="1"/>
    </row>
    <row r="301" spans="27:31" x14ac:dyDescent="0.25">
      <c r="AA301" s="1"/>
    </row>
    <row r="302" spans="27:31" x14ac:dyDescent="0.25">
      <c r="AA302" s="1"/>
    </row>
    <row r="303" spans="27:31" x14ac:dyDescent="0.25">
      <c r="AA303" s="1"/>
    </row>
    <row r="304" spans="27:31" x14ac:dyDescent="0.25">
      <c r="AA304" s="1"/>
    </row>
    <row r="305" spans="27:27" x14ac:dyDescent="0.25">
      <c r="AA305" s="1"/>
    </row>
    <row r="306" spans="27:27" x14ac:dyDescent="0.25">
      <c r="AA306" s="1"/>
    </row>
  </sheetData>
  <mergeCells count="1">
    <mergeCell ref="G1:L3"/>
  </mergeCells>
  <conditionalFormatting sqref="D14">
    <cfRule type="top10" dxfId="23" priority="1" rank="1"/>
  </conditionalFormatting>
  <pageMargins left="0.7" right="0.7" top="0.75" bottom="0.75" header="0.3" footer="0.3"/>
  <pageSetup orientation="portrait" horizontalDpi="4294967293" verticalDpi="0" r:id="rId2"/>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AB8B-5C33-4D0F-AEE4-7007BB81A23A}">
  <dimension ref="A1:AL2991"/>
  <sheetViews>
    <sheetView topLeftCell="A9" zoomScale="64" workbookViewId="0">
      <selection activeCell="C26" sqref="C26"/>
    </sheetView>
  </sheetViews>
  <sheetFormatPr defaultRowHeight="15" x14ac:dyDescent="0.25"/>
  <cols>
    <col min="1" max="1" width="21.28515625" customWidth="1"/>
    <col min="2" max="2" width="18.5703125" bestFit="1" customWidth="1"/>
    <col min="3" max="3" width="30" bestFit="1" customWidth="1"/>
    <col min="4" max="4" width="24.5703125" customWidth="1"/>
    <col min="5" max="5" width="20.140625" customWidth="1"/>
    <col min="36" max="36" width="23.85546875" customWidth="1"/>
    <col min="37" max="37" width="23.140625" customWidth="1"/>
    <col min="38" max="38" width="21.28515625" customWidth="1"/>
  </cols>
  <sheetData>
    <row r="1" spans="1:38" x14ac:dyDescent="0.25">
      <c r="F1" s="34" t="s">
        <v>420</v>
      </c>
      <c r="G1" s="31"/>
      <c r="H1" s="31"/>
      <c r="I1" s="31"/>
      <c r="J1" s="31"/>
      <c r="K1" s="31"/>
      <c r="L1" s="31"/>
      <c r="M1" s="31"/>
    </row>
    <row r="2" spans="1:38" x14ac:dyDescent="0.25">
      <c r="F2" s="31"/>
      <c r="G2" s="31"/>
      <c r="H2" s="31"/>
      <c r="I2" s="31"/>
      <c r="J2" s="31"/>
      <c r="K2" s="31"/>
      <c r="L2" s="31"/>
      <c r="M2" s="31"/>
    </row>
    <row r="3" spans="1:38" x14ac:dyDescent="0.25">
      <c r="F3" s="31"/>
      <c r="G3" s="31"/>
      <c r="H3" s="31"/>
      <c r="I3" s="31"/>
      <c r="J3" s="31"/>
      <c r="K3" s="31"/>
      <c r="L3" s="31"/>
      <c r="M3" s="31"/>
    </row>
    <row r="8" spans="1:38" ht="21" x14ac:dyDescent="0.35">
      <c r="A8" s="10" t="s">
        <v>14</v>
      </c>
      <c r="B8" s="10" t="s">
        <v>384</v>
      </c>
      <c r="C8" s="10" t="s">
        <v>385</v>
      </c>
      <c r="D8" s="10" t="s">
        <v>407</v>
      </c>
      <c r="E8" s="10" t="s">
        <v>412</v>
      </c>
      <c r="AJ8" t="s">
        <v>360</v>
      </c>
      <c r="AK8" t="s">
        <v>359</v>
      </c>
      <c r="AL8" t="s">
        <v>1</v>
      </c>
    </row>
    <row r="9" spans="1:38" ht="21" x14ac:dyDescent="0.35">
      <c r="A9" s="11" t="s">
        <v>21</v>
      </c>
      <c r="B9" s="12">
        <v>45458</v>
      </c>
      <c r="C9" s="12">
        <v>45488</v>
      </c>
      <c r="D9" s="13" t="s">
        <v>408</v>
      </c>
      <c r="E9" s="13">
        <f>SUMIFS(Engagement_Summary[New_Followers],Engagement_Summary[Week_Start_Date],"&gt;="&amp;B9,Engagement_Summary[Week_Start_Date],"&lt;="&amp;C9,Engagement_Summary[Platform],"Instagram")</f>
        <v>5902</v>
      </c>
      <c r="AJ9">
        <v>1135</v>
      </c>
      <c r="AK9" s="2">
        <v>45446</v>
      </c>
      <c r="AL9" s="1" t="s">
        <v>33</v>
      </c>
    </row>
    <row r="10" spans="1:38" ht="21" x14ac:dyDescent="0.35">
      <c r="A10" s="11" t="s">
        <v>21</v>
      </c>
      <c r="B10" s="12">
        <v>45458</v>
      </c>
      <c r="C10" s="12">
        <v>45488</v>
      </c>
      <c r="D10" s="13" t="s">
        <v>409</v>
      </c>
      <c r="E10" s="13">
        <f>SUMIFS('Engagement Summary Dataset '!C2:C201,'Engagement Summary Dataset '!A2:A201,"&gt;="&amp;B10,'Engagement Summary Dataset '!A2:A201,"&lt;="&amp;C10,'Engagement Summary Dataset '!B2:B201,"Facebook")</f>
        <v>4557</v>
      </c>
      <c r="AJ10">
        <v>1312</v>
      </c>
      <c r="AK10" s="2">
        <v>45446</v>
      </c>
      <c r="AL10" s="1" t="s">
        <v>40</v>
      </c>
    </row>
    <row r="11" spans="1:38" ht="21" x14ac:dyDescent="0.35">
      <c r="A11" s="14" t="s">
        <v>27</v>
      </c>
      <c r="B11" s="12">
        <v>45566</v>
      </c>
      <c r="C11" s="12">
        <v>45596</v>
      </c>
      <c r="D11" s="13" t="s">
        <v>408</v>
      </c>
      <c r="E11" s="13">
        <f>SUMIFS('Engagement Summary Dataset '!C3:C202,'Engagement Summary Dataset '!A3:A202,"&gt;="&amp;B11,'Engagement Summary Dataset '!A3:A202,"&lt;="&amp;C11,'Engagement Summary Dataset '!B3:B202,"Instagram")</f>
        <v>4811</v>
      </c>
      <c r="AJ11">
        <v>584</v>
      </c>
      <c r="AK11" s="2">
        <v>45446</v>
      </c>
      <c r="AL11" s="1" t="s">
        <v>16</v>
      </c>
    </row>
    <row r="12" spans="1:38" ht="21" x14ac:dyDescent="0.35">
      <c r="A12" s="13" t="s">
        <v>27</v>
      </c>
      <c r="B12" s="12">
        <v>45566</v>
      </c>
      <c r="C12" s="12">
        <v>45596</v>
      </c>
      <c r="D12" s="13" t="s">
        <v>410</v>
      </c>
      <c r="E12" s="13">
        <f>SUMIFS('Engagement Summary Dataset '!C4:C203,'Engagement Summary Dataset '!A4:A203,"&gt;="&amp;B12,'Engagement Summary Dataset '!A4:A203,"&lt;="&amp;C12,'Engagement Summary Dataset '!B4:B203,"Youtube")</f>
        <v>4242</v>
      </c>
      <c r="AJ12">
        <v>1535</v>
      </c>
      <c r="AK12" s="2">
        <v>45446</v>
      </c>
      <c r="AL12" s="1" t="s">
        <v>29</v>
      </c>
    </row>
    <row r="13" spans="1:38" ht="21" x14ac:dyDescent="0.35">
      <c r="A13" s="15" t="s">
        <v>31</v>
      </c>
      <c r="B13" s="12">
        <v>45651</v>
      </c>
      <c r="C13" s="12">
        <v>45667</v>
      </c>
      <c r="D13" s="13" t="s">
        <v>409</v>
      </c>
      <c r="E13" s="13">
        <f>SUMIFS('Engagement Summary Dataset '!C5:C204,'Engagement Summary Dataset '!A5:A204,"&gt;="&amp;B13,'Engagement Summary Dataset '!A5:A204,"&lt;="&amp;C13,'Engagement Summary Dataset '!B5:B204,"Facebook")</f>
        <v>2796</v>
      </c>
      <c r="AJ13">
        <v>656</v>
      </c>
      <c r="AK13" s="2">
        <v>45453</v>
      </c>
      <c r="AL13" s="1" t="s">
        <v>33</v>
      </c>
    </row>
    <row r="14" spans="1:38" ht="21" x14ac:dyDescent="0.35">
      <c r="A14" s="15" t="s">
        <v>31</v>
      </c>
      <c r="B14" s="12">
        <v>45651</v>
      </c>
      <c r="C14" s="12">
        <v>45667</v>
      </c>
      <c r="D14" s="13" t="s">
        <v>411</v>
      </c>
      <c r="E14" s="13">
        <f>SUMIFS('Engagement Summary Dataset '!C6:C205,'Engagement Summary Dataset '!A6:A205,"&gt;="&amp;B14,'Engagement Summary Dataset '!A6:A205,"&lt;="&amp;C14,'Engagement Summary Dataset '!B6:B205,"X")</f>
        <v>3419</v>
      </c>
      <c r="AJ14">
        <v>1697</v>
      </c>
      <c r="AK14" s="2">
        <v>45453</v>
      </c>
      <c r="AL14" s="1" t="s">
        <v>40</v>
      </c>
    </row>
    <row r="15" spans="1:38" ht="21" x14ac:dyDescent="0.35">
      <c r="A15" s="14" t="s">
        <v>37</v>
      </c>
      <c r="B15" s="16">
        <v>45717</v>
      </c>
      <c r="C15" s="17">
        <v>45747</v>
      </c>
      <c r="D15" s="13" t="s">
        <v>408</v>
      </c>
      <c r="E15" s="13">
        <f>SUMIFS('Engagement Summary Dataset '!C7:C206,'Engagement Summary Dataset '!A7:A206,"&gt;="&amp;B15,'Engagement Summary Dataset '!A7:A206,"&lt;="&amp;C15,'Engagement Summary Dataset '!B7:B206,"Instagram")</f>
        <v>4389</v>
      </c>
      <c r="AJ15">
        <v>436</v>
      </c>
      <c r="AK15" s="2">
        <v>45453</v>
      </c>
      <c r="AL15" s="1" t="s">
        <v>16</v>
      </c>
    </row>
    <row r="16" spans="1:38" ht="21" x14ac:dyDescent="0.35">
      <c r="A16" s="14" t="s">
        <v>37</v>
      </c>
      <c r="B16" s="16">
        <v>45717</v>
      </c>
      <c r="C16" s="17">
        <v>45747</v>
      </c>
      <c r="D16" s="13" t="s">
        <v>411</v>
      </c>
      <c r="E16" s="13">
        <f>SUMIFS('Engagement Summary Dataset '!C8:C207,'Engagement Summary Dataset '!A8:A207,"&gt;="&amp;B16,'Engagement Summary Dataset '!A8:A207,"&lt;="&amp;C16,'Engagement Summary Dataset '!B8:B207,"X")</f>
        <v>5732</v>
      </c>
      <c r="AJ16">
        <v>1197</v>
      </c>
      <c r="AK16" s="2">
        <v>45453</v>
      </c>
      <c r="AL16" s="1" t="s">
        <v>29</v>
      </c>
    </row>
    <row r="17" spans="1:38" x14ac:dyDescent="0.25">
      <c r="A17" s="1"/>
      <c r="AJ17">
        <v>1048</v>
      </c>
      <c r="AK17" s="2">
        <v>45460</v>
      </c>
      <c r="AL17" s="1" t="s">
        <v>33</v>
      </c>
    </row>
    <row r="18" spans="1:38" x14ac:dyDescent="0.25">
      <c r="A18" s="1"/>
      <c r="AJ18">
        <v>1753</v>
      </c>
      <c r="AK18" s="2">
        <v>45460</v>
      </c>
      <c r="AL18" s="1" t="s">
        <v>40</v>
      </c>
    </row>
    <row r="19" spans="1:38" x14ac:dyDescent="0.25">
      <c r="A19" s="1"/>
      <c r="AJ19">
        <v>1335</v>
      </c>
      <c r="AK19" s="2">
        <v>45460</v>
      </c>
      <c r="AL19" s="1" t="s">
        <v>16</v>
      </c>
    </row>
    <row r="20" spans="1:38" x14ac:dyDescent="0.25">
      <c r="A20" s="1"/>
      <c r="AJ20">
        <v>403</v>
      </c>
      <c r="AK20" s="2">
        <v>45460</v>
      </c>
      <c r="AL20" s="1" t="s">
        <v>29</v>
      </c>
    </row>
    <row r="21" spans="1:38" x14ac:dyDescent="0.25">
      <c r="A21" s="1"/>
      <c r="AJ21">
        <v>911</v>
      </c>
      <c r="AK21" s="2">
        <v>45467</v>
      </c>
      <c r="AL21" s="1" t="s">
        <v>33</v>
      </c>
    </row>
    <row r="22" spans="1:38" ht="21" x14ac:dyDescent="0.35">
      <c r="A22" s="1"/>
      <c r="B22" s="28" t="s">
        <v>393</v>
      </c>
      <c r="C22" s="13" t="s">
        <v>415</v>
      </c>
      <c r="AJ22">
        <v>1779</v>
      </c>
      <c r="AK22" s="2">
        <v>45467</v>
      </c>
      <c r="AL22" s="1" t="s">
        <v>40</v>
      </c>
    </row>
    <row r="23" spans="1:38" ht="21" x14ac:dyDescent="0.35">
      <c r="A23" s="1"/>
      <c r="B23" s="29" t="s">
        <v>408</v>
      </c>
      <c r="C23" s="11">
        <v>15102</v>
      </c>
      <c r="AJ23">
        <v>1238</v>
      </c>
      <c r="AK23" s="2">
        <v>45467</v>
      </c>
      <c r="AL23" s="1" t="s">
        <v>16</v>
      </c>
    </row>
    <row r="24" spans="1:38" ht="21" x14ac:dyDescent="0.35">
      <c r="A24" s="1"/>
      <c r="B24" s="29" t="s">
        <v>411</v>
      </c>
      <c r="C24" s="11">
        <v>9151</v>
      </c>
      <c r="AJ24">
        <v>308</v>
      </c>
      <c r="AK24" s="2">
        <v>45467</v>
      </c>
      <c r="AL24" s="1" t="s">
        <v>29</v>
      </c>
    </row>
    <row r="25" spans="1:38" ht="21" x14ac:dyDescent="0.35">
      <c r="A25" s="1"/>
      <c r="B25" s="29" t="s">
        <v>409</v>
      </c>
      <c r="C25" s="11">
        <v>7353</v>
      </c>
      <c r="AJ25">
        <v>226</v>
      </c>
      <c r="AK25" s="2">
        <v>45474</v>
      </c>
      <c r="AL25" s="1" t="s">
        <v>33</v>
      </c>
    </row>
    <row r="26" spans="1:38" ht="21" x14ac:dyDescent="0.35">
      <c r="A26" s="1"/>
      <c r="B26" s="29" t="s">
        <v>410</v>
      </c>
      <c r="C26" s="11">
        <v>4242</v>
      </c>
      <c r="AJ26">
        <v>505</v>
      </c>
      <c r="AK26" s="2">
        <v>45474</v>
      </c>
      <c r="AL26" s="1" t="s">
        <v>40</v>
      </c>
    </row>
    <row r="27" spans="1:38" ht="21" x14ac:dyDescent="0.35">
      <c r="A27" s="1"/>
      <c r="B27" s="29" t="s">
        <v>395</v>
      </c>
      <c r="C27" s="11">
        <v>35848</v>
      </c>
      <c r="AJ27">
        <v>1420</v>
      </c>
      <c r="AK27" s="2">
        <v>45474</v>
      </c>
      <c r="AL27" s="1" t="s">
        <v>16</v>
      </c>
    </row>
    <row r="28" spans="1:38" x14ac:dyDescent="0.25">
      <c r="A28" s="1"/>
      <c r="AJ28">
        <v>144</v>
      </c>
      <c r="AK28" s="2">
        <v>45474</v>
      </c>
      <c r="AL28" s="1" t="s">
        <v>29</v>
      </c>
    </row>
    <row r="29" spans="1:38" x14ac:dyDescent="0.25">
      <c r="A29" s="1"/>
      <c r="AJ29">
        <v>1757</v>
      </c>
      <c r="AK29" s="2">
        <v>45481</v>
      </c>
      <c r="AL29" s="1" t="s">
        <v>33</v>
      </c>
    </row>
    <row r="30" spans="1:38" x14ac:dyDescent="0.25">
      <c r="A30" s="1"/>
      <c r="AJ30">
        <v>350</v>
      </c>
      <c r="AK30" s="2">
        <v>45481</v>
      </c>
      <c r="AL30" s="1" t="s">
        <v>40</v>
      </c>
    </row>
    <row r="31" spans="1:38" x14ac:dyDescent="0.25">
      <c r="A31" s="1"/>
      <c r="AJ31">
        <v>987</v>
      </c>
      <c r="AK31" s="2">
        <v>45481</v>
      </c>
      <c r="AL31" s="1" t="s">
        <v>16</v>
      </c>
    </row>
    <row r="32" spans="1:38" x14ac:dyDescent="0.25">
      <c r="A32" s="1"/>
      <c r="AJ32">
        <v>883</v>
      </c>
      <c r="AK32" s="2">
        <v>45481</v>
      </c>
      <c r="AL32" s="1" t="s">
        <v>29</v>
      </c>
    </row>
    <row r="33" spans="1:38" x14ac:dyDescent="0.25">
      <c r="A33" s="1"/>
      <c r="AJ33">
        <v>1960</v>
      </c>
      <c r="AK33" s="2">
        <v>45488</v>
      </c>
      <c r="AL33" s="1" t="s">
        <v>33</v>
      </c>
    </row>
    <row r="34" spans="1:38" x14ac:dyDescent="0.25">
      <c r="A34" s="1"/>
      <c r="AJ34">
        <v>170</v>
      </c>
      <c r="AK34" s="2">
        <v>45488</v>
      </c>
      <c r="AL34" s="1" t="s">
        <v>40</v>
      </c>
    </row>
    <row r="35" spans="1:38" x14ac:dyDescent="0.25">
      <c r="A35" s="1"/>
      <c r="AJ35">
        <v>704</v>
      </c>
      <c r="AK35" s="2">
        <v>45488</v>
      </c>
      <c r="AL35" s="1" t="s">
        <v>16</v>
      </c>
    </row>
    <row r="36" spans="1:38" x14ac:dyDescent="0.25">
      <c r="A36" s="1"/>
      <c r="AJ36">
        <v>224</v>
      </c>
      <c r="AK36" s="2">
        <v>45488</v>
      </c>
      <c r="AL36" s="1" t="s">
        <v>29</v>
      </c>
    </row>
    <row r="37" spans="1:38" x14ac:dyDescent="0.25">
      <c r="A37" s="1"/>
      <c r="AJ37">
        <v>508</v>
      </c>
      <c r="AK37" s="2">
        <v>45495</v>
      </c>
      <c r="AL37" s="1" t="s">
        <v>33</v>
      </c>
    </row>
    <row r="38" spans="1:38" x14ac:dyDescent="0.25">
      <c r="A38" s="1"/>
      <c r="AJ38">
        <v>1391</v>
      </c>
      <c r="AK38" s="2">
        <v>45495</v>
      </c>
      <c r="AL38" s="1" t="s">
        <v>40</v>
      </c>
    </row>
    <row r="39" spans="1:38" x14ac:dyDescent="0.25">
      <c r="A39" s="1"/>
      <c r="AJ39">
        <v>1701</v>
      </c>
      <c r="AK39" s="2">
        <v>45495</v>
      </c>
      <c r="AL39" s="1" t="s">
        <v>16</v>
      </c>
    </row>
    <row r="40" spans="1:38" x14ac:dyDescent="0.25">
      <c r="A40" s="1"/>
      <c r="AJ40">
        <v>804</v>
      </c>
      <c r="AK40" s="2">
        <v>45495</v>
      </c>
      <c r="AL40" s="1" t="s">
        <v>29</v>
      </c>
    </row>
    <row r="41" spans="1:38" x14ac:dyDescent="0.25">
      <c r="A41" s="1"/>
      <c r="AJ41">
        <v>653</v>
      </c>
      <c r="AK41" s="2">
        <v>45502</v>
      </c>
      <c r="AL41" s="1" t="s">
        <v>33</v>
      </c>
    </row>
    <row r="42" spans="1:38" x14ac:dyDescent="0.25">
      <c r="A42" s="1"/>
      <c r="AJ42">
        <v>160</v>
      </c>
      <c r="AK42" s="2">
        <v>45502</v>
      </c>
      <c r="AL42" s="1" t="s">
        <v>40</v>
      </c>
    </row>
    <row r="43" spans="1:38" x14ac:dyDescent="0.25">
      <c r="A43" s="1"/>
      <c r="AJ43">
        <v>1756</v>
      </c>
      <c r="AK43" s="2">
        <v>45502</v>
      </c>
      <c r="AL43" s="1" t="s">
        <v>16</v>
      </c>
    </row>
    <row r="44" spans="1:38" x14ac:dyDescent="0.25">
      <c r="A44" s="1"/>
      <c r="AJ44">
        <v>576</v>
      </c>
      <c r="AK44" s="2">
        <v>45502</v>
      </c>
      <c r="AL44" s="1" t="s">
        <v>29</v>
      </c>
    </row>
    <row r="45" spans="1:38" x14ac:dyDescent="0.25">
      <c r="A45" s="1"/>
      <c r="AJ45">
        <v>645</v>
      </c>
      <c r="AK45" s="2">
        <v>45509</v>
      </c>
      <c r="AL45" s="1" t="s">
        <v>33</v>
      </c>
    </row>
    <row r="46" spans="1:38" x14ac:dyDescent="0.25">
      <c r="A46" s="1"/>
      <c r="AJ46">
        <v>214</v>
      </c>
      <c r="AK46" s="2">
        <v>45509</v>
      </c>
      <c r="AL46" s="1" t="s">
        <v>40</v>
      </c>
    </row>
    <row r="47" spans="1:38" x14ac:dyDescent="0.25">
      <c r="A47" s="1"/>
      <c r="AJ47">
        <v>826</v>
      </c>
      <c r="AK47" s="2">
        <v>45509</v>
      </c>
      <c r="AL47" s="1" t="s">
        <v>16</v>
      </c>
    </row>
    <row r="48" spans="1:38" x14ac:dyDescent="0.25">
      <c r="A48" s="1"/>
      <c r="AJ48">
        <v>460</v>
      </c>
      <c r="AK48" s="2">
        <v>45509</v>
      </c>
      <c r="AL48" s="1" t="s">
        <v>29</v>
      </c>
    </row>
    <row r="49" spans="1:38" x14ac:dyDescent="0.25">
      <c r="A49" s="1"/>
      <c r="AJ49">
        <v>1528</v>
      </c>
      <c r="AK49" s="2">
        <v>45516</v>
      </c>
      <c r="AL49" s="1" t="s">
        <v>33</v>
      </c>
    </row>
    <row r="50" spans="1:38" x14ac:dyDescent="0.25">
      <c r="A50" s="1"/>
      <c r="AJ50">
        <v>1534</v>
      </c>
      <c r="AK50" s="2">
        <v>45516</v>
      </c>
      <c r="AL50" s="1" t="s">
        <v>40</v>
      </c>
    </row>
    <row r="51" spans="1:38" x14ac:dyDescent="0.25">
      <c r="A51" s="1"/>
      <c r="AJ51">
        <v>485</v>
      </c>
      <c r="AK51" s="2">
        <v>45516</v>
      </c>
      <c r="AL51" s="1" t="s">
        <v>16</v>
      </c>
    </row>
    <row r="52" spans="1:38" x14ac:dyDescent="0.25">
      <c r="A52" s="1"/>
      <c r="AJ52">
        <v>1210</v>
      </c>
      <c r="AK52" s="2">
        <v>45516</v>
      </c>
      <c r="AL52" s="1" t="s">
        <v>29</v>
      </c>
    </row>
    <row r="53" spans="1:38" x14ac:dyDescent="0.25">
      <c r="A53" s="1"/>
      <c r="AJ53">
        <v>215</v>
      </c>
      <c r="AK53" s="2">
        <v>45523</v>
      </c>
      <c r="AL53" s="1" t="s">
        <v>33</v>
      </c>
    </row>
    <row r="54" spans="1:38" x14ac:dyDescent="0.25">
      <c r="A54" s="1"/>
      <c r="AJ54">
        <v>1078</v>
      </c>
      <c r="AK54" s="2">
        <v>45523</v>
      </c>
      <c r="AL54" s="1" t="s">
        <v>40</v>
      </c>
    </row>
    <row r="55" spans="1:38" x14ac:dyDescent="0.25">
      <c r="A55" s="1"/>
      <c r="AJ55">
        <v>1751</v>
      </c>
      <c r="AK55" s="2">
        <v>45523</v>
      </c>
      <c r="AL55" s="1" t="s">
        <v>16</v>
      </c>
    </row>
    <row r="56" spans="1:38" x14ac:dyDescent="0.25">
      <c r="A56" s="1"/>
      <c r="AJ56">
        <v>221</v>
      </c>
      <c r="AK56" s="2">
        <v>45523</v>
      </c>
      <c r="AL56" s="1" t="s">
        <v>29</v>
      </c>
    </row>
    <row r="57" spans="1:38" x14ac:dyDescent="0.25">
      <c r="A57" s="1"/>
      <c r="AJ57">
        <v>1685</v>
      </c>
      <c r="AK57" s="2">
        <v>45530</v>
      </c>
      <c r="AL57" s="1" t="s">
        <v>33</v>
      </c>
    </row>
    <row r="58" spans="1:38" x14ac:dyDescent="0.25">
      <c r="A58" s="1"/>
      <c r="AJ58">
        <v>248</v>
      </c>
      <c r="AK58" s="2">
        <v>45530</v>
      </c>
      <c r="AL58" s="1" t="s">
        <v>40</v>
      </c>
    </row>
    <row r="59" spans="1:38" x14ac:dyDescent="0.25">
      <c r="A59" s="1"/>
      <c r="AJ59">
        <v>1300</v>
      </c>
      <c r="AK59" s="2">
        <v>45530</v>
      </c>
      <c r="AL59" s="1" t="s">
        <v>16</v>
      </c>
    </row>
    <row r="60" spans="1:38" x14ac:dyDescent="0.25">
      <c r="A60" s="1"/>
      <c r="AJ60">
        <v>422</v>
      </c>
      <c r="AK60" s="2">
        <v>45530</v>
      </c>
      <c r="AL60" s="1" t="s">
        <v>29</v>
      </c>
    </row>
    <row r="61" spans="1:38" x14ac:dyDescent="0.25">
      <c r="A61" s="1"/>
      <c r="AJ61">
        <v>1429</v>
      </c>
      <c r="AK61" s="2">
        <v>45537</v>
      </c>
      <c r="AL61" s="1" t="s">
        <v>33</v>
      </c>
    </row>
    <row r="62" spans="1:38" x14ac:dyDescent="0.25">
      <c r="A62" s="1"/>
      <c r="AJ62">
        <v>1520</v>
      </c>
      <c r="AK62" s="2">
        <v>45537</v>
      </c>
      <c r="AL62" s="1" t="s">
        <v>40</v>
      </c>
    </row>
    <row r="63" spans="1:38" x14ac:dyDescent="0.25">
      <c r="A63" s="1"/>
      <c r="AJ63">
        <v>557</v>
      </c>
      <c r="AK63" s="2">
        <v>45537</v>
      </c>
      <c r="AL63" s="1" t="s">
        <v>16</v>
      </c>
    </row>
    <row r="64" spans="1:38" x14ac:dyDescent="0.25">
      <c r="A64" s="1"/>
      <c r="AJ64">
        <v>728</v>
      </c>
      <c r="AK64" s="2">
        <v>45537</v>
      </c>
      <c r="AL64" s="1" t="s">
        <v>29</v>
      </c>
    </row>
    <row r="65" spans="1:38" x14ac:dyDescent="0.25">
      <c r="A65" s="1"/>
      <c r="AJ65">
        <v>1592</v>
      </c>
      <c r="AK65" s="2">
        <v>45544</v>
      </c>
      <c r="AL65" s="1" t="s">
        <v>33</v>
      </c>
    </row>
    <row r="66" spans="1:38" x14ac:dyDescent="0.25">
      <c r="A66" s="1"/>
      <c r="AJ66">
        <v>1842</v>
      </c>
      <c r="AK66" s="2">
        <v>45544</v>
      </c>
      <c r="AL66" s="1" t="s">
        <v>40</v>
      </c>
    </row>
    <row r="67" spans="1:38" x14ac:dyDescent="0.25">
      <c r="A67" s="1"/>
      <c r="AJ67">
        <v>751</v>
      </c>
      <c r="AK67" s="2">
        <v>45544</v>
      </c>
      <c r="AL67" s="1" t="s">
        <v>16</v>
      </c>
    </row>
    <row r="68" spans="1:38" x14ac:dyDescent="0.25">
      <c r="A68" s="1"/>
      <c r="AJ68">
        <v>1409</v>
      </c>
      <c r="AK68" s="2">
        <v>45544</v>
      </c>
      <c r="AL68" s="1" t="s">
        <v>29</v>
      </c>
    </row>
    <row r="69" spans="1:38" x14ac:dyDescent="0.25">
      <c r="A69" s="1"/>
      <c r="AJ69">
        <v>778</v>
      </c>
      <c r="AK69" s="2">
        <v>45551</v>
      </c>
      <c r="AL69" s="1" t="s">
        <v>33</v>
      </c>
    </row>
    <row r="70" spans="1:38" x14ac:dyDescent="0.25">
      <c r="A70" s="1"/>
      <c r="AJ70">
        <v>443</v>
      </c>
      <c r="AK70" s="2">
        <v>45551</v>
      </c>
      <c r="AL70" s="1" t="s">
        <v>40</v>
      </c>
    </row>
    <row r="71" spans="1:38" x14ac:dyDescent="0.25">
      <c r="A71" s="1"/>
      <c r="AJ71">
        <v>1472</v>
      </c>
      <c r="AK71" s="2">
        <v>45551</v>
      </c>
      <c r="AL71" s="1" t="s">
        <v>16</v>
      </c>
    </row>
    <row r="72" spans="1:38" x14ac:dyDescent="0.25">
      <c r="A72" s="1"/>
      <c r="AJ72">
        <v>123</v>
      </c>
      <c r="AK72" s="2">
        <v>45551</v>
      </c>
      <c r="AL72" s="1" t="s">
        <v>29</v>
      </c>
    </row>
    <row r="73" spans="1:38" x14ac:dyDescent="0.25">
      <c r="A73" s="1"/>
      <c r="AJ73">
        <v>817</v>
      </c>
      <c r="AK73" s="2">
        <v>45558</v>
      </c>
      <c r="AL73" s="1" t="s">
        <v>33</v>
      </c>
    </row>
    <row r="74" spans="1:38" x14ac:dyDescent="0.25">
      <c r="A74" s="1"/>
      <c r="AJ74">
        <v>198</v>
      </c>
      <c r="AK74" s="2">
        <v>45558</v>
      </c>
      <c r="AL74" s="1" t="s">
        <v>40</v>
      </c>
    </row>
    <row r="75" spans="1:38" x14ac:dyDescent="0.25">
      <c r="A75" s="1"/>
      <c r="AJ75">
        <v>1911</v>
      </c>
      <c r="AK75" s="2">
        <v>45558</v>
      </c>
      <c r="AL75" s="1" t="s">
        <v>16</v>
      </c>
    </row>
    <row r="76" spans="1:38" x14ac:dyDescent="0.25">
      <c r="A76" s="1"/>
      <c r="AJ76">
        <v>1218</v>
      </c>
      <c r="AK76" s="2">
        <v>45558</v>
      </c>
      <c r="AL76" s="1" t="s">
        <v>29</v>
      </c>
    </row>
    <row r="77" spans="1:38" x14ac:dyDescent="0.25">
      <c r="A77" s="1"/>
      <c r="AJ77">
        <v>1433</v>
      </c>
      <c r="AK77" s="2">
        <v>45565</v>
      </c>
      <c r="AL77" s="1" t="s">
        <v>33</v>
      </c>
    </row>
    <row r="78" spans="1:38" x14ac:dyDescent="0.25">
      <c r="A78" s="1"/>
      <c r="AJ78">
        <v>250</v>
      </c>
      <c r="AK78" s="2">
        <v>45565</v>
      </c>
      <c r="AL78" s="1" t="s">
        <v>40</v>
      </c>
    </row>
    <row r="79" spans="1:38" x14ac:dyDescent="0.25">
      <c r="A79" s="1"/>
      <c r="AJ79">
        <v>752</v>
      </c>
      <c r="AK79" s="2">
        <v>45565</v>
      </c>
      <c r="AL79" s="1" t="s">
        <v>16</v>
      </c>
    </row>
    <row r="80" spans="1:38" x14ac:dyDescent="0.25">
      <c r="A80" s="1"/>
      <c r="AJ80">
        <v>1918</v>
      </c>
      <c r="AK80" s="2">
        <v>45565</v>
      </c>
      <c r="AL80" s="1" t="s">
        <v>29</v>
      </c>
    </row>
    <row r="81" spans="1:38" x14ac:dyDescent="0.25">
      <c r="A81" s="1"/>
      <c r="AJ81">
        <v>1939</v>
      </c>
      <c r="AK81" s="2">
        <v>45572</v>
      </c>
      <c r="AL81" s="1" t="s">
        <v>33</v>
      </c>
    </row>
    <row r="82" spans="1:38" x14ac:dyDescent="0.25">
      <c r="A82" s="1"/>
      <c r="AJ82">
        <v>1929</v>
      </c>
      <c r="AK82" s="2">
        <v>45572</v>
      </c>
      <c r="AL82" s="1" t="s">
        <v>40</v>
      </c>
    </row>
    <row r="83" spans="1:38" x14ac:dyDescent="0.25">
      <c r="A83" s="1"/>
      <c r="AJ83">
        <v>437</v>
      </c>
      <c r="AK83" s="2">
        <v>45572</v>
      </c>
      <c r="AL83" s="1" t="s">
        <v>16</v>
      </c>
    </row>
    <row r="84" spans="1:38" x14ac:dyDescent="0.25">
      <c r="A84" s="1"/>
      <c r="AJ84">
        <v>307</v>
      </c>
      <c r="AK84" s="2">
        <v>45572</v>
      </c>
      <c r="AL84" s="1" t="s">
        <v>29</v>
      </c>
    </row>
    <row r="85" spans="1:38" x14ac:dyDescent="0.25">
      <c r="A85" s="1"/>
      <c r="AJ85">
        <v>1527</v>
      </c>
      <c r="AK85" s="2">
        <v>45579</v>
      </c>
      <c r="AL85" s="1" t="s">
        <v>33</v>
      </c>
    </row>
    <row r="86" spans="1:38" x14ac:dyDescent="0.25">
      <c r="A86" s="1"/>
      <c r="AJ86">
        <v>643</v>
      </c>
      <c r="AK86" s="2">
        <v>45579</v>
      </c>
      <c r="AL86" s="1" t="s">
        <v>40</v>
      </c>
    </row>
    <row r="87" spans="1:38" x14ac:dyDescent="0.25">
      <c r="A87" s="1"/>
      <c r="AJ87">
        <v>201</v>
      </c>
      <c r="AK87" s="2">
        <v>45579</v>
      </c>
      <c r="AL87" s="1" t="s">
        <v>16</v>
      </c>
    </row>
    <row r="88" spans="1:38" x14ac:dyDescent="0.25">
      <c r="A88" s="1"/>
      <c r="AJ88">
        <v>414</v>
      </c>
      <c r="AK88" s="2">
        <v>45579</v>
      </c>
      <c r="AL88" s="1" t="s">
        <v>29</v>
      </c>
    </row>
    <row r="89" spans="1:38" x14ac:dyDescent="0.25">
      <c r="A89" s="1"/>
      <c r="AJ89">
        <v>703</v>
      </c>
      <c r="AK89" s="2">
        <v>45586</v>
      </c>
      <c r="AL89" s="1" t="s">
        <v>33</v>
      </c>
    </row>
    <row r="90" spans="1:38" x14ac:dyDescent="0.25">
      <c r="A90" s="1"/>
      <c r="AJ90">
        <v>508</v>
      </c>
      <c r="AK90" s="2">
        <v>45586</v>
      </c>
      <c r="AL90" s="1" t="s">
        <v>40</v>
      </c>
    </row>
    <row r="91" spans="1:38" x14ac:dyDescent="0.25">
      <c r="A91" s="1"/>
      <c r="AJ91">
        <v>697</v>
      </c>
      <c r="AK91" s="2">
        <v>45586</v>
      </c>
      <c r="AL91" s="1" t="s">
        <v>16</v>
      </c>
    </row>
    <row r="92" spans="1:38" x14ac:dyDescent="0.25">
      <c r="A92" s="1"/>
      <c r="AJ92">
        <v>1707</v>
      </c>
      <c r="AK92" s="2">
        <v>45586</v>
      </c>
      <c r="AL92" s="1" t="s">
        <v>29</v>
      </c>
    </row>
    <row r="93" spans="1:38" x14ac:dyDescent="0.25">
      <c r="A93" s="1"/>
      <c r="AJ93">
        <v>642</v>
      </c>
      <c r="AK93" s="2">
        <v>45593</v>
      </c>
      <c r="AL93" s="1" t="s">
        <v>33</v>
      </c>
    </row>
    <row r="94" spans="1:38" x14ac:dyDescent="0.25">
      <c r="A94" s="1"/>
      <c r="AJ94">
        <v>859</v>
      </c>
      <c r="AK94" s="2">
        <v>45593</v>
      </c>
      <c r="AL94" s="1" t="s">
        <v>40</v>
      </c>
    </row>
    <row r="95" spans="1:38" x14ac:dyDescent="0.25">
      <c r="A95" s="1"/>
      <c r="AJ95">
        <v>191</v>
      </c>
      <c r="AK95" s="2">
        <v>45593</v>
      </c>
      <c r="AL95" s="1" t="s">
        <v>16</v>
      </c>
    </row>
    <row r="96" spans="1:38" x14ac:dyDescent="0.25">
      <c r="A96" s="1"/>
      <c r="AJ96">
        <v>1814</v>
      </c>
      <c r="AK96" s="2">
        <v>45593</v>
      </c>
      <c r="AL96" s="1" t="s">
        <v>29</v>
      </c>
    </row>
    <row r="97" spans="1:38" x14ac:dyDescent="0.25">
      <c r="A97" s="1"/>
      <c r="AJ97">
        <v>1466</v>
      </c>
      <c r="AK97" s="2">
        <v>45600</v>
      </c>
      <c r="AL97" s="1" t="s">
        <v>33</v>
      </c>
    </row>
    <row r="98" spans="1:38" x14ac:dyDescent="0.25">
      <c r="A98" s="1"/>
      <c r="AJ98">
        <v>947</v>
      </c>
      <c r="AK98" s="2">
        <v>45600</v>
      </c>
      <c r="AL98" s="1" t="s">
        <v>40</v>
      </c>
    </row>
    <row r="99" spans="1:38" x14ac:dyDescent="0.25">
      <c r="A99" s="1"/>
      <c r="AJ99">
        <v>1821</v>
      </c>
      <c r="AK99" s="2">
        <v>45600</v>
      </c>
      <c r="AL99" s="1" t="s">
        <v>16</v>
      </c>
    </row>
    <row r="100" spans="1:38" x14ac:dyDescent="0.25">
      <c r="A100" s="1"/>
      <c r="AJ100">
        <v>1507</v>
      </c>
      <c r="AK100" s="2">
        <v>45600</v>
      </c>
      <c r="AL100" s="1" t="s">
        <v>29</v>
      </c>
    </row>
    <row r="101" spans="1:38" x14ac:dyDescent="0.25">
      <c r="A101" s="1"/>
      <c r="AJ101">
        <v>1075</v>
      </c>
      <c r="AK101" s="2">
        <v>45607</v>
      </c>
      <c r="AL101" s="1" t="s">
        <v>33</v>
      </c>
    </row>
    <row r="102" spans="1:38" x14ac:dyDescent="0.25">
      <c r="A102" s="1"/>
      <c r="AJ102">
        <v>171</v>
      </c>
      <c r="AK102" s="2">
        <v>45607</v>
      </c>
      <c r="AL102" s="1" t="s">
        <v>40</v>
      </c>
    </row>
    <row r="103" spans="1:38" x14ac:dyDescent="0.25">
      <c r="A103" s="1"/>
      <c r="AJ103">
        <v>1487</v>
      </c>
      <c r="AK103" s="2">
        <v>45607</v>
      </c>
      <c r="AL103" s="1" t="s">
        <v>16</v>
      </c>
    </row>
    <row r="104" spans="1:38" x14ac:dyDescent="0.25">
      <c r="A104" s="1"/>
      <c r="AJ104">
        <v>454</v>
      </c>
      <c r="AK104" s="2">
        <v>45607</v>
      </c>
      <c r="AL104" s="1" t="s">
        <v>29</v>
      </c>
    </row>
    <row r="105" spans="1:38" x14ac:dyDescent="0.25">
      <c r="A105" s="1"/>
      <c r="AJ105">
        <v>187</v>
      </c>
      <c r="AK105" s="2">
        <v>45614</v>
      </c>
      <c r="AL105" s="1" t="s">
        <v>33</v>
      </c>
    </row>
    <row r="106" spans="1:38" x14ac:dyDescent="0.25">
      <c r="A106" s="1"/>
      <c r="AJ106">
        <v>513</v>
      </c>
      <c r="AK106" s="2">
        <v>45614</v>
      </c>
      <c r="AL106" s="1" t="s">
        <v>40</v>
      </c>
    </row>
    <row r="107" spans="1:38" x14ac:dyDescent="0.25">
      <c r="A107" s="1"/>
      <c r="AJ107">
        <v>628</v>
      </c>
      <c r="AK107" s="2">
        <v>45614</v>
      </c>
      <c r="AL107" s="1" t="s">
        <v>16</v>
      </c>
    </row>
    <row r="108" spans="1:38" x14ac:dyDescent="0.25">
      <c r="A108" s="1"/>
      <c r="AJ108">
        <v>278</v>
      </c>
      <c r="AK108" s="2">
        <v>45614</v>
      </c>
      <c r="AL108" s="1" t="s">
        <v>29</v>
      </c>
    </row>
    <row r="109" spans="1:38" x14ac:dyDescent="0.25">
      <c r="A109" s="1"/>
      <c r="AJ109">
        <v>1854</v>
      </c>
      <c r="AK109" s="2">
        <v>45621</v>
      </c>
      <c r="AL109" s="1" t="s">
        <v>33</v>
      </c>
    </row>
    <row r="110" spans="1:38" x14ac:dyDescent="0.25">
      <c r="A110" s="1"/>
      <c r="AJ110">
        <v>1710</v>
      </c>
      <c r="AK110" s="2">
        <v>45621</v>
      </c>
      <c r="AL110" s="1" t="s">
        <v>40</v>
      </c>
    </row>
    <row r="111" spans="1:38" x14ac:dyDescent="0.25">
      <c r="A111" s="1"/>
      <c r="AJ111">
        <v>330</v>
      </c>
      <c r="AK111" s="2">
        <v>45621</v>
      </c>
      <c r="AL111" s="1" t="s">
        <v>16</v>
      </c>
    </row>
    <row r="112" spans="1:38" x14ac:dyDescent="0.25">
      <c r="A112" s="1"/>
      <c r="AJ112">
        <v>1293</v>
      </c>
      <c r="AK112" s="2">
        <v>45621</v>
      </c>
      <c r="AL112" s="1" t="s">
        <v>29</v>
      </c>
    </row>
    <row r="113" spans="1:38" x14ac:dyDescent="0.25">
      <c r="A113" s="1"/>
      <c r="AJ113">
        <v>1696</v>
      </c>
      <c r="AK113" s="2">
        <v>45628</v>
      </c>
      <c r="AL113" s="1" t="s">
        <v>33</v>
      </c>
    </row>
    <row r="114" spans="1:38" x14ac:dyDescent="0.25">
      <c r="A114" s="1"/>
      <c r="AJ114">
        <v>1902</v>
      </c>
      <c r="AK114" s="2">
        <v>45628</v>
      </c>
      <c r="AL114" s="1" t="s">
        <v>40</v>
      </c>
    </row>
    <row r="115" spans="1:38" x14ac:dyDescent="0.25">
      <c r="A115" s="1"/>
      <c r="AJ115">
        <v>1441</v>
      </c>
      <c r="AK115" s="2">
        <v>45628</v>
      </c>
      <c r="AL115" s="1" t="s">
        <v>16</v>
      </c>
    </row>
    <row r="116" spans="1:38" x14ac:dyDescent="0.25">
      <c r="A116" s="1"/>
      <c r="AJ116">
        <v>452</v>
      </c>
      <c r="AK116" s="2">
        <v>45628</v>
      </c>
      <c r="AL116" s="1" t="s">
        <v>29</v>
      </c>
    </row>
    <row r="117" spans="1:38" x14ac:dyDescent="0.25">
      <c r="A117" s="1"/>
      <c r="AJ117">
        <v>1494</v>
      </c>
      <c r="AK117" s="2">
        <v>45635</v>
      </c>
      <c r="AL117" s="1" t="s">
        <v>33</v>
      </c>
    </row>
    <row r="118" spans="1:38" x14ac:dyDescent="0.25">
      <c r="A118" s="1"/>
      <c r="AJ118">
        <v>1514</v>
      </c>
      <c r="AK118" s="2">
        <v>45635</v>
      </c>
      <c r="AL118" s="1" t="s">
        <v>40</v>
      </c>
    </row>
    <row r="119" spans="1:38" x14ac:dyDescent="0.25">
      <c r="A119" s="1"/>
      <c r="AJ119">
        <v>1937</v>
      </c>
      <c r="AK119" s="2">
        <v>45635</v>
      </c>
      <c r="AL119" s="1" t="s">
        <v>16</v>
      </c>
    </row>
    <row r="120" spans="1:38" x14ac:dyDescent="0.25">
      <c r="A120" s="1"/>
      <c r="AJ120">
        <v>736</v>
      </c>
      <c r="AK120" s="2">
        <v>45635</v>
      </c>
      <c r="AL120" s="1" t="s">
        <v>29</v>
      </c>
    </row>
    <row r="121" spans="1:38" x14ac:dyDescent="0.25">
      <c r="A121" s="1"/>
      <c r="AJ121">
        <v>1502</v>
      </c>
      <c r="AK121" s="2">
        <v>45642</v>
      </c>
      <c r="AL121" s="1" t="s">
        <v>33</v>
      </c>
    </row>
    <row r="122" spans="1:38" x14ac:dyDescent="0.25">
      <c r="A122" s="1"/>
      <c r="AJ122">
        <v>1623</v>
      </c>
      <c r="AK122" s="2">
        <v>45642</v>
      </c>
      <c r="AL122" s="1" t="s">
        <v>40</v>
      </c>
    </row>
    <row r="123" spans="1:38" x14ac:dyDescent="0.25">
      <c r="A123" s="1"/>
      <c r="AJ123">
        <v>1592</v>
      </c>
      <c r="AK123" s="2">
        <v>45642</v>
      </c>
      <c r="AL123" s="1" t="s">
        <v>16</v>
      </c>
    </row>
    <row r="124" spans="1:38" x14ac:dyDescent="0.25">
      <c r="A124" s="1"/>
      <c r="AJ124">
        <v>1004</v>
      </c>
      <c r="AK124" s="2">
        <v>45642</v>
      </c>
      <c r="AL124" s="1" t="s">
        <v>29</v>
      </c>
    </row>
    <row r="125" spans="1:38" x14ac:dyDescent="0.25">
      <c r="A125" s="1"/>
      <c r="AJ125">
        <v>1092</v>
      </c>
      <c r="AK125" s="2">
        <v>45649</v>
      </c>
      <c r="AL125" s="1" t="s">
        <v>33</v>
      </c>
    </row>
    <row r="126" spans="1:38" x14ac:dyDescent="0.25">
      <c r="A126" s="1"/>
      <c r="AJ126">
        <v>1155</v>
      </c>
      <c r="AK126" s="2">
        <v>45649</v>
      </c>
      <c r="AL126" s="1" t="s">
        <v>40</v>
      </c>
    </row>
    <row r="127" spans="1:38" x14ac:dyDescent="0.25">
      <c r="A127" s="1"/>
      <c r="AJ127">
        <v>1137</v>
      </c>
      <c r="AK127" s="2">
        <v>45649</v>
      </c>
      <c r="AL127" s="1" t="s">
        <v>16</v>
      </c>
    </row>
    <row r="128" spans="1:38" x14ac:dyDescent="0.25">
      <c r="A128" s="1"/>
      <c r="AJ128">
        <v>1900</v>
      </c>
      <c r="AK128" s="2">
        <v>45649</v>
      </c>
      <c r="AL128" s="1" t="s">
        <v>29</v>
      </c>
    </row>
    <row r="129" spans="1:38" x14ac:dyDescent="0.25">
      <c r="A129" s="1"/>
      <c r="AJ129">
        <v>1814</v>
      </c>
      <c r="AK129" s="2">
        <v>45656</v>
      </c>
      <c r="AL129" s="1" t="s">
        <v>33</v>
      </c>
    </row>
    <row r="130" spans="1:38" x14ac:dyDescent="0.25">
      <c r="A130" s="1"/>
      <c r="AJ130">
        <v>1980</v>
      </c>
      <c r="AK130" s="2">
        <v>45656</v>
      </c>
      <c r="AL130" s="1" t="s">
        <v>40</v>
      </c>
    </row>
    <row r="131" spans="1:38" x14ac:dyDescent="0.25">
      <c r="A131" s="1"/>
      <c r="AJ131">
        <v>1786</v>
      </c>
      <c r="AK131" s="2">
        <v>45656</v>
      </c>
      <c r="AL131" s="1" t="s">
        <v>16</v>
      </c>
    </row>
    <row r="132" spans="1:38" x14ac:dyDescent="0.25">
      <c r="A132" s="1"/>
      <c r="AJ132">
        <v>1495</v>
      </c>
      <c r="AK132" s="2">
        <v>45656</v>
      </c>
      <c r="AL132" s="1" t="s">
        <v>29</v>
      </c>
    </row>
    <row r="133" spans="1:38" x14ac:dyDescent="0.25">
      <c r="A133" s="1"/>
      <c r="AJ133">
        <v>1013</v>
      </c>
      <c r="AK133" s="2">
        <v>45663</v>
      </c>
      <c r="AL133" s="1" t="s">
        <v>33</v>
      </c>
    </row>
    <row r="134" spans="1:38" x14ac:dyDescent="0.25">
      <c r="A134" s="1"/>
      <c r="AJ134">
        <v>816</v>
      </c>
      <c r="AK134" s="2">
        <v>45663</v>
      </c>
      <c r="AL134" s="1" t="s">
        <v>40</v>
      </c>
    </row>
    <row r="135" spans="1:38" x14ac:dyDescent="0.25">
      <c r="A135" s="1"/>
      <c r="AJ135">
        <v>1633</v>
      </c>
      <c r="AK135" s="2">
        <v>45663</v>
      </c>
      <c r="AL135" s="1" t="s">
        <v>16</v>
      </c>
    </row>
    <row r="136" spans="1:38" x14ac:dyDescent="0.25">
      <c r="A136" s="1"/>
      <c r="AJ136">
        <v>891</v>
      </c>
      <c r="AK136" s="2">
        <v>45663</v>
      </c>
      <c r="AL136" s="1" t="s">
        <v>29</v>
      </c>
    </row>
    <row r="137" spans="1:38" x14ac:dyDescent="0.25">
      <c r="A137" s="1"/>
      <c r="AJ137">
        <v>1855</v>
      </c>
      <c r="AK137" s="2">
        <v>45670</v>
      </c>
      <c r="AL137" s="1" t="s">
        <v>33</v>
      </c>
    </row>
    <row r="138" spans="1:38" x14ac:dyDescent="0.25">
      <c r="A138" s="1"/>
      <c r="AJ138">
        <v>651</v>
      </c>
      <c r="AK138" s="2">
        <v>45670</v>
      </c>
      <c r="AL138" s="1" t="s">
        <v>40</v>
      </c>
    </row>
    <row r="139" spans="1:38" x14ac:dyDescent="0.25">
      <c r="A139" s="1"/>
      <c r="AJ139">
        <v>118</v>
      </c>
      <c r="AK139" s="2">
        <v>45670</v>
      </c>
      <c r="AL139" s="1" t="s">
        <v>16</v>
      </c>
    </row>
    <row r="140" spans="1:38" x14ac:dyDescent="0.25">
      <c r="A140" s="1"/>
      <c r="AJ140">
        <v>1331</v>
      </c>
      <c r="AK140" s="2">
        <v>45670</v>
      </c>
      <c r="AL140" s="1" t="s">
        <v>29</v>
      </c>
    </row>
    <row r="141" spans="1:38" x14ac:dyDescent="0.25">
      <c r="A141" s="1"/>
      <c r="AJ141">
        <v>1748</v>
      </c>
      <c r="AK141" s="2">
        <v>45677</v>
      </c>
      <c r="AL141" s="1" t="s">
        <v>33</v>
      </c>
    </row>
    <row r="142" spans="1:38" x14ac:dyDescent="0.25">
      <c r="A142" s="1"/>
      <c r="AJ142">
        <v>663</v>
      </c>
      <c r="AK142" s="2">
        <v>45677</v>
      </c>
      <c r="AL142" s="1" t="s">
        <v>40</v>
      </c>
    </row>
    <row r="143" spans="1:38" x14ac:dyDescent="0.25">
      <c r="A143" s="1"/>
      <c r="AJ143">
        <v>1040</v>
      </c>
      <c r="AK143" s="2">
        <v>45677</v>
      </c>
      <c r="AL143" s="1" t="s">
        <v>16</v>
      </c>
    </row>
    <row r="144" spans="1:38" x14ac:dyDescent="0.25">
      <c r="A144" s="1"/>
      <c r="AJ144">
        <v>1166</v>
      </c>
      <c r="AK144" s="2">
        <v>45677</v>
      </c>
      <c r="AL144" s="1" t="s">
        <v>29</v>
      </c>
    </row>
    <row r="145" spans="1:38" x14ac:dyDescent="0.25">
      <c r="A145" s="1"/>
      <c r="AJ145">
        <v>115</v>
      </c>
      <c r="AK145" s="2">
        <v>45684</v>
      </c>
      <c r="AL145" s="1" t="s">
        <v>33</v>
      </c>
    </row>
    <row r="146" spans="1:38" x14ac:dyDescent="0.25">
      <c r="A146" s="1"/>
      <c r="AJ146">
        <v>1249</v>
      </c>
      <c r="AK146" s="2">
        <v>45684</v>
      </c>
      <c r="AL146" s="1" t="s">
        <v>40</v>
      </c>
    </row>
    <row r="147" spans="1:38" x14ac:dyDescent="0.25">
      <c r="A147" s="1"/>
      <c r="AJ147">
        <v>1501</v>
      </c>
      <c r="AK147" s="2">
        <v>45684</v>
      </c>
      <c r="AL147" s="1" t="s">
        <v>16</v>
      </c>
    </row>
    <row r="148" spans="1:38" x14ac:dyDescent="0.25">
      <c r="A148" s="1"/>
      <c r="AJ148">
        <v>1411</v>
      </c>
      <c r="AK148" s="2">
        <v>45684</v>
      </c>
      <c r="AL148" s="1" t="s">
        <v>29</v>
      </c>
    </row>
    <row r="149" spans="1:38" x14ac:dyDescent="0.25">
      <c r="A149" s="1"/>
      <c r="AJ149">
        <v>1556</v>
      </c>
      <c r="AK149" s="2">
        <v>45691</v>
      </c>
      <c r="AL149" s="1" t="s">
        <v>33</v>
      </c>
    </row>
    <row r="150" spans="1:38" x14ac:dyDescent="0.25">
      <c r="A150" s="1"/>
      <c r="AJ150">
        <v>1159</v>
      </c>
      <c r="AK150" s="2">
        <v>45691</v>
      </c>
      <c r="AL150" s="1" t="s">
        <v>40</v>
      </c>
    </row>
    <row r="151" spans="1:38" x14ac:dyDescent="0.25">
      <c r="A151" s="1"/>
      <c r="AJ151">
        <v>927</v>
      </c>
      <c r="AK151" s="2">
        <v>45691</v>
      </c>
      <c r="AL151" s="1" t="s">
        <v>16</v>
      </c>
    </row>
    <row r="152" spans="1:38" x14ac:dyDescent="0.25">
      <c r="A152" s="1"/>
      <c r="AJ152">
        <v>152</v>
      </c>
      <c r="AK152" s="2">
        <v>45691</v>
      </c>
      <c r="AL152" s="1" t="s">
        <v>29</v>
      </c>
    </row>
    <row r="153" spans="1:38" x14ac:dyDescent="0.25">
      <c r="A153" s="1"/>
      <c r="AJ153">
        <v>1957</v>
      </c>
      <c r="AK153" s="2">
        <v>45698</v>
      </c>
      <c r="AL153" s="1" t="s">
        <v>33</v>
      </c>
    </row>
    <row r="154" spans="1:38" x14ac:dyDescent="0.25">
      <c r="A154" s="1"/>
      <c r="AJ154">
        <v>1294</v>
      </c>
      <c r="AK154" s="2">
        <v>45698</v>
      </c>
      <c r="AL154" s="1" t="s">
        <v>40</v>
      </c>
    </row>
    <row r="155" spans="1:38" x14ac:dyDescent="0.25">
      <c r="A155" s="1"/>
      <c r="AJ155">
        <v>1587</v>
      </c>
      <c r="AK155" s="2">
        <v>45698</v>
      </c>
      <c r="AL155" s="1" t="s">
        <v>16</v>
      </c>
    </row>
    <row r="156" spans="1:38" x14ac:dyDescent="0.25">
      <c r="A156" s="1"/>
      <c r="AJ156">
        <v>1707</v>
      </c>
      <c r="AK156" s="2">
        <v>45698</v>
      </c>
      <c r="AL156" s="1" t="s">
        <v>29</v>
      </c>
    </row>
    <row r="157" spans="1:38" x14ac:dyDescent="0.25">
      <c r="A157" s="1"/>
      <c r="AJ157">
        <v>1138</v>
      </c>
      <c r="AK157" s="2">
        <v>45705</v>
      </c>
      <c r="AL157" s="1" t="s">
        <v>33</v>
      </c>
    </row>
    <row r="158" spans="1:38" x14ac:dyDescent="0.25">
      <c r="A158" s="1"/>
      <c r="AJ158">
        <v>1895</v>
      </c>
      <c r="AK158" s="2">
        <v>45705</v>
      </c>
      <c r="AL158" s="1" t="s">
        <v>40</v>
      </c>
    </row>
    <row r="159" spans="1:38" x14ac:dyDescent="0.25">
      <c r="A159" s="1"/>
      <c r="AJ159">
        <v>362</v>
      </c>
      <c r="AK159" s="2">
        <v>45705</v>
      </c>
      <c r="AL159" s="1" t="s">
        <v>16</v>
      </c>
    </row>
    <row r="160" spans="1:38" x14ac:dyDescent="0.25">
      <c r="A160" s="1"/>
      <c r="AJ160">
        <v>1662</v>
      </c>
      <c r="AK160" s="2">
        <v>45705</v>
      </c>
      <c r="AL160" s="1" t="s">
        <v>29</v>
      </c>
    </row>
    <row r="161" spans="1:38" x14ac:dyDescent="0.25">
      <c r="A161" s="1"/>
      <c r="AJ161">
        <v>1440</v>
      </c>
      <c r="AK161" s="2">
        <v>45712</v>
      </c>
      <c r="AL161" s="1" t="s">
        <v>33</v>
      </c>
    </row>
    <row r="162" spans="1:38" x14ac:dyDescent="0.25">
      <c r="A162" s="1"/>
      <c r="AJ162">
        <v>1884</v>
      </c>
      <c r="AK162" s="2">
        <v>45712</v>
      </c>
      <c r="AL162" s="1" t="s">
        <v>40</v>
      </c>
    </row>
    <row r="163" spans="1:38" x14ac:dyDescent="0.25">
      <c r="A163" s="1"/>
      <c r="AJ163">
        <v>861</v>
      </c>
      <c r="AK163" s="2">
        <v>45712</v>
      </c>
      <c r="AL163" s="1" t="s">
        <v>16</v>
      </c>
    </row>
    <row r="164" spans="1:38" x14ac:dyDescent="0.25">
      <c r="A164" s="1"/>
      <c r="AJ164">
        <v>1063</v>
      </c>
      <c r="AK164" s="2">
        <v>45712</v>
      </c>
      <c r="AL164" s="1" t="s">
        <v>29</v>
      </c>
    </row>
    <row r="165" spans="1:38" x14ac:dyDescent="0.25">
      <c r="A165" s="1"/>
      <c r="AJ165">
        <v>1371</v>
      </c>
      <c r="AK165" s="2">
        <v>45719</v>
      </c>
      <c r="AL165" s="1" t="s">
        <v>33</v>
      </c>
    </row>
    <row r="166" spans="1:38" x14ac:dyDescent="0.25">
      <c r="A166" s="1"/>
      <c r="AJ166">
        <v>345</v>
      </c>
      <c r="AK166" s="2">
        <v>45719</v>
      </c>
      <c r="AL166" s="1" t="s">
        <v>40</v>
      </c>
    </row>
    <row r="167" spans="1:38" x14ac:dyDescent="0.25">
      <c r="A167" s="1"/>
      <c r="AJ167">
        <v>946</v>
      </c>
      <c r="AK167" s="2">
        <v>45719</v>
      </c>
      <c r="AL167" s="1" t="s">
        <v>16</v>
      </c>
    </row>
    <row r="168" spans="1:38" x14ac:dyDescent="0.25">
      <c r="A168" s="1"/>
      <c r="AJ168">
        <v>510</v>
      </c>
      <c r="AK168" s="2">
        <v>45719</v>
      </c>
      <c r="AL168" s="1" t="s">
        <v>29</v>
      </c>
    </row>
    <row r="169" spans="1:38" x14ac:dyDescent="0.25">
      <c r="A169" s="1"/>
      <c r="AJ169">
        <v>393</v>
      </c>
      <c r="AK169" s="2">
        <v>45726</v>
      </c>
      <c r="AL169" s="1" t="s">
        <v>33</v>
      </c>
    </row>
    <row r="170" spans="1:38" x14ac:dyDescent="0.25">
      <c r="A170" s="1"/>
      <c r="AJ170">
        <v>1098</v>
      </c>
      <c r="AK170" s="2">
        <v>45726</v>
      </c>
      <c r="AL170" s="1" t="s">
        <v>40</v>
      </c>
    </row>
    <row r="171" spans="1:38" x14ac:dyDescent="0.25">
      <c r="A171" s="1"/>
      <c r="AJ171">
        <v>1399</v>
      </c>
      <c r="AK171" s="2">
        <v>45726</v>
      </c>
      <c r="AL171" s="1" t="s">
        <v>16</v>
      </c>
    </row>
    <row r="172" spans="1:38" x14ac:dyDescent="0.25">
      <c r="A172" s="1"/>
      <c r="AJ172">
        <v>1658</v>
      </c>
      <c r="AK172" s="2">
        <v>45726</v>
      </c>
      <c r="AL172" s="1" t="s">
        <v>29</v>
      </c>
    </row>
    <row r="173" spans="1:38" x14ac:dyDescent="0.25">
      <c r="A173" s="1"/>
      <c r="AJ173">
        <v>1102</v>
      </c>
      <c r="AK173" s="2">
        <v>45733</v>
      </c>
      <c r="AL173" s="1" t="s">
        <v>33</v>
      </c>
    </row>
    <row r="174" spans="1:38" x14ac:dyDescent="0.25">
      <c r="A174" s="1"/>
      <c r="AJ174">
        <v>1358</v>
      </c>
      <c r="AK174" s="2">
        <v>45733</v>
      </c>
      <c r="AL174" s="1" t="s">
        <v>40</v>
      </c>
    </row>
    <row r="175" spans="1:38" x14ac:dyDescent="0.25">
      <c r="A175" s="1"/>
      <c r="AJ175">
        <v>1077</v>
      </c>
      <c r="AK175" s="2">
        <v>45733</v>
      </c>
      <c r="AL175" s="1" t="s">
        <v>16</v>
      </c>
    </row>
    <row r="176" spans="1:38" x14ac:dyDescent="0.25">
      <c r="A176" s="1"/>
      <c r="AJ176">
        <v>1596</v>
      </c>
      <c r="AK176" s="2">
        <v>45733</v>
      </c>
      <c r="AL176" s="1" t="s">
        <v>29</v>
      </c>
    </row>
    <row r="177" spans="1:38" x14ac:dyDescent="0.25">
      <c r="A177" s="1"/>
      <c r="AJ177">
        <v>490</v>
      </c>
      <c r="AK177" s="2">
        <v>45740</v>
      </c>
      <c r="AL177" s="1" t="s">
        <v>33</v>
      </c>
    </row>
    <row r="178" spans="1:38" x14ac:dyDescent="0.25">
      <c r="A178" s="1"/>
      <c r="AJ178">
        <v>609</v>
      </c>
      <c r="AK178" s="2">
        <v>45740</v>
      </c>
      <c r="AL178" s="1" t="s">
        <v>40</v>
      </c>
    </row>
    <row r="179" spans="1:38" x14ac:dyDescent="0.25">
      <c r="A179" s="1"/>
      <c r="AJ179">
        <v>364</v>
      </c>
      <c r="AK179" s="2">
        <v>45740</v>
      </c>
      <c r="AL179" s="1" t="s">
        <v>16</v>
      </c>
    </row>
    <row r="180" spans="1:38" x14ac:dyDescent="0.25">
      <c r="A180" s="1"/>
      <c r="AJ180">
        <v>442</v>
      </c>
      <c r="AK180" s="2">
        <v>45740</v>
      </c>
      <c r="AL180" s="1" t="s">
        <v>29</v>
      </c>
    </row>
    <row r="181" spans="1:38" x14ac:dyDescent="0.25">
      <c r="A181" s="1"/>
      <c r="AJ181">
        <v>1033</v>
      </c>
      <c r="AK181" s="2">
        <v>45747</v>
      </c>
      <c r="AL181" s="1" t="s">
        <v>33</v>
      </c>
    </row>
    <row r="182" spans="1:38" x14ac:dyDescent="0.25">
      <c r="A182" s="1"/>
      <c r="AJ182">
        <v>988</v>
      </c>
      <c r="AK182" s="2">
        <v>45747</v>
      </c>
      <c r="AL182" s="1" t="s">
        <v>40</v>
      </c>
    </row>
    <row r="183" spans="1:38" x14ac:dyDescent="0.25">
      <c r="A183" s="1"/>
      <c r="AJ183">
        <v>1946</v>
      </c>
      <c r="AK183" s="2">
        <v>45747</v>
      </c>
      <c r="AL183" s="1" t="s">
        <v>16</v>
      </c>
    </row>
    <row r="184" spans="1:38" x14ac:dyDescent="0.25">
      <c r="A184" s="1"/>
      <c r="AJ184">
        <v>1957</v>
      </c>
      <c r="AK184" s="2">
        <v>45747</v>
      </c>
      <c r="AL184" s="1" t="s">
        <v>29</v>
      </c>
    </row>
    <row r="185" spans="1:38" x14ac:dyDescent="0.25">
      <c r="A185" s="1"/>
      <c r="AJ185">
        <v>559</v>
      </c>
      <c r="AK185" s="2">
        <v>45754</v>
      </c>
      <c r="AL185" s="1" t="s">
        <v>33</v>
      </c>
    </row>
    <row r="186" spans="1:38" x14ac:dyDescent="0.25">
      <c r="A186" s="1"/>
      <c r="AJ186">
        <v>1307</v>
      </c>
      <c r="AK186" s="2">
        <v>45754</v>
      </c>
      <c r="AL186" s="1" t="s">
        <v>40</v>
      </c>
    </row>
    <row r="187" spans="1:38" x14ac:dyDescent="0.25">
      <c r="A187" s="1"/>
      <c r="AJ187">
        <v>1432</v>
      </c>
      <c r="AK187" s="2">
        <v>45754</v>
      </c>
      <c r="AL187" s="1" t="s">
        <v>16</v>
      </c>
    </row>
    <row r="188" spans="1:38" x14ac:dyDescent="0.25">
      <c r="A188" s="1"/>
      <c r="AJ188">
        <v>623</v>
      </c>
      <c r="AK188" s="2">
        <v>45754</v>
      </c>
      <c r="AL188" s="1" t="s">
        <v>29</v>
      </c>
    </row>
    <row r="189" spans="1:38" x14ac:dyDescent="0.25">
      <c r="A189" s="1"/>
      <c r="AJ189">
        <v>198</v>
      </c>
      <c r="AK189" s="2">
        <v>45761</v>
      </c>
      <c r="AL189" s="1" t="s">
        <v>33</v>
      </c>
    </row>
    <row r="190" spans="1:38" x14ac:dyDescent="0.25">
      <c r="A190" s="1"/>
      <c r="AJ190">
        <v>198</v>
      </c>
      <c r="AK190" s="2">
        <v>45761</v>
      </c>
      <c r="AL190" s="1" t="s">
        <v>40</v>
      </c>
    </row>
    <row r="191" spans="1:38" x14ac:dyDescent="0.25">
      <c r="A191" s="1"/>
      <c r="AJ191">
        <v>353</v>
      </c>
      <c r="AK191" s="2">
        <v>45761</v>
      </c>
      <c r="AL191" s="1" t="s">
        <v>16</v>
      </c>
    </row>
    <row r="192" spans="1:38" x14ac:dyDescent="0.25">
      <c r="A192" s="1"/>
      <c r="AJ192">
        <v>520</v>
      </c>
      <c r="AK192" s="2">
        <v>45761</v>
      </c>
      <c r="AL192" s="1" t="s">
        <v>29</v>
      </c>
    </row>
    <row r="193" spans="1:38" x14ac:dyDescent="0.25">
      <c r="A193" s="1"/>
      <c r="AJ193">
        <v>961</v>
      </c>
      <c r="AK193" s="2">
        <v>45768</v>
      </c>
      <c r="AL193" s="1" t="s">
        <v>33</v>
      </c>
    </row>
    <row r="194" spans="1:38" x14ac:dyDescent="0.25">
      <c r="A194" s="1"/>
      <c r="AJ194">
        <v>1375</v>
      </c>
      <c r="AK194" s="2">
        <v>45768</v>
      </c>
      <c r="AL194" s="1" t="s">
        <v>40</v>
      </c>
    </row>
    <row r="195" spans="1:38" x14ac:dyDescent="0.25">
      <c r="A195" s="1"/>
      <c r="AJ195">
        <v>1147</v>
      </c>
      <c r="AK195" s="2">
        <v>45768</v>
      </c>
      <c r="AL195" s="1" t="s">
        <v>16</v>
      </c>
    </row>
    <row r="196" spans="1:38" x14ac:dyDescent="0.25">
      <c r="A196" s="1"/>
      <c r="AJ196">
        <v>1707</v>
      </c>
      <c r="AK196" s="2">
        <v>45768</v>
      </c>
      <c r="AL196" s="1" t="s">
        <v>29</v>
      </c>
    </row>
    <row r="197" spans="1:38" x14ac:dyDescent="0.25">
      <c r="A197" s="1"/>
      <c r="AJ197">
        <v>1693</v>
      </c>
      <c r="AK197" s="2">
        <v>45775</v>
      </c>
      <c r="AL197" s="1" t="s">
        <v>33</v>
      </c>
    </row>
    <row r="198" spans="1:38" x14ac:dyDescent="0.25">
      <c r="A198" s="1"/>
      <c r="AJ198">
        <v>833</v>
      </c>
      <c r="AK198" s="2">
        <v>45775</v>
      </c>
      <c r="AL198" s="1" t="s">
        <v>40</v>
      </c>
    </row>
    <row r="199" spans="1:38" x14ac:dyDescent="0.25">
      <c r="A199" s="1"/>
      <c r="AJ199">
        <v>1222</v>
      </c>
      <c r="AK199" s="2">
        <v>45775</v>
      </c>
      <c r="AL199" s="1" t="s">
        <v>16</v>
      </c>
    </row>
    <row r="200" spans="1:38" x14ac:dyDescent="0.25">
      <c r="A200" s="1"/>
      <c r="AJ200">
        <v>777</v>
      </c>
      <c r="AK200" s="2">
        <v>45775</v>
      </c>
      <c r="AL200" s="1" t="s">
        <v>29</v>
      </c>
    </row>
    <row r="201" spans="1:38" x14ac:dyDescent="0.25">
      <c r="A201" s="1"/>
      <c r="AJ201">
        <v>1957</v>
      </c>
      <c r="AK201" s="2">
        <v>45782</v>
      </c>
      <c r="AL201" s="1" t="s">
        <v>33</v>
      </c>
    </row>
    <row r="202" spans="1:38" x14ac:dyDescent="0.25">
      <c r="A202" s="1"/>
      <c r="AJ202">
        <v>405</v>
      </c>
      <c r="AK202" s="2">
        <v>45782</v>
      </c>
      <c r="AL202" s="1" t="s">
        <v>40</v>
      </c>
    </row>
    <row r="203" spans="1:38" x14ac:dyDescent="0.25">
      <c r="A203" s="1"/>
      <c r="AJ203">
        <v>1581</v>
      </c>
      <c r="AK203" s="2">
        <v>45782</v>
      </c>
      <c r="AL203" s="1" t="s">
        <v>16</v>
      </c>
    </row>
    <row r="204" spans="1:38" x14ac:dyDescent="0.25">
      <c r="A204" s="1"/>
      <c r="AJ204">
        <v>1035</v>
      </c>
      <c r="AK204" s="2">
        <v>45782</v>
      </c>
      <c r="AL204" s="1" t="s">
        <v>29</v>
      </c>
    </row>
    <row r="205" spans="1:38" x14ac:dyDescent="0.25">
      <c r="A205" s="1"/>
      <c r="AJ205">
        <v>1765</v>
      </c>
      <c r="AK205" s="2">
        <v>45789</v>
      </c>
      <c r="AL205" s="1" t="s">
        <v>33</v>
      </c>
    </row>
    <row r="206" spans="1:38" x14ac:dyDescent="0.25">
      <c r="A206" s="1"/>
      <c r="AJ206">
        <v>837</v>
      </c>
      <c r="AK206" s="2">
        <v>45789</v>
      </c>
      <c r="AL206" s="1" t="s">
        <v>40</v>
      </c>
    </row>
    <row r="207" spans="1:38" x14ac:dyDescent="0.25">
      <c r="A207" s="1"/>
      <c r="AJ207">
        <v>337</v>
      </c>
      <c r="AK207" s="2">
        <v>45789</v>
      </c>
      <c r="AL207" s="1" t="s">
        <v>16</v>
      </c>
    </row>
    <row r="208" spans="1:38" x14ac:dyDescent="0.25">
      <c r="A208" s="1"/>
      <c r="AJ208">
        <v>119</v>
      </c>
      <c r="AK208" s="2">
        <v>45789</v>
      </c>
      <c r="AL208" s="1" t="s">
        <v>29</v>
      </c>
    </row>
    <row r="209" spans="1:38" x14ac:dyDescent="0.25">
      <c r="A209" s="1"/>
      <c r="AK209" s="2"/>
      <c r="AL209" s="1"/>
    </row>
    <row r="210" spans="1:38" x14ac:dyDescent="0.25">
      <c r="A210" s="1"/>
      <c r="AK210" s="2"/>
      <c r="AL210" s="1"/>
    </row>
    <row r="211" spans="1:38" x14ac:dyDescent="0.25">
      <c r="A211" s="1"/>
      <c r="AK211" s="2"/>
      <c r="AL211" s="1"/>
    </row>
    <row r="212" spans="1:38" x14ac:dyDescent="0.25">
      <c r="A212" s="1"/>
      <c r="AK212" s="2"/>
      <c r="AL212" s="1"/>
    </row>
    <row r="213" spans="1:38" x14ac:dyDescent="0.25">
      <c r="A213" s="1"/>
      <c r="AK213" s="2"/>
      <c r="AL213" s="1"/>
    </row>
    <row r="214" spans="1:38" x14ac:dyDescent="0.25">
      <c r="A214" s="1"/>
      <c r="AK214" s="2"/>
      <c r="AL214" s="1"/>
    </row>
    <row r="215" spans="1:38" x14ac:dyDescent="0.25">
      <c r="A215" s="1"/>
      <c r="AK215" s="2"/>
      <c r="AL215" s="1"/>
    </row>
    <row r="216" spans="1:38" x14ac:dyDescent="0.25">
      <c r="A216" s="1"/>
      <c r="AK216" s="2"/>
      <c r="AL216" s="1"/>
    </row>
    <row r="217" spans="1:38" x14ac:dyDescent="0.25">
      <c r="A217" s="1"/>
      <c r="AK217" s="2"/>
      <c r="AL217" s="1"/>
    </row>
    <row r="218" spans="1:38" x14ac:dyDescent="0.25">
      <c r="A218" s="1"/>
      <c r="AK218" s="2"/>
      <c r="AL218" s="1"/>
    </row>
    <row r="219" spans="1:38" x14ac:dyDescent="0.25">
      <c r="A219" s="1"/>
      <c r="AK219" s="2"/>
      <c r="AL219" s="1"/>
    </row>
    <row r="220" spans="1:38" x14ac:dyDescent="0.25">
      <c r="A220" s="1"/>
      <c r="AK220" s="2"/>
      <c r="AL220" s="1"/>
    </row>
    <row r="221" spans="1:38" x14ac:dyDescent="0.25">
      <c r="A221" s="1"/>
      <c r="AK221" s="2"/>
      <c r="AL221" s="1"/>
    </row>
    <row r="222" spans="1:38" x14ac:dyDescent="0.25">
      <c r="A222" s="1"/>
      <c r="AK222" s="2"/>
      <c r="AL222" s="1"/>
    </row>
    <row r="223" spans="1:38" x14ac:dyDescent="0.25">
      <c r="A223" s="1"/>
      <c r="AK223" s="2"/>
      <c r="AL223" s="1"/>
    </row>
    <row r="224" spans="1:38" x14ac:dyDescent="0.25">
      <c r="A224" s="1"/>
      <c r="AK224" s="2"/>
      <c r="AL224" s="1"/>
    </row>
    <row r="225" spans="1:38" x14ac:dyDescent="0.25">
      <c r="A225" s="1"/>
      <c r="AK225" s="2"/>
      <c r="AL225" s="1"/>
    </row>
    <row r="226" spans="1:38" x14ac:dyDescent="0.25">
      <c r="A226" s="1"/>
      <c r="AK226" s="2"/>
      <c r="AL226" s="1"/>
    </row>
    <row r="227" spans="1:38" x14ac:dyDescent="0.25">
      <c r="A227" s="1"/>
      <c r="AK227" s="2"/>
      <c r="AL227" s="1"/>
    </row>
    <row r="228" spans="1:38" x14ac:dyDescent="0.25">
      <c r="A228" s="1"/>
      <c r="AK228" s="2"/>
      <c r="AL228" s="1"/>
    </row>
    <row r="229" spans="1:38" x14ac:dyDescent="0.25">
      <c r="A229" s="1"/>
      <c r="AK229" s="2"/>
      <c r="AL229" s="1"/>
    </row>
    <row r="230" spans="1:38" x14ac:dyDescent="0.25">
      <c r="A230" s="1"/>
      <c r="AK230" s="2"/>
      <c r="AL230" s="1"/>
    </row>
    <row r="231" spans="1:38" x14ac:dyDescent="0.25">
      <c r="A231" s="1"/>
      <c r="AK231" s="2"/>
      <c r="AL231" s="1"/>
    </row>
    <row r="232" spans="1:38" x14ac:dyDescent="0.25">
      <c r="A232" s="1"/>
      <c r="AK232" s="2"/>
      <c r="AL232" s="1"/>
    </row>
    <row r="233" spans="1:38" x14ac:dyDescent="0.25">
      <c r="A233" s="1"/>
      <c r="AK233" s="2"/>
      <c r="AL233" s="1"/>
    </row>
    <row r="234" spans="1:38" x14ac:dyDescent="0.25">
      <c r="A234" s="1"/>
      <c r="AK234" s="2"/>
      <c r="AL234" s="1"/>
    </row>
    <row r="235" spans="1:38" x14ac:dyDescent="0.25">
      <c r="A235" s="1"/>
      <c r="AK235" s="2"/>
      <c r="AL235" s="1"/>
    </row>
    <row r="236" spans="1:38" x14ac:dyDescent="0.25">
      <c r="A236" s="1"/>
      <c r="AK236" s="2"/>
      <c r="AL236" s="1"/>
    </row>
    <row r="237" spans="1:38" x14ac:dyDescent="0.25">
      <c r="A237" s="1"/>
      <c r="AK237" s="2"/>
      <c r="AL237" s="1"/>
    </row>
    <row r="238" spans="1:38" x14ac:dyDescent="0.25">
      <c r="A238" s="1"/>
      <c r="AK238" s="2"/>
      <c r="AL238" s="1"/>
    </row>
    <row r="239" spans="1:38" x14ac:dyDescent="0.25">
      <c r="A239" s="1"/>
      <c r="AK239" s="2"/>
      <c r="AL239" s="1"/>
    </row>
    <row r="240" spans="1:38" x14ac:dyDescent="0.25">
      <c r="A240" s="1"/>
      <c r="AK240" s="2"/>
      <c r="AL240" s="1"/>
    </row>
    <row r="241" spans="1:38" x14ac:dyDescent="0.25">
      <c r="A241" s="1"/>
      <c r="AK241" s="2"/>
      <c r="AL241" s="1"/>
    </row>
    <row r="242" spans="1:38" x14ac:dyDescent="0.25">
      <c r="A242" s="1"/>
      <c r="AK242" s="2"/>
      <c r="AL242" s="1"/>
    </row>
    <row r="243" spans="1:38" x14ac:dyDescent="0.25">
      <c r="A243" s="1"/>
      <c r="AK243" s="2"/>
      <c r="AL243" s="1"/>
    </row>
    <row r="244" spans="1:38" x14ac:dyDescent="0.25">
      <c r="A244" s="1"/>
      <c r="AK244" s="2"/>
      <c r="AL244" s="1"/>
    </row>
    <row r="245" spans="1:38" x14ac:dyDescent="0.25">
      <c r="A245" s="1"/>
      <c r="AK245" s="2"/>
      <c r="AL245" s="1"/>
    </row>
    <row r="246" spans="1:38" x14ac:dyDescent="0.25">
      <c r="A246" s="1"/>
      <c r="AK246" s="2"/>
      <c r="AL246" s="1"/>
    </row>
    <row r="247" spans="1:38" x14ac:dyDescent="0.25">
      <c r="A247" s="1"/>
      <c r="AK247" s="2"/>
      <c r="AL247" s="1"/>
    </row>
    <row r="248" spans="1:38" x14ac:dyDescent="0.25">
      <c r="A248" s="1"/>
      <c r="AK248" s="2"/>
      <c r="AL248" s="1"/>
    </row>
    <row r="249" spans="1:38" x14ac:dyDescent="0.25">
      <c r="A249" s="1"/>
      <c r="AK249" s="2"/>
      <c r="AL249" s="1"/>
    </row>
    <row r="250" spans="1:38" x14ac:dyDescent="0.25">
      <c r="A250" s="1"/>
      <c r="AK250" s="2"/>
      <c r="AL250" s="1"/>
    </row>
    <row r="251" spans="1:38" x14ac:dyDescent="0.25">
      <c r="A251" s="1"/>
      <c r="AK251" s="2"/>
      <c r="AL251" s="1"/>
    </row>
    <row r="252" spans="1:38" x14ac:dyDescent="0.25">
      <c r="A252" s="1"/>
      <c r="AK252" s="2"/>
      <c r="AL252" s="1"/>
    </row>
    <row r="253" spans="1:38" x14ac:dyDescent="0.25">
      <c r="A253" s="1"/>
      <c r="AK253" s="2"/>
      <c r="AL253" s="1"/>
    </row>
    <row r="254" spans="1:38" x14ac:dyDescent="0.25">
      <c r="A254" s="1"/>
      <c r="AK254" s="2"/>
      <c r="AL254" s="1"/>
    </row>
    <row r="255" spans="1:38" x14ac:dyDescent="0.25">
      <c r="A255" s="1"/>
      <c r="AK255" s="2"/>
      <c r="AL255" s="1"/>
    </row>
    <row r="256" spans="1:38" x14ac:dyDescent="0.25">
      <c r="A256" s="1"/>
      <c r="AK256" s="2"/>
      <c r="AL256" s="1"/>
    </row>
    <row r="257" spans="1:38" x14ac:dyDescent="0.25">
      <c r="A257" s="1"/>
      <c r="AK257" s="2"/>
      <c r="AL257" s="1"/>
    </row>
    <row r="258" spans="1:38" x14ac:dyDescent="0.25">
      <c r="A258" s="1"/>
      <c r="AK258" s="2"/>
      <c r="AL258" s="1"/>
    </row>
    <row r="259" spans="1:38" x14ac:dyDescent="0.25">
      <c r="A259" s="1"/>
      <c r="AK259" s="2"/>
      <c r="AL259" s="1"/>
    </row>
    <row r="260" spans="1:38" x14ac:dyDescent="0.25">
      <c r="A260" s="1"/>
      <c r="AK260" s="2"/>
      <c r="AL260" s="1"/>
    </row>
    <row r="261" spans="1:38" x14ac:dyDescent="0.25">
      <c r="A261" s="1"/>
      <c r="AK261" s="2"/>
      <c r="AL261" s="1"/>
    </row>
    <row r="262" spans="1:38" x14ac:dyDescent="0.25">
      <c r="A262" s="1"/>
      <c r="AK262" s="2"/>
      <c r="AL262" s="1"/>
    </row>
    <row r="263" spans="1:38" x14ac:dyDescent="0.25">
      <c r="A263" s="1"/>
      <c r="AK263" s="2"/>
      <c r="AL263" s="1"/>
    </row>
    <row r="264" spans="1:38" x14ac:dyDescent="0.25">
      <c r="A264" s="1"/>
      <c r="AK264" s="2"/>
      <c r="AL264" s="1"/>
    </row>
    <row r="265" spans="1:38" x14ac:dyDescent="0.25">
      <c r="A265" s="1"/>
      <c r="AK265" s="2"/>
      <c r="AL265" s="1"/>
    </row>
    <row r="266" spans="1:38" x14ac:dyDescent="0.25">
      <c r="A266" s="1"/>
      <c r="AK266" s="2"/>
      <c r="AL266" s="1"/>
    </row>
    <row r="267" spans="1:38" x14ac:dyDescent="0.25">
      <c r="A267" s="1"/>
      <c r="AK267" s="2"/>
      <c r="AL267" s="1"/>
    </row>
    <row r="268" spans="1:38" x14ac:dyDescent="0.25">
      <c r="A268" s="1"/>
      <c r="AK268" s="2"/>
      <c r="AL268" s="1"/>
    </row>
    <row r="269" spans="1:38" x14ac:dyDescent="0.25">
      <c r="A269" s="1"/>
      <c r="AK269" s="2"/>
      <c r="AL269" s="1"/>
    </row>
    <row r="270" spans="1:38" x14ac:dyDescent="0.25">
      <c r="A270" s="1"/>
      <c r="AK270" s="2"/>
      <c r="AL270" s="1"/>
    </row>
    <row r="271" spans="1:38" x14ac:dyDescent="0.25">
      <c r="A271" s="1"/>
      <c r="AK271" s="2"/>
      <c r="AL271" s="1"/>
    </row>
    <row r="272" spans="1:38" x14ac:dyDescent="0.25">
      <c r="A272" s="1"/>
      <c r="AK272" s="2"/>
      <c r="AL272" s="1"/>
    </row>
    <row r="273" spans="1:38" x14ac:dyDescent="0.25">
      <c r="A273" s="1"/>
      <c r="AK273" s="2"/>
      <c r="AL273" s="1"/>
    </row>
    <row r="274" spans="1:38" x14ac:dyDescent="0.25">
      <c r="A274" s="1"/>
      <c r="AK274" s="2"/>
      <c r="AL274" s="1"/>
    </row>
    <row r="275" spans="1:38" x14ac:dyDescent="0.25">
      <c r="A275" s="1"/>
      <c r="AK275" s="2"/>
      <c r="AL275" s="1"/>
    </row>
    <row r="276" spans="1:38" x14ac:dyDescent="0.25">
      <c r="A276" s="1"/>
      <c r="AK276" s="2"/>
      <c r="AL276" s="1"/>
    </row>
    <row r="277" spans="1:38" x14ac:dyDescent="0.25">
      <c r="A277" s="1"/>
      <c r="AK277" s="2"/>
      <c r="AL277" s="1"/>
    </row>
    <row r="278" spans="1:38" x14ac:dyDescent="0.25">
      <c r="A278" s="1"/>
      <c r="AK278" s="2"/>
      <c r="AL278" s="1"/>
    </row>
    <row r="279" spans="1:38" x14ac:dyDescent="0.25">
      <c r="A279" s="1"/>
      <c r="AK279" s="2"/>
      <c r="AL279" s="1"/>
    </row>
    <row r="280" spans="1:38" x14ac:dyDescent="0.25">
      <c r="A280" s="1"/>
      <c r="AK280" s="2"/>
      <c r="AL280" s="1"/>
    </row>
    <row r="281" spans="1:38" x14ac:dyDescent="0.25">
      <c r="A281" s="1"/>
      <c r="AK281" s="2"/>
      <c r="AL281" s="1"/>
    </row>
    <row r="282" spans="1:38" x14ac:dyDescent="0.25">
      <c r="A282" s="1"/>
      <c r="AK282" s="2"/>
      <c r="AL282" s="1"/>
    </row>
    <row r="283" spans="1:38" x14ac:dyDescent="0.25">
      <c r="A283" s="1"/>
      <c r="AK283" s="2"/>
      <c r="AL283" s="1"/>
    </row>
    <row r="284" spans="1:38" x14ac:dyDescent="0.25">
      <c r="A284" s="1"/>
      <c r="AK284" s="2"/>
      <c r="AL284" s="1"/>
    </row>
    <row r="285" spans="1:38" x14ac:dyDescent="0.25">
      <c r="A285" s="1"/>
      <c r="AK285" s="2"/>
      <c r="AL285" s="1"/>
    </row>
    <row r="286" spans="1:38" x14ac:dyDescent="0.25">
      <c r="A286" s="1"/>
      <c r="AK286" s="2"/>
      <c r="AL286" s="1"/>
    </row>
    <row r="287" spans="1:38" x14ac:dyDescent="0.25">
      <c r="A287" s="1"/>
      <c r="AK287" s="2"/>
      <c r="AL287" s="1"/>
    </row>
    <row r="288" spans="1:38" x14ac:dyDescent="0.25">
      <c r="A288" s="1"/>
      <c r="AK288" s="2"/>
      <c r="AL288" s="1"/>
    </row>
    <row r="289" spans="1:38" x14ac:dyDescent="0.25">
      <c r="A289" s="1"/>
      <c r="AK289" s="2"/>
      <c r="AL289" s="1"/>
    </row>
    <row r="290" spans="1:38" x14ac:dyDescent="0.25">
      <c r="A290" s="1"/>
      <c r="AK290" s="2"/>
      <c r="AL290" s="1"/>
    </row>
    <row r="291" spans="1:38" x14ac:dyDescent="0.25">
      <c r="A291" s="1"/>
      <c r="AK291" s="2"/>
      <c r="AL291" s="1"/>
    </row>
    <row r="292" spans="1:38" x14ac:dyDescent="0.25">
      <c r="A292" s="1"/>
      <c r="AK292" s="2"/>
      <c r="AL292" s="1"/>
    </row>
    <row r="293" spans="1:38" x14ac:dyDescent="0.25">
      <c r="A293" s="1"/>
      <c r="AK293" s="2"/>
      <c r="AL293" s="1"/>
    </row>
    <row r="294" spans="1:38" x14ac:dyDescent="0.25">
      <c r="A294" s="1"/>
      <c r="AK294" s="2"/>
      <c r="AL294" s="1"/>
    </row>
    <row r="295" spans="1:38" x14ac:dyDescent="0.25">
      <c r="A295" s="1"/>
      <c r="AK295" s="2"/>
      <c r="AL295" s="1"/>
    </row>
    <row r="296" spans="1:38" x14ac:dyDescent="0.25">
      <c r="A296" s="1"/>
      <c r="AK296" s="2"/>
      <c r="AL296" s="1"/>
    </row>
    <row r="297" spans="1:38" x14ac:dyDescent="0.25">
      <c r="A297" s="1"/>
      <c r="AK297" s="2"/>
      <c r="AL297" s="1"/>
    </row>
    <row r="298" spans="1:38" x14ac:dyDescent="0.25">
      <c r="A298" s="1"/>
      <c r="AK298" s="2"/>
      <c r="AL298" s="1"/>
    </row>
    <row r="299" spans="1:38" x14ac:dyDescent="0.25">
      <c r="A299" s="1"/>
      <c r="AK299" s="2"/>
      <c r="AL299" s="1"/>
    </row>
    <row r="300" spans="1:38" x14ac:dyDescent="0.25">
      <c r="A300" s="1"/>
      <c r="AK300" s="2"/>
      <c r="AL300" s="1"/>
    </row>
    <row r="301" spans="1:38" x14ac:dyDescent="0.25">
      <c r="A301" s="1"/>
      <c r="AK301" s="2"/>
      <c r="AL301" s="1"/>
    </row>
    <row r="302" spans="1:38" x14ac:dyDescent="0.25">
      <c r="A302" s="1"/>
      <c r="AK302" s="2"/>
      <c r="AL302" s="1"/>
    </row>
    <row r="303" spans="1:38" x14ac:dyDescent="0.25">
      <c r="A303" s="1"/>
      <c r="AK303" s="2"/>
      <c r="AL303" s="1"/>
    </row>
    <row r="304" spans="1:38" x14ac:dyDescent="0.25">
      <c r="A304" s="1"/>
      <c r="AK304" s="2"/>
      <c r="AL304" s="1"/>
    </row>
    <row r="305" spans="1:38" x14ac:dyDescent="0.25">
      <c r="A305" s="1"/>
      <c r="AK305" s="2"/>
      <c r="AL305" s="1"/>
    </row>
    <row r="306" spans="1:38" x14ac:dyDescent="0.25">
      <c r="A306" s="1"/>
      <c r="AK306" s="2"/>
      <c r="AL306" s="1"/>
    </row>
    <row r="307" spans="1:38" x14ac:dyDescent="0.25">
      <c r="A307" s="1"/>
      <c r="AK307" s="2"/>
      <c r="AL307" s="1"/>
    </row>
    <row r="308" spans="1:38" x14ac:dyDescent="0.25">
      <c r="A308" s="1"/>
      <c r="AK308" s="2"/>
      <c r="AL308" s="1"/>
    </row>
    <row r="309" spans="1:38" x14ac:dyDescent="0.25">
      <c r="A309" s="1"/>
      <c r="AK309" s="2"/>
      <c r="AL309" s="1"/>
    </row>
    <row r="310" spans="1:38" x14ac:dyDescent="0.25">
      <c r="A310" s="1"/>
      <c r="AK310" s="2"/>
      <c r="AL310" s="1"/>
    </row>
    <row r="311" spans="1:38" x14ac:dyDescent="0.25">
      <c r="A311" s="1"/>
      <c r="AK311" s="2"/>
      <c r="AL311" s="1"/>
    </row>
    <row r="312" spans="1:38" x14ac:dyDescent="0.25">
      <c r="A312" s="1"/>
      <c r="AK312" s="2"/>
      <c r="AL312" s="1"/>
    </row>
    <row r="313" spans="1:38" x14ac:dyDescent="0.25">
      <c r="A313" s="1"/>
      <c r="AK313" s="2"/>
      <c r="AL313" s="1"/>
    </row>
    <row r="314" spans="1:38" x14ac:dyDescent="0.25">
      <c r="A314" s="1"/>
      <c r="AK314" s="2"/>
      <c r="AL314" s="1"/>
    </row>
    <row r="315" spans="1:38" x14ac:dyDescent="0.25">
      <c r="A315" s="1"/>
      <c r="AK315" s="2"/>
      <c r="AL315" s="1"/>
    </row>
    <row r="316" spans="1:38" x14ac:dyDescent="0.25">
      <c r="A316" s="1"/>
      <c r="AK316" s="2"/>
      <c r="AL316" s="1"/>
    </row>
    <row r="317" spans="1:38" x14ac:dyDescent="0.25">
      <c r="A317" s="1"/>
      <c r="AK317" s="2"/>
      <c r="AL317" s="1"/>
    </row>
    <row r="318" spans="1:38" x14ac:dyDescent="0.25">
      <c r="A318" s="1"/>
      <c r="AK318" s="2"/>
      <c r="AL318" s="1"/>
    </row>
    <row r="319" spans="1:38" x14ac:dyDescent="0.25">
      <c r="A319" s="1"/>
      <c r="AK319" s="2"/>
      <c r="AL319" s="1"/>
    </row>
    <row r="320" spans="1:38" x14ac:dyDescent="0.25">
      <c r="A320" s="1"/>
      <c r="AK320" s="2"/>
      <c r="AL320" s="1"/>
    </row>
    <row r="321" spans="1:38" x14ac:dyDescent="0.25">
      <c r="A321" s="1"/>
      <c r="AK321" s="2"/>
      <c r="AL321" s="1"/>
    </row>
    <row r="322" spans="1:38" x14ac:dyDescent="0.25">
      <c r="A322" s="1"/>
      <c r="AK322" s="2"/>
      <c r="AL322" s="1"/>
    </row>
    <row r="323" spans="1:38" x14ac:dyDescent="0.25">
      <c r="A323" s="1"/>
      <c r="AK323" s="2"/>
      <c r="AL323" s="1"/>
    </row>
    <row r="324" spans="1:38" x14ac:dyDescent="0.25">
      <c r="A324" s="1"/>
      <c r="AK324" s="2"/>
      <c r="AL324" s="1"/>
    </row>
    <row r="325" spans="1:38" x14ac:dyDescent="0.25">
      <c r="A325" s="1"/>
      <c r="AK325" s="2"/>
      <c r="AL325" s="1"/>
    </row>
    <row r="326" spans="1:38" x14ac:dyDescent="0.25">
      <c r="A326" s="1"/>
      <c r="AK326" s="2"/>
      <c r="AL326" s="1"/>
    </row>
    <row r="327" spans="1:38" x14ac:dyDescent="0.25">
      <c r="A327" s="1"/>
      <c r="AK327" s="2"/>
      <c r="AL327" s="1"/>
    </row>
    <row r="328" spans="1:38" x14ac:dyDescent="0.25">
      <c r="A328" s="1"/>
      <c r="AK328" s="2"/>
      <c r="AL328" s="1"/>
    </row>
    <row r="329" spans="1:38" x14ac:dyDescent="0.25">
      <c r="A329" s="1"/>
      <c r="AK329" s="2"/>
      <c r="AL329" s="1"/>
    </row>
    <row r="330" spans="1:38" x14ac:dyDescent="0.25">
      <c r="A330" s="1"/>
      <c r="AK330" s="2"/>
      <c r="AL330" s="1"/>
    </row>
    <row r="331" spans="1:38" x14ac:dyDescent="0.25">
      <c r="A331" s="1"/>
      <c r="AK331" s="2"/>
      <c r="AL331" s="1"/>
    </row>
    <row r="332" spans="1:38" x14ac:dyDescent="0.25">
      <c r="A332" s="1"/>
      <c r="AK332" s="2"/>
      <c r="AL332" s="1"/>
    </row>
    <row r="333" spans="1:38" x14ac:dyDescent="0.25">
      <c r="A333" s="1"/>
      <c r="AK333" s="2"/>
      <c r="AL333" s="1"/>
    </row>
    <row r="334" spans="1:38" x14ac:dyDescent="0.25">
      <c r="A334" s="1"/>
      <c r="AK334" s="2"/>
      <c r="AL334" s="1"/>
    </row>
    <row r="335" spans="1:38" x14ac:dyDescent="0.25">
      <c r="A335" s="1"/>
      <c r="AK335" s="2"/>
      <c r="AL335" s="1"/>
    </row>
    <row r="336" spans="1:38" x14ac:dyDescent="0.25">
      <c r="A336" s="1"/>
      <c r="AK336" s="2"/>
      <c r="AL336" s="1"/>
    </row>
    <row r="337" spans="1:38" x14ac:dyDescent="0.25">
      <c r="A337" s="1"/>
      <c r="AK337" s="2"/>
      <c r="AL337" s="1"/>
    </row>
    <row r="338" spans="1:38" x14ac:dyDescent="0.25">
      <c r="A338" s="1"/>
      <c r="AK338" s="2"/>
      <c r="AL338" s="1"/>
    </row>
    <row r="339" spans="1:38" x14ac:dyDescent="0.25">
      <c r="A339" s="1"/>
      <c r="AK339" s="2"/>
      <c r="AL339" s="1"/>
    </row>
    <row r="340" spans="1:38" x14ac:dyDescent="0.25">
      <c r="A340" s="1"/>
      <c r="AK340" s="2"/>
      <c r="AL340" s="1"/>
    </row>
    <row r="341" spans="1:38" x14ac:dyDescent="0.25">
      <c r="A341" s="1"/>
      <c r="AK341" s="2"/>
      <c r="AL341" s="1"/>
    </row>
    <row r="342" spans="1:38" x14ac:dyDescent="0.25">
      <c r="A342" s="1"/>
      <c r="AK342" s="2"/>
      <c r="AL342" s="1"/>
    </row>
    <row r="343" spans="1:38" x14ac:dyDescent="0.25">
      <c r="A343" s="1"/>
      <c r="AK343" s="2"/>
      <c r="AL343" s="1"/>
    </row>
    <row r="344" spans="1:38" x14ac:dyDescent="0.25">
      <c r="A344" s="1"/>
      <c r="AK344" s="2"/>
      <c r="AL344" s="1"/>
    </row>
    <row r="345" spans="1:38" x14ac:dyDescent="0.25">
      <c r="A345" s="1"/>
      <c r="AK345" s="2"/>
      <c r="AL345" s="1"/>
    </row>
    <row r="346" spans="1:38" x14ac:dyDescent="0.25">
      <c r="A346" s="1"/>
      <c r="AK346" s="2"/>
      <c r="AL346" s="1"/>
    </row>
    <row r="347" spans="1:38" x14ac:dyDescent="0.25">
      <c r="A347" s="1"/>
      <c r="AK347" s="2"/>
      <c r="AL347" s="1"/>
    </row>
    <row r="348" spans="1:38" x14ac:dyDescent="0.25">
      <c r="A348" s="1"/>
      <c r="AK348" s="2"/>
      <c r="AL348" s="1"/>
    </row>
    <row r="349" spans="1:38" x14ac:dyDescent="0.25">
      <c r="A349" s="1"/>
      <c r="AK349" s="2"/>
      <c r="AL349" s="1"/>
    </row>
    <row r="350" spans="1:38" x14ac:dyDescent="0.25">
      <c r="A350" s="1"/>
      <c r="AK350" s="2"/>
      <c r="AL350" s="1"/>
    </row>
    <row r="351" spans="1:38" x14ac:dyDescent="0.25">
      <c r="A351" s="1"/>
      <c r="AK351" s="2"/>
      <c r="AL351" s="1"/>
    </row>
    <row r="352" spans="1:38" x14ac:dyDescent="0.25">
      <c r="A352" s="1"/>
      <c r="AK352" s="2"/>
      <c r="AL352" s="1"/>
    </row>
    <row r="353" spans="1:38" x14ac:dyDescent="0.25">
      <c r="A353" s="1"/>
      <c r="AK353" s="2"/>
      <c r="AL353" s="1"/>
    </row>
    <row r="354" spans="1:38" x14ac:dyDescent="0.25">
      <c r="A354" s="1"/>
      <c r="AK354" s="2"/>
      <c r="AL354" s="1"/>
    </row>
    <row r="355" spans="1:38" x14ac:dyDescent="0.25">
      <c r="A355" s="1"/>
      <c r="AK355" s="2"/>
      <c r="AL355" s="1"/>
    </row>
    <row r="356" spans="1:38" x14ac:dyDescent="0.25">
      <c r="A356" s="1"/>
      <c r="AK356" s="2"/>
      <c r="AL356" s="1"/>
    </row>
    <row r="357" spans="1:38" x14ac:dyDescent="0.25">
      <c r="A357" s="1"/>
      <c r="AK357" s="2"/>
      <c r="AL357" s="1"/>
    </row>
    <row r="358" spans="1:38" x14ac:dyDescent="0.25">
      <c r="A358" s="1"/>
      <c r="AK358" s="2"/>
      <c r="AL358" s="1"/>
    </row>
    <row r="359" spans="1:38" x14ac:dyDescent="0.25">
      <c r="A359" s="1"/>
      <c r="AK359" s="2"/>
      <c r="AL359" s="1"/>
    </row>
    <row r="360" spans="1:38" x14ac:dyDescent="0.25">
      <c r="A360" s="1"/>
      <c r="AK360" s="2"/>
      <c r="AL360" s="1"/>
    </row>
    <row r="361" spans="1:38" x14ac:dyDescent="0.25">
      <c r="A361" s="1"/>
      <c r="AK361" s="2"/>
      <c r="AL361" s="1"/>
    </row>
    <row r="362" spans="1:38" x14ac:dyDescent="0.25">
      <c r="A362" s="1"/>
      <c r="AK362" s="2"/>
      <c r="AL362" s="1"/>
    </row>
    <row r="363" spans="1:38" x14ac:dyDescent="0.25">
      <c r="A363" s="1"/>
      <c r="AK363" s="2"/>
      <c r="AL363" s="1"/>
    </row>
    <row r="364" spans="1:38" x14ac:dyDescent="0.25">
      <c r="A364" s="1"/>
      <c r="AK364" s="2"/>
      <c r="AL364" s="1"/>
    </row>
    <row r="365" spans="1:38" x14ac:dyDescent="0.25">
      <c r="A365" s="1"/>
      <c r="AK365" s="2"/>
      <c r="AL365" s="1"/>
    </row>
    <row r="366" spans="1:38" x14ac:dyDescent="0.25">
      <c r="A366" s="1"/>
      <c r="AK366" s="2"/>
      <c r="AL366" s="1"/>
    </row>
    <row r="367" spans="1:38" x14ac:dyDescent="0.25">
      <c r="A367" s="1"/>
      <c r="AK367" s="2"/>
      <c r="AL367" s="1"/>
    </row>
    <row r="368" spans="1:38" x14ac:dyDescent="0.25">
      <c r="A368" s="1"/>
      <c r="AK368" s="2"/>
      <c r="AL368" s="1"/>
    </row>
    <row r="369" spans="1:38" x14ac:dyDescent="0.25">
      <c r="A369" s="1"/>
      <c r="AK369" s="2"/>
      <c r="AL369" s="1"/>
    </row>
    <row r="370" spans="1:38" x14ac:dyDescent="0.25">
      <c r="A370" s="1"/>
      <c r="AK370" s="2"/>
      <c r="AL370" s="1"/>
    </row>
    <row r="371" spans="1:38" x14ac:dyDescent="0.25">
      <c r="A371" s="1"/>
      <c r="AK371" s="2"/>
      <c r="AL371" s="1"/>
    </row>
    <row r="372" spans="1:38" x14ac:dyDescent="0.25">
      <c r="A372" s="1"/>
      <c r="AK372" s="2"/>
      <c r="AL372" s="1"/>
    </row>
    <row r="373" spans="1:38" x14ac:dyDescent="0.25">
      <c r="A373" s="1"/>
      <c r="AK373" s="2"/>
      <c r="AL373" s="1"/>
    </row>
    <row r="374" spans="1:38" x14ac:dyDescent="0.25">
      <c r="A374" s="1"/>
      <c r="AK374" s="2"/>
      <c r="AL374" s="1"/>
    </row>
    <row r="375" spans="1:38" x14ac:dyDescent="0.25">
      <c r="A375" s="1"/>
      <c r="AK375" s="2"/>
      <c r="AL375" s="1"/>
    </row>
    <row r="376" spans="1:38" x14ac:dyDescent="0.25">
      <c r="A376" s="1"/>
      <c r="AK376" s="2"/>
      <c r="AL376" s="1"/>
    </row>
    <row r="377" spans="1:38" x14ac:dyDescent="0.25">
      <c r="A377" s="1"/>
      <c r="AK377" s="2"/>
      <c r="AL377" s="1"/>
    </row>
    <row r="378" spans="1:38" x14ac:dyDescent="0.25">
      <c r="A378" s="1"/>
      <c r="AK378" s="2"/>
      <c r="AL378" s="1"/>
    </row>
    <row r="379" spans="1:38" x14ac:dyDescent="0.25">
      <c r="A379" s="1"/>
      <c r="AK379" s="2"/>
      <c r="AL379" s="1"/>
    </row>
    <row r="380" spans="1:38" x14ac:dyDescent="0.25">
      <c r="A380" s="1"/>
      <c r="AK380" s="2"/>
      <c r="AL380" s="1"/>
    </row>
    <row r="381" spans="1:38" x14ac:dyDescent="0.25">
      <c r="A381" s="1"/>
      <c r="AK381" s="2"/>
      <c r="AL381" s="1"/>
    </row>
    <row r="382" spans="1:38" x14ac:dyDescent="0.25">
      <c r="A382" s="1"/>
      <c r="AK382" s="2"/>
      <c r="AL382" s="1"/>
    </row>
    <row r="383" spans="1:38" x14ac:dyDescent="0.25">
      <c r="A383" s="1"/>
      <c r="AK383" s="2"/>
      <c r="AL383" s="1"/>
    </row>
    <row r="384" spans="1:38" x14ac:dyDescent="0.25">
      <c r="A384" s="1"/>
      <c r="AK384" s="2"/>
      <c r="AL384" s="1"/>
    </row>
    <row r="385" spans="1:38" x14ac:dyDescent="0.25">
      <c r="A385" s="1"/>
      <c r="AK385" s="2"/>
      <c r="AL385" s="1"/>
    </row>
    <row r="386" spans="1:38" x14ac:dyDescent="0.25">
      <c r="A386" s="1"/>
      <c r="AK386" s="2"/>
      <c r="AL386" s="1"/>
    </row>
    <row r="387" spans="1:38" x14ac:dyDescent="0.25">
      <c r="A387" s="1"/>
      <c r="AK387" s="2"/>
      <c r="AL387" s="1"/>
    </row>
    <row r="388" spans="1:38" x14ac:dyDescent="0.25">
      <c r="A388" s="1"/>
      <c r="AK388" s="2"/>
      <c r="AL388" s="1"/>
    </row>
    <row r="389" spans="1:38" x14ac:dyDescent="0.25">
      <c r="A389" s="1"/>
      <c r="AK389" s="2"/>
      <c r="AL389" s="1"/>
    </row>
    <row r="390" spans="1:38" x14ac:dyDescent="0.25">
      <c r="A390" s="1"/>
      <c r="AK390" s="2"/>
      <c r="AL390" s="1"/>
    </row>
    <row r="391" spans="1:38" x14ac:dyDescent="0.25">
      <c r="A391" s="1"/>
      <c r="AK391" s="2"/>
      <c r="AL391" s="1"/>
    </row>
    <row r="392" spans="1:38" x14ac:dyDescent="0.25">
      <c r="A392" s="1"/>
      <c r="AK392" s="2"/>
      <c r="AL392" s="1"/>
    </row>
    <row r="393" spans="1:38" x14ac:dyDescent="0.25">
      <c r="A393" s="1"/>
      <c r="AK393" s="2"/>
      <c r="AL393" s="1"/>
    </row>
    <row r="394" spans="1:38" x14ac:dyDescent="0.25">
      <c r="A394" s="1"/>
      <c r="AK394" s="2"/>
      <c r="AL394" s="1"/>
    </row>
    <row r="395" spans="1:38" x14ac:dyDescent="0.25">
      <c r="A395" s="1"/>
      <c r="AK395" s="2"/>
      <c r="AL395" s="1"/>
    </row>
    <row r="396" spans="1:38" x14ac:dyDescent="0.25">
      <c r="A396" s="1"/>
      <c r="AK396" s="2"/>
      <c r="AL396" s="1"/>
    </row>
    <row r="397" spans="1:38" x14ac:dyDescent="0.25">
      <c r="A397" s="1"/>
      <c r="AK397" s="2"/>
      <c r="AL397" s="1"/>
    </row>
    <row r="398" spans="1:38" x14ac:dyDescent="0.25">
      <c r="A398" s="1"/>
      <c r="AK398" s="2"/>
      <c r="AL398" s="1"/>
    </row>
    <row r="399" spans="1:38" x14ac:dyDescent="0.25">
      <c r="A399" s="1"/>
      <c r="AK399" s="2"/>
      <c r="AL399" s="1"/>
    </row>
    <row r="400" spans="1:38" x14ac:dyDescent="0.25">
      <c r="A400" s="1"/>
      <c r="AK400" s="2"/>
      <c r="AL400" s="1"/>
    </row>
    <row r="401" spans="1:38" x14ac:dyDescent="0.25">
      <c r="A401" s="1"/>
      <c r="AK401" s="2"/>
      <c r="AL401" s="1"/>
    </row>
    <row r="402" spans="1:38" x14ac:dyDescent="0.25">
      <c r="A402" s="1"/>
      <c r="AK402" s="2"/>
      <c r="AL402" s="1"/>
    </row>
    <row r="403" spans="1:38" x14ac:dyDescent="0.25">
      <c r="A403" s="1"/>
      <c r="AK403" s="2"/>
      <c r="AL403" s="1"/>
    </row>
    <row r="404" spans="1:38" x14ac:dyDescent="0.25">
      <c r="A404" s="1"/>
      <c r="AK404" s="2"/>
      <c r="AL404" s="1"/>
    </row>
    <row r="405" spans="1:38" x14ac:dyDescent="0.25">
      <c r="A405" s="1"/>
      <c r="AK405" s="2"/>
      <c r="AL405" s="1"/>
    </row>
    <row r="406" spans="1:38" x14ac:dyDescent="0.25">
      <c r="A406" s="1"/>
      <c r="AK406" s="2"/>
      <c r="AL406" s="1"/>
    </row>
    <row r="407" spans="1:38" x14ac:dyDescent="0.25">
      <c r="A407" s="1"/>
      <c r="AK407" s="2"/>
      <c r="AL407" s="1"/>
    </row>
    <row r="408" spans="1:38" x14ac:dyDescent="0.25">
      <c r="A408" s="1"/>
      <c r="AK408" s="2"/>
      <c r="AL408" s="1"/>
    </row>
    <row r="409" spans="1:38" x14ac:dyDescent="0.25">
      <c r="A409" s="1"/>
      <c r="AK409" s="2"/>
      <c r="AL409" s="1"/>
    </row>
    <row r="410" spans="1:38" x14ac:dyDescent="0.25">
      <c r="A410" s="1"/>
      <c r="AK410" s="2"/>
      <c r="AL410" s="1"/>
    </row>
    <row r="411" spans="1:38" x14ac:dyDescent="0.25">
      <c r="A411" s="1"/>
      <c r="AK411" s="2"/>
      <c r="AL411" s="1"/>
    </row>
    <row r="412" spans="1:38" x14ac:dyDescent="0.25">
      <c r="A412" s="1"/>
      <c r="AK412" s="2"/>
      <c r="AL412" s="1"/>
    </row>
    <row r="413" spans="1:38" x14ac:dyDescent="0.25">
      <c r="A413" s="1"/>
      <c r="AK413" s="2"/>
      <c r="AL413" s="1"/>
    </row>
    <row r="414" spans="1:38" x14ac:dyDescent="0.25">
      <c r="A414" s="1"/>
      <c r="AK414" s="2"/>
      <c r="AL414" s="1"/>
    </row>
    <row r="415" spans="1:38" x14ac:dyDescent="0.25">
      <c r="A415" s="1"/>
      <c r="AK415" s="2"/>
      <c r="AL415" s="1"/>
    </row>
    <row r="416" spans="1:38" x14ac:dyDescent="0.25">
      <c r="A416" s="1"/>
      <c r="AK416" s="2"/>
      <c r="AL416" s="1"/>
    </row>
    <row r="417" spans="1:38" x14ac:dyDescent="0.25">
      <c r="A417" s="1"/>
      <c r="AK417" s="2"/>
      <c r="AL417" s="1"/>
    </row>
    <row r="418" spans="1:38" x14ac:dyDescent="0.25">
      <c r="A418" s="1"/>
      <c r="AK418" s="2"/>
      <c r="AL418" s="1"/>
    </row>
    <row r="419" spans="1:38" x14ac:dyDescent="0.25">
      <c r="A419" s="1"/>
      <c r="AK419" s="2"/>
      <c r="AL419" s="1"/>
    </row>
    <row r="420" spans="1:38" x14ac:dyDescent="0.25">
      <c r="A420" s="1"/>
      <c r="AK420" s="2"/>
      <c r="AL420" s="1"/>
    </row>
    <row r="421" spans="1:38" x14ac:dyDescent="0.25">
      <c r="A421" s="1"/>
      <c r="AK421" s="2"/>
      <c r="AL421" s="1"/>
    </row>
    <row r="422" spans="1:38" x14ac:dyDescent="0.25">
      <c r="A422" s="1"/>
      <c r="AK422" s="2"/>
      <c r="AL422" s="1"/>
    </row>
    <row r="423" spans="1:38" x14ac:dyDescent="0.25">
      <c r="A423" s="1"/>
      <c r="AK423" s="2"/>
      <c r="AL423" s="1"/>
    </row>
    <row r="424" spans="1:38" x14ac:dyDescent="0.25">
      <c r="A424" s="1"/>
      <c r="AK424" s="2"/>
      <c r="AL424" s="1"/>
    </row>
    <row r="425" spans="1:38" x14ac:dyDescent="0.25">
      <c r="A425" s="1"/>
      <c r="AK425" s="2"/>
      <c r="AL425" s="1"/>
    </row>
    <row r="426" spans="1:38" x14ac:dyDescent="0.25">
      <c r="A426" s="1"/>
      <c r="AK426" s="2"/>
      <c r="AL426" s="1"/>
    </row>
    <row r="427" spans="1:38" x14ac:dyDescent="0.25">
      <c r="A427" s="1"/>
      <c r="AK427" s="2"/>
      <c r="AL427" s="1"/>
    </row>
    <row r="428" spans="1:38" x14ac:dyDescent="0.25">
      <c r="A428" s="1"/>
      <c r="AK428" s="2"/>
      <c r="AL428" s="1"/>
    </row>
    <row r="429" spans="1:38" x14ac:dyDescent="0.25">
      <c r="A429" s="1"/>
      <c r="AK429" s="2"/>
      <c r="AL429" s="1"/>
    </row>
    <row r="430" spans="1:38" x14ac:dyDescent="0.25">
      <c r="A430" s="1"/>
      <c r="AK430" s="2"/>
      <c r="AL430" s="1"/>
    </row>
    <row r="431" spans="1:38" x14ac:dyDescent="0.25">
      <c r="A431" s="1"/>
      <c r="AK431" s="2"/>
      <c r="AL431" s="1"/>
    </row>
    <row r="432" spans="1:38" x14ac:dyDescent="0.25">
      <c r="A432" s="1"/>
      <c r="AK432" s="2"/>
      <c r="AL432" s="1"/>
    </row>
    <row r="433" spans="1:38" x14ac:dyDescent="0.25">
      <c r="A433" s="1"/>
      <c r="AK433" s="2"/>
      <c r="AL433" s="1"/>
    </row>
    <row r="434" spans="1:38" x14ac:dyDescent="0.25">
      <c r="A434" s="1"/>
      <c r="AK434" s="2"/>
      <c r="AL434" s="1"/>
    </row>
    <row r="435" spans="1:38" x14ac:dyDescent="0.25">
      <c r="A435" s="1"/>
      <c r="AK435" s="2"/>
      <c r="AL435" s="1"/>
    </row>
    <row r="436" spans="1:38" x14ac:dyDescent="0.25">
      <c r="A436" s="1"/>
      <c r="AK436" s="2"/>
      <c r="AL436" s="1"/>
    </row>
    <row r="437" spans="1:38" x14ac:dyDescent="0.25">
      <c r="A437" s="1"/>
      <c r="AK437" s="2"/>
      <c r="AL437" s="1"/>
    </row>
    <row r="438" spans="1:38" x14ac:dyDescent="0.25">
      <c r="A438" s="1"/>
      <c r="AK438" s="2"/>
      <c r="AL438" s="1"/>
    </row>
    <row r="439" spans="1:38" x14ac:dyDescent="0.25">
      <c r="A439" s="1"/>
      <c r="AK439" s="2"/>
      <c r="AL439" s="1"/>
    </row>
    <row r="440" spans="1:38" x14ac:dyDescent="0.25">
      <c r="A440" s="1"/>
      <c r="AK440" s="2"/>
      <c r="AL440" s="1"/>
    </row>
    <row r="441" spans="1:38" x14ac:dyDescent="0.25">
      <c r="A441" s="1"/>
      <c r="AK441" s="2"/>
      <c r="AL441" s="1"/>
    </row>
    <row r="442" spans="1:38" x14ac:dyDescent="0.25">
      <c r="A442" s="1"/>
      <c r="AK442" s="2"/>
      <c r="AL442" s="1"/>
    </row>
    <row r="443" spans="1:38" x14ac:dyDescent="0.25">
      <c r="A443" s="1"/>
      <c r="AK443" s="2"/>
      <c r="AL443" s="1"/>
    </row>
    <row r="444" spans="1:38" x14ac:dyDescent="0.25">
      <c r="A444" s="1"/>
      <c r="AK444" s="2"/>
      <c r="AL444" s="1"/>
    </row>
    <row r="445" spans="1:38" x14ac:dyDescent="0.25">
      <c r="A445" s="1"/>
      <c r="AK445" s="2"/>
      <c r="AL445" s="1"/>
    </row>
    <row r="446" spans="1:38" x14ac:dyDescent="0.25">
      <c r="A446" s="1"/>
      <c r="AK446" s="2"/>
      <c r="AL446" s="1"/>
    </row>
    <row r="447" spans="1:38" x14ac:dyDescent="0.25">
      <c r="A447" s="1"/>
      <c r="AK447" s="2"/>
      <c r="AL447" s="1"/>
    </row>
    <row r="448" spans="1:38" x14ac:dyDescent="0.25">
      <c r="A448" s="1"/>
      <c r="AK448" s="2"/>
      <c r="AL448" s="1"/>
    </row>
    <row r="449" spans="1:38" x14ac:dyDescent="0.25">
      <c r="A449" s="1"/>
      <c r="AK449" s="2"/>
      <c r="AL449" s="1"/>
    </row>
    <row r="450" spans="1:38" x14ac:dyDescent="0.25">
      <c r="A450" s="1"/>
      <c r="AK450" s="2"/>
      <c r="AL450" s="1"/>
    </row>
    <row r="451" spans="1:38" x14ac:dyDescent="0.25">
      <c r="A451" s="1"/>
      <c r="AK451" s="2"/>
      <c r="AL451" s="1"/>
    </row>
    <row r="452" spans="1:38" x14ac:dyDescent="0.25">
      <c r="A452" s="1"/>
      <c r="AK452" s="2"/>
      <c r="AL452" s="1"/>
    </row>
    <row r="453" spans="1:38" x14ac:dyDescent="0.25">
      <c r="A453" s="1"/>
      <c r="AK453" s="2"/>
      <c r="AL453" s="1"/>
    </row>
    <row r="454" spans="1:38" x14ac:dyDescent="0.25">
      <c r="A454" s="1"/>
      <c r="AK454" s="2"/>
      <c r="AL454" s="1"/>
    </row>
    <row r="455" spans="1:38" x14ac:dyDescent="0.25">
      <c r="A455" s="1"/>
      <c r="AK455" s="2"/>
      <c r="AL455" s="1"/>
    </row>
    <row r="456" spans="1:38" x14ac:dyDescent="0.25">
      <c r="A456" s="1"/>
      <c r="AK456" s="2"/>
      <c r="AL456" s="1"/>
    </row>
    <row r="457" spans="1:38" x14ac:dyDescent="0.25">
      <c r="A457" s="1"/>
      <c r="AK457" s="2"/>
      <c r="AL457" s="1"/>
    </row>
    <row r="458" spans="1:38" x14ac:dyDescent="0.25">
      <c r="A458" s="1"/>
      <c r="AK458" s="2"/>
      <c r="AL458" s="1"/>
    </row>
    <row r="459" spans="1:38" x14ac:dyDescent="0.25">
      <c r="A459" s="1"/>
      <c r="AK459" s="2"/>
      <c r="AL459" s="1"/>
    </row>
    <row r="460" spans="1:38" x14ac:dyDescent="0.25">
      <c r="A460" s="1"/>
      <c r="AK460" s="2"/>
      <c r="AL460" s="1"/>
    </row>
    <row r="461" spans="1:38" x14ac:dyDescent="0.25">
      <c r="A461" s="1"/>
      <c r="AK461" s="2"/>
      <c r="AL461" s="1"/>
    </row>
    <row r="462" spans="1:38" x14ac:dyDescent="0.25">
      <c r="A462" s="1"/>
      <c r="AK462" s="2"/>
      <c r="AL462" s="1"/>
    </row>
    <row r="463" spans="1:38" x14ac:dyDescent="0.25">
      <c r="A463" s="1"/>
      <c r="AK463" s="2"/>
      <c r="AL463" s="1"/>
    </row>
    <row r="464" spans="1:38" x14ac:dyDescent="0.25">
      <c r="A464" s="1"/>
      <c r="AK464" s="2"/>
      <c r="AL464" s="1"/>
    </row>
    <row r="465" spans="1:38" x14ac:dyDescent="0.25">
      <c r="A465" s="1"/>
      <c r="AK465" s="2"/>
      <c r="AL465" s="1"/>
    </row>
    <row r="466" spans="1:38" x14ac:dyDescent="0.25">
      <c r="A466" s="1"/>
      <c r="AK466" s="2"/>
      <c r="AL466" s="1"/>
    </row>
    <row r="467" spans="1:38" x14ac:dyDescent="0.25">
      <c r="A467" s="1"/>
      <c r="AK467" s="2"/>
      <c r="AL467" s="1"/>
    </row>
    <row r="468" spans="1:38" x14ac:dyDescent="0.25">
      <c r="A468" s="1"/>
      <c r="AK468" s="2"/>
      <c r="AL468" s="1"/>
    </row>
    <row r="469" spans="1:38" x14ac:dyDescent="0.25">
      <c r="A469" s="1"/>
      <c r="AK469" s="2"/>
      <c r="AL469" s="1"/>
    </row>
    <row r="470" spans="1:38" x14ac:dyDescent="0.25">
      <c r="A470" s="1"/>
      <c r="AK470" s="2"/>
      <c r="AL470" s="1"/>
    </row>
    <row r="471" spans="1:38" x14ac:dyDescent="0.25">
      <c r="A471" s="1"/>
      <c r="AK471" s="2"/>
      <c r="AL471" s="1"/>
    </row>
    <row r="472" spans="1:38" x14ac:dyDescent="0.25">
      <c r="A472" s="1"/>
      <c r="AK472" s="2"/>
      <c r="AL472" s="1"/>
    </row>
    <row r="473" spans="1:38" x14ac:dyDescent="0.25">
      <c r="A473" s="1"/>
      <c r="AK473" s="2"/>
      <c r="AL473" s="1"/>
    </row>
    <row r="474" spans="1:38" x14ac:dyDescent="0.25">
      <c r="A474" s="1"/>
      <c r="AK474" s="2"/>
      <c r="AL474" s="1"/>
    </row>
    <row r="475" spans="1:38" x14ac:dyDescent="0.25">
      <c r="A475" s="1"/>
      <c r="AK475" s="2"/>
      <c r="AL475" s="1"/>
    </row>
    <row r="476" spans="1:38" x14ac:dyDescent="0.25">
      <c r="A476" s="1"/>
      <c r="AK476" s="2"/>
      <c r="AL476" s="1"/>
    </row>
    <row r="477" spans="1:38" x14ac:dyDescent="0.25">
      <c r="A477" s="1"/>
      <c r="AK477" s="2"/>
      <c r="AL477" s="1"/>
    </row>
    <row r="478" spans="1:38" x14ac:dyDescent="0.25">
      <c r="A478" s="1"/>
      <c r="AK478" s="2"/>
      <c r="AL478" s="1"/>
    </row>
    <row r="479" spans="1:38" x14ac:dyDescent="0.25">
      <c r="A479" s="1"/>
      <c r="AK479" s="2"/>
      <c r="AL479" s="1"/>
    </row>
    <row r="480" spans="1:38" x14ac:dyDescent="0.25">
      <c r="A480" s="1"/>
      <c r="AK480" s="2"/>
      <c r="AL480" s="1"/>
    </row>
    <row r="481" spans="1:38" x14ac:dyDescent="0.25">
      <c r="A481" s="1"/>
      <c r="AK481" s="2"/>
      <c r="AL481" s="1"/>
    </row>
    <row r="482" spans="1:38" x14ac:dyDescent="0.25">
      <c r="A482" s="1"/>
      <c r="AK482" s="2"/>
      <c r="AL482" s="1"/>
    </row>
    <row r="483" spans="1:38" x14ac:dyDescent="0.25">
      <c r="A483" s="1"/>
      <c r="AK483" s="2"/>
      <c r="AL483" s="1"/>
    </row>
    <row r="484" spans="1:38" x14ac:dyDescent="0.25">
      <c r="A484" s="1"/>
      <c r="AK484" s="2"/>
      <c r="AL484" s="1"/>
    </row>
    <row r="485" spans="1:38" x14ac:dyDescent="0.25">
      <c r="A485" s="1"/>
      <c r="AK485" s="2"/>
      <c r="AL485" s="1"/>
    </row>
    <row r="486" spans="1:38" x14ac:dyDescent="0.25">
      <c r="A486" s="1"/>
      <c r="AK486" s="2"/>
      <c r="AL486" s="1"/>
    </row>
    <row r="487" spans="1:38" x14ac:dyDescent="0.25">
      <c r="A487" s="1"/>
      <c r="AK487" s="2"/>
      <c r="AL487" s="1"/>
    </row>
    <row r="488" spans="1:38" x14ac:dyDescent="0.25">
      <c r="A488" s="1"/>
      <c r="AK488" s="2"/>
      <c r="AL488" s="1"/>
    </row>
    <row r="489" spans="1:38" x14ac:dyDescent="0.25">
      <c r="A489" s="1"/>
      <c r="AK489" s="2"/>
      <c r="AL489" s="1"/>
    </row>
    <row r="490" spans="1:38" x14ac:dyDescent="0.25">
      <c r="A490" s="1"/>
      <c r="AK490" s="2"/>
      <c r="AL490" s="1"/>
    </row>
    <row r="491" spans="1:38" x14ac:dyDescent="0.25">
      <c r="A491" s="1"/>
      <c r="AK491" s="2"/>
      <c r="AL491" s="1"/>
    </row>
    <row r="492" spans="1:38" x14ac:dyDescent="0.25">
      <c r="A492" s="1"/>
      <c r="AK492" s="2"/>
      <c r="AL492" s="1"/>
    </row>
    <row r="493" spans="1:38" x14ac:dyDescent="0.25">
      <c r="A493" s="1"/>
      <c r="AK493" s="2"/>
      <c r="AL493" s="1"/>
    </row>
    <row r="494" spans="1:38" x14ac:dyDescent="0.25">
      <c r="A494" s="1"/>
      <c r="AK494" s="2"/>
      <c r="AL494" s="1"/>
    </row>
    <row r="495" spans="1:38" x14ac:dyDescent="0.25">
      <c r="A495" s="1"/>
      <c r="AK495" s="2"/>
      <c r="AL495" s="1"/>
    </row>
    <row r="496" spans="1:38" x14ac:dyDescent="0.25">
      <c r="A496" s="1"/>
      <c r="AK496" s="2"/>
      <c r="AL496" s="1"/>
    </row>
    <row r="497" spans="1:38" x14ac:dyDescent="0.25">
      <c r="A497" s="1"/>
      <c r="AK497" s="2"/>
      <c r="AL497" s="1"/>
    </row>
    <row r="498" spans="1:38" x14ac:dyDescent="0.25">
      <c r="A498" s="1"/>
      <c r="AK498" s="2"/>
      <c r="AL498" s="1"/>
    </row>
    <row r="499" spans="1:38" x14ac:dyDescent="0.25">
      <c r="A499" s="1"/>
      <c r="AK499" s="2"/>
      <c r="AL499" s="1"/>
    </row>
    <row r="500" spans="1:38" x14ac:dyDescent="0.25">
      <c r="A500" s="1"/>
      <c r="AK500" s="2"/>
      <c r="AL500" s="1"/>
    </row>
    <row r="501" spans="1:38" x14ac:dyDescent="0.25">
      <c r="A501" s="1"/>
      <c r="AK501" s="2"/>
      <c r="AL501" s="1"/>
    </row>
    <row r="502" spans="1:38" x14ac:dyDescent="0.25">
      <c r="A502" s="1"/>
      <c r="AK502" s="2"/>
      <c r="AL502" s="1"/>
    </row>
    <row r="503" spans="1:38" x14ac:dyDescent="0.25">
      <c r="A503" s="1"/>
      <c r="AK503" s="2"/>
      <c r="AL503" s="1"/>
    </row>
    <row r="504" spans="1:38" x14ac:dyDescent="0.25">
      <c r="A504" s="1"/>
      <c r="AK504" s="2"/>
      <c r="AL504" s="1"/>
    </row>
    <row r="505" spans="1:38" x14ac:dyDescent="0.25">
      <c r="A505" s="1"/>
      <c r="AK505" s="2"/>
      <c r="AL505" s="1"/>
    </row>
    <row r="506" spans="1:38" x14ac:dyDescent="0.25">
      <c r="A506" s="1"/>
      <c r="AK506" s="2"/>
      <c r="AL506" s="1"/>
    </row>
    <row r="507" spans="1:38" x14ac:dyDescent="0.25">
      <c r="A507" s="1"/>
      <c r="AK507" s="2"/>
      <c r="AL507" s="1"/>
    </row>
    <row r="508" spans="1:38" x14ac:dyDescent="0.25">
      <c r="A508" s="1"/>
      <c r="AK508" s="2"/>
      <c r="AL508" s="1"/>
    </row>
    <row r="509" spans="1:38" x14ac:dyDescent="0.25">
      <c r="A509" s="1"/>
      <c r="AK509" s="2"/>
      <c r="AL509" s="1"/>
    </row>
    <row r="510" spans="1:38" x14ac:dyDescent="0.25">
      <c r="A510" s="1"/>
      <c r="AK510" s="2"/>
      <c r="AL510" s="1"/>
    </row>
    <row r="511" spans="1:38" x14ac:dyDescent="0.25">
      <c r="A511" s="1"/>
      <c r="AK511" s="2"/>
      <c r="AL511" s="1"/>
    </row>
    <row r="512" spans="1:38" x14ac:dyDescent="0.25">
      <c r="A512" s="1"/>
      <c r="AK512" s="2"/>
      <c r="AL512" s="1"/>
    </row>
    <row r="513" spans="1:38" x14ac:dyDescent="0.25">
      <c r="A513" s="1"/>
      <c r="AK513" s="2"/>
      <c r="AL513" s="1"/>
    </row>
    <row r="514" spans="1:38" x14ac:dyDescent="0.25">
      <c r="A514" s="1"/>
      <c r="AK514" s="2"/>
      <c r="AL514" s="1"/>
    </row>
    <row r="515" spans="1:38" x14ac:dyDescent="0.25">
      <c r="A515" s="1"/>
      <c r="AK515" s="2"/>
      <c r="AL515" s="1"/>
    </row>
    <row r="516" spans="1:38" x14ac:dyDescent="0.25">
      <c r="A516" s="1"/>
      <c r="AK516" s="2"/>
      <c r="AL516" s="1"/>
    </row>
    <row r="517" spans="1:38" x14ac:dyDescent="0.25">
      <c r="A517" s="1"/>
      <c r="AK517" s="2"/>
      <c r="AL517" s="1"/>
    </row>
    <row r="518" spans="1:38" x14ac:dyDescent="0.25">
      <c r="A518" s="1"/>
      <c r="AK518" s="2"/>
      <c r="AL518" s="1"/>
    </row>
    <row r="519" spans="1:38" x14ac:dyDescent="0.25">
      <c r="A519" s="1"/>
      <c r="AK519" s="2"/>
      <c r="AL519" s="1"/>
    </row>
    <row r="520" spans="1:38" x14ac:dyDescent="0.25">
      <c r="A520" s="1"/>
      <c r="AK520" s="2"/>
      <c r="AL520" s="1"/>
    </row>
    <row r="521" spans="1:38" x14ac:dyDescent="0.25">
      <c r="A521" s="1"/>
      <c r="AK521" s="2"/>
      <c r="AL521" s="1"/>
    </row>
    <row r="522" spans="1:38" x14ac:dyDescent="0.25">
      <c r="A522" s="1"/>
      <c r="AK522" s="2"/>
      <c r="AL522" s="1"/>
    </row>
    <row r="523" spans="1:38" x14ac:dyDescent="0.25">
      <c r="A523" s="1"/>
      <c r="AK523" s="2"/>
      <c r="AL523" s="1"/>
    </row>
    <row r="524" spans="1:38" x14ac:dyDescent="0.25">
      <c r="A524" s="1"/>
      <c r="AK524" s="2"/>
      <c r="AL524" s="1"/>
    </row>
    <row r="525" spans="1:38" x14ac:dyDescent="0.25">
      <c r="A525" s="1"/>
      <c r="AK525" s="2"/>
      <c r="AL525" s="1"/>
    </row>
    <row r="526" spans="1:38" x14ac:dyDescent="0.25">
      <c r="A526" s="1"/>
      <c r="AK526" s="2"/>
      <c r="AL526" s="1"/>
    </row>
    <row r="527" spans="1:38" x14ac:dyDescent="0.25">
      <c r="A527" s="1"/>
      <c r="AK527" s="2"/>
      <c r="AL527" s="1"/>
    </row>
    <row r="528" spans="1:38" x14ac:dyDescent="0.25">
      <c r="A528" s="1"/>
      <c r="AK528" s="2"/>
      <c r="AL528" s="1"/>
    </row>
    <row r="529" spans="1:38" x14ac:dyDescent="0.25">
      <c r="A529" s="1"/>
      <c r="AK529" s="2"/>
      <c r="AL529" s="1"/>
    </row>
    <row r="530" spans="1:38" x14ac:dyDescent="0.25">
      <c r="A530" s="1"/>
      <c r="AK530" s="2"/>
      <c r="AL530" s="1"/>
    </row>
    <row r="531" spans="1:38" x14ac:dyDescent="0.25">
      <c r="A531" s="1"/>
      <c r="AK531" s="2"/>
      <c r="AL531" s="1"/>
    </row>
    <row r="532" spans="1:38" x14ac:dyDescent="0.25">
      <c r="A532" s="1"/>
      <c r="AK532" s="2"/>
      <c r="AL532" s="1"/>
    </row>
    <row r="533" spans="1:38" x14ac:dyDescent="0.25">
      <c r="A533" s="1"/>
      <c r="AK533" s="2"/>
      <c r="AL533" s="1"/>
    </row>
    <row r="534" spans="1:38" x14ac:dyDescent="0.25">
      <c r="A534" s="1"/>
      <c r="AK534" s="2"/>
      <c r="AL534" s="1"/>
    </row>
    <row r="535" spans="1:38" x14ac:dyDescent="0.25">
      <c r="A535" s="1"/>
      <c r="AK535" s="2"/>
      <c r="AL535" s="1"/>
    </row>
    <row r="536" spans="1:38" x14ac:dyDescent="0.25">
      <c r="A536" s="1"/>
      <c r="AK536" s="2"/>
      <c r="AL536" s="1"/>
    </row>
    <row r="537" spans="1:38" x14ac:dyDescent="0.25">
      <c r="A537" s="1"/>
      <c r="AK537" s="2"/>
      <c r="AL537" s="1"/>
    </row>
    <row r="538" spans="1:38" x14ac:dyDescent="0.25">
      <c r="A538" s="1"/>
      <c r="AK538" s="2"/>
      <c r="AL538" s="1"/>
    </row>
    <row r="539" spans="1:38" x14ac:dyDescent="0.25">
      <c r="A539" s="1"/>
      <c r="AK539" s="2"/>
      <c r="AL539" s="1"/>
    </row>
    <row r="540" spans="1:38" x14ac:dyDescent="0.25">
      <c r="A540" s="1"/>
      <c r="AK540" s="2"/>
      <c r="AL540" s="1"/>
    </row>
    <row r="541" spans="1:38" x14ac:dyDescent="0.25">
      <c r="A541" s="1"/>
      <c r="AK541" s="2"/>
      <c r="AL541" s="1"/>
    </row>
    <row r="542" spans="1:38" x14ac:dyDescent="0.25">
      <c r="A542" s="1"/>
      <c r="AK542" s="2"/>
      <c r="AL542" s="1"/>
    </row>
    <row r="543" spans="1:38" x14ac:dyDescent="0.25">
      <c r="A543" s="1"/>
      <c r="AK543" s="2"/>
      <c r="AL543" s="1"/>
    </row>
    <row r="544" spans="1:38" x14ac:dyDescent="0.25">
      <c r="A544" s="1"/>
      <c r="AK544" s="2"/>
      <c r="AL544" s="1"/>
    </row>
    <row r="545" spans="1:38" x14ac:dyDescent="0.25">
      <c r="A545" s="1"/>
      <c r="AK545" s="2"/>
      <c r="AL545" s="1"/>
    </row>
    <row r="546" spans="1:38" x14ac:dyDescent="0.25">
      <c r="A546" s="1"/>
      <c r="AK546" s="2"/>
      <c r="AL546" s="1"/>
    </row>
    <row r="547" spans="1:38" x14ac:dyDescent="0.25">
      <c r="A547" s="1"/>
      <c r="AK547" s="2"/>
      <c r="AL547" s="1"/>
    </row>
    <row r="548" spans="1:38" x14ac:dyDescent="0.25">
      <c r="A548" s="1"/>
      <c r="AK548" s="2"/>
      <c r="AL548" s="1"/>
    </row>
    <row r="549" spans="1:38" x14ac:dyDescent="0.25">
      <c r="A549" s="1"/>
      <c r="AK549" s="2"/>
      <c r="AL549" s="1"/>
    </row>
    <row r="550" spans="1:38" x14ac:dyDescent="0.25">
      <c r="A550" s="1"/>
      <c r="AK550" s="2"/>
      <c r="AL550" s="1"/>
    </row>
    <row r="551" spans="1:38" x14ac:dyDescent="0.25">
      <c r="A551" s="1"/>
      <c r="AK551" s="2"/>
      <c r="AL551" s="1"/>
    </row>
    <row r="552" spans="1:38" x14ac:dyDescent="0.25">
      <c r="A552" s="1"/>
      <c r="AK552" s="2"/>
      <c r="AL552" s="1"/>
    </row>
    <row r="553" spans="1:38" x14ac:dyDescent="0.25">
      <c r="A553" s="1"/>
      <c r="AK553" s="2"/>
      <c r="AL553" s="1"/>
    </row>
    <row r="554" spans="1:38" x14ac:dyDescent="0.25">
      <c r="A554" s="1"/>
      <c r="AK554" s="2"/>
      <c r="AL554" s="1"/>
    </row>
    <row r="555" spans="1:38" x14ac:dyDescent="0.25">
      <c r="A555" s="1"/>
      <c r="AK555" s="2"/>
      <c r="AL555" s="1"/>
    </row>
    <row r="556" spans="1:38" x14ac:dyDescent="0.25">
      <c r="A556" s="1"/>
      <c r="AK556" s="2"/>
      <c r="AL556" s="1"/>
    </row>
    <row r="557" spans="1:38" x14ac:dyDescent="0.25">
      <c r="A557" s="1"/>
      <c r="AK557" s="2"/>
      <c r="AL557" s="1"/>
    </row>
    <row r="558" spans="1:38" x14ac:dyDescent="0.25">
      <c r="A558" s="1"/>
      <c r="AK558" s="2"/>
      <c r="AL558" s="1"/>
    </row>
    <row r="559" spans="1:38" x14ac:dyDescent="0.25">
      <c r="A559" s="1"/>
      <c r="AK559" s="2"/>
      <c r="AL559" s="1"/>
    </row>
    <row r="560" spans="1:38" x14ac:dyDescent="0.25">
      <c r="A560" s="1"/>
      <c r="AK560" s="2"/>
      <c r="AL560" s="1"/>
    </row>
    <row r="561" spans="1:38" x14ac:dyDescent="0.25">
      <c r="A561" s="1"/>
      <c r="AK561" s="2"/>
      <c r="AL561" s="1"/>
    </row>
    <row r="562" spans="1:38" x14ac:dyDescent="0.25">
      <c r="A562" s="1"/>
      <c r="AK562" s="2"/>
      <c r="AL562" s="1"/>
    </row>
    <row r="563" spans="1:38" x14ac:dyDescent="0.25">
      <c r="A563" s="1"/>
      <c r="AK563" s="2"/>
      <c r="AL563" s="1"/>
    </row>
    <row r="564" spans="1:38" x14ac:dyDescent="0.25">
      <c r="A564" s="1"/>
      <c r="AK564" s="2"/>
      <c r="AL564" s="1"/>
    </row>
    <row r="565" spans="1:38" x14ac:dyDescent="0.25">
      <c r="A565" s="1"/>
      <c r="AK565" s="2"/>
      <c r="AL565" s="1"/>
    </row>
    <row r="566" spans="1:38" x14ac:dyDescent="0.25">
      <c r="A566" s="1"/>
      <c r="AK566" s="2"/>
      <c r="AL566" s="1"/>
    </row>
    <row r="567" spans="1:38" x14ac:dyDescent="0.25">
      <c r="A567" s="1"/>
      <c r="AK567" s="2"/>
      <c r="AL567" s="1"/>
    </row>
    <row r="568" spans="1:38" x14ac:dyDescent="0.25">
      <c r="A568" s="1"/>
      <c r="AK568" s="2"/>
      <c r="AL568" s="1"/>
    </row>
    <row r="569" spans="1:38" x14ac:dyDescent="0.25">
      <c r="A569" s="1"/>
      <c r="AK569" s="2"/>
      <c r="AL569" s="1"/>
    </row>
    <row r="570" spans="1:38" x14ac:dyDescent="0.25">
      <c r="A570" s="1"/>
      <c r="AK570" s="2"/>
      <c r="AL570" s="1"/>
    </row>
    <row r="571" spans="1:38" x14ac:dyDescent="0.25">
      <c r="A571" s="1"/>
      <c r="AK571" s="2"/>
      <c r="AL571" s="1"/>
    </row>
    <row r="572" spans="1:38" x14ac:dyDescent="0.25">
      <c r="A572" s="1"/>
      <c r="AK572" s="2"/>
      <c r="AL572" s="1"/>
    </row>
    <row r="573" spans="1:38" x14ac:dyDescent="0.25">
      <c r="A573" s="1"/>
      <c r="AK573" s="2"/>
      <c r="AL573" s="1"/>
    </row>
    <row r="574" spans="1:38" x14ac:dyDescent="0.25">
      <c r="A574" s="1"/>
      <c r="AK574" s="2"/>
      <c r="AL574" s="1"/>
    </row>
    <row r="575" spans="1:38" x14ac:dyDescent="0.25">
      <c r="A575" s="1"/>
      <c r="AK575" s="2"/>
      <c r="AL575" s="1"/>
    </row>
    <row r="576" spans="1:38" x14ac:dyDescent="0.25">
      <c r="A576" s="1"/>
      <c r="AK576" s="2"/>
      <c r="AL576" s="1"/>
    </row>
    <row r="577" spans="1:38" x14ac:dyDescent="0.25">
      <c r="A577" s="1"/>
      <c r="AK577" s="2"/>
      <c r="AL577" s="1"/>
    </row>
    <row r="578" spans="1:38" x14ac:dyDescent="0.25">
      <c r="A578" s="1"/>
      <c r="AK578" s="2"/>
      <c r="AL578" s="1"/>
    </row>
    <row r="579" spans="1:38" x14ac:dyDescent="0.25">
      <c r="A579" s="1"/>
      <c r="AK579" s="2"/>
      <c r="AL579" s="1"/>
    </row>
    <row r="580" spans="1:38" x14ac:dyDescent="0.25">
      <c r="A580" s="1"/>
      <c r="AK580" s="2"/>
      <c r="AL580" s="1"/>
    </row>
    <row r="581" spans="1:38" x14ac:dyDescent="0.25">
      <c r="A581" s="1"/>
      <c r="AK581" s="2"/>
      <c r="AL581" s="1"/>
    </row>
    <row r="582" spans="1:38" x14ac:dyDescent="0.25">
      <c r="A582" s="1"/>
      <c r="AK582" s="2"/>
      <c r="AL582" s="1"/>
    </row>
    <row r="583" spans="1:38" x14ac:dyDescent="0.25">
      <c r="A583" s="1"/>
      <c r="AK583" s="2"/>
      <c r="AL583" s="1"/>
    </row>
    <row r="584" spans="1:38" x14ac:dyDescent="0.25">
      <c r="A584" s="1"/>
      <c r="AK584" s="2"/>
      <c r="AL584" s="1"/>
    </row>
    <row r="585" spans="1:38" x14ac:dyDescent="0.25">
      <c r="A585" s="1"/>
      <c r="AK585" s="2"/>
      <c r="AL585" s="1"/>
    </row>
    <row r="586" spans="1:38" x14ac:dyDescent="0.25">
      <c r="A586" s="1"/>
      <c r="AK586" s="2"/>
      <c r="AL586" s="1"/>
    </row>
    <row r="587" spans="1:38" x14ac:dyDescent="0.25">
      <c r="A587" s="1"/>
      <c r="AK587" s="2"/>
      <c r="AL587" s="1"/>
    </row>
    <row r="588" spans="1:38" x14ac:dyDescent="0.25">
      <c r="A588" s="1"/>
      <c r="AK588" s="2"/>
      <c r="AL588" s="1"/>
    </row>
    <row r="589" spans="1:38" x14ac:dyDescent="0.25">
      <c r="A589" s="1"/>
      <c r="AK589" s="2"/>
      <c r="AL589" s="1"/>
    </row>
    <row r="590" spans="1:38" x14ac:dyDescent="0.25">
      <c r="A590" s="1"/>
      <c r="AK590" s="2"/>
      <c r="AL590" s="1"/>
    </row>
    <row r="591" spans="1:38" x14ac:dyDescent="0.25">
      <c r="A591" s="1"/>
      <c r="AK591" s="2"/>
      <c r="AL591" s="1"/>
    </row>
    <row r="592" spans="1:38" x14ac:dyDescent="0.25">
      <c r="A592" s="1"/>
      <c r="AK592" s="2"/>
      <c r="AL592" s="1"/>
    </row>
    <row r="593" spans="1:38" x14ac:dyDescent="0.25">
      <c r="A593" s="1"/>
      <c r="AK593" s="2"/>
      <c r="AL593" s="1"/>
    </row>
    <row r="594" spans="1:38" x14ac:dyDescent="0.25">
      <c r="A594" s="1"/>
      <c r="AK594" s="2"/>
      <c r="AL594" s="1"/>
    </row>
    <row r="595" spans="1:38" x14ac:dyDescent="0.25">
      <c r="A595" s="1"/>
      <c r="AK595" s="2"/>
      <c r="AL595" s="1"/>
    </row>
    <row r="596" spans="1:38" x14ac:dyDescent="0.25">
      <c r="A596" s="1"/>
      <c r="AK596" s="2"/>
      <c r="AL596" s="1"/>
    </row>
    <row r="597" spans="1:38" x14ac:dyDescent="0.25">
      <c r="A597" s="1"/>
      <c r="AK597" s="2"/>
      <c r="AL597" s="1"/>
    </row>
    <row r="598" spans="1:38" x14ac:dyDescent="0.25">
      <c r="A598" s="1"/>
      <c r="AK598" s="2"/>
      <c r="AL598" s="1"/>
    </row>
    <row r="599" spans="1:38" x14ac:dyDescent="0.25">
      <c r="A599" s="1"/>
      <c r="AK599" s="2"/>
      <c r="AL599" s="1"/>
    </row>
    <row r="600" spans="1:38" x14ac:dyDescent="0.25">
      <c r="A600" s="1"/>
      <c r="AK600" s="2"/>
      <c r="AL600" s="1"/>
    </row>
    <row r="601" spans="1:38" x14ac:dyDescent="0.25">
      <c r="A601" s="1"/>
      <c r="AK601" s="2"/>
      <c r="AL601" s="1"/>
    </row>
    <row r="602" spans="1:38" x14ac:dyDescent="0.25">
      <c r="A602" s="1"/>
      <c r="AK602" s="2"/>
      <c r="AL602" s="1"/>
    </row>
    <row r="603" spans="1:38" x14ac:dyDescent="0.25">
      <c r="A603" s="1"/>
      <c r="AK603" s="2"/>
      <c r="AL603" s="1"/>
    </row>
    <row r="604" spans="1:38" x14ac:dyDescent="0.25">
      <c r="A604" s="1"/>
      <c r="AK604" s="2"/>
      <c r="AL604" s="1"/>
    </row>
    <row r="605" spans="1:38" x14ac:dyDescent="0.25">
      <c r="A605" s="1"/>
      <c r="AK605" s="2"/>
      <c r="AL605" s="1"/>
    </row>
    <row r="606" spans="1:38" x14ac:dyDescent="0.25">
      <c r="A606" s="1"/>
      <c r="AK606" s="2"/>
      <c r="AL606" s="1"/>
    </row>
    <row r="607" spans="1:38" x14ac:dyDescent="0.25">
      <c r="A607" s="1"/>
      <c r="AK607" s="2"/>
      <c r="AL607" s="1"/>
    </row>
    <row r="608" spans="1:38" x14ac:dyDescent="0.25">
      <c r="A608" s="1"/>
      <c r="AK608" s="2"/>
      <c r="AL608" s="1"/>
    </row>
    <row r="609" spans="1:38" x14ac:dyDescent="0.25">
      <c r="A609" s="1"/>
      <c r="AK609" s="2"/>
      <c r="AL609" s="1"/>
    </row>
    <row r="610" spans="1:38" x14ac:dyDescent="0.25">
      <c r="A610" s="1"/>
      <c r="AK610" s="2"/>
      <c r="AL610" s="1"/>
    </row>
    <row r="611" spans="1:38" x14ac:dyDescent="0.25">
      <c r="A611" s="1"/>
      <c r="AK611" s="2"/>
      <c r="AL611" s="1"/>
    </row>
    <row r="612" spans="1:38" x14ac:dyDescent="0.25">
      <c r="A612" s="1"/>
      <c r="AK612" s="2"/>
      <c r="AL612" s="1"/>
    </row>
    <row r="613" spans="1:38" x14ac:dyDescent="0.25">
      <c r="A613" s="1"/>
      <c r="AK613" s="2"/>
      <c r="AL613" s="1"/>
    </row>
    <row r="614" spans="1:38" x14ac:dyDescent="0.25">
      <c r="A614" s="1"/>
      <c r="AK614" s="2"/>
      <c r="AL614" s="1"/>
    </row>
    <row r="615" spans="1:38" x14ac:dyDescent="0.25">
      <c r="A615" s="1"/>
      <c r="AK615" s="2"/>
      <c r="AL615" s="1"/>
    </row>
    <row r="616" spans="1:38" x14ac:dyDescent="0.25">
      <c r="A616" s="1"/>
      <c r="AK616" s="2"/>
      <c r="AL616" s="1"/>
    </row>
    <row r="617" spans="1:38" x14ac:dyDescent="0.25">
      <c r="A617" s="1"/>
      <c r="AK617" s="2"/>
      <c r="AL617" s="1"/>
    </row>
    <row r="618" spans="1:38" x14ac:dyDescent="0.25">
      <c r="A618" s="1"/>
      <c r="AK618" s="2"/>
      <c r="AL618" s="1"/>
    </row>
    <row r="619" spans="1:38" x14ac:dyDescent="0.25">
      <c r="A619" s="1"/>
      <c r="AK619" s="2"/>
      <c r="AL619" s="1"/>
    </row>
    <row r="620" spans="1:38" x14ac:dyDescent="0.25">
      <c r="A620" s="1"/>
      <c r="AK620" s="2"/>
      <c r="AL620" s="1"/>
    </row>
    <row r="621" spans="1:38" x14ac:dyDescent="0.25">
      <c r="A621" s="1"/>
      <c r="AK621" s="2"/>
      <c r="AL621" s="1"/>
    </row>
    <row r="622" spans="1:38" x14ac:dyDescent="0.25">
      <c r="A622" s="1"/>
      <c r="AK622" s="2"/>
      <c r="AL622" s="1"/>
    </row>
    <row r="623" spans="1:38" x14ac:dyDescent="0.25">
      <c r="A623" s="1"/>
      <c r="AK623" s="2"/>
      <c r="AL623" s="1"/>
    </row>
    <row r="624" spans="1:38" x14ac:dyDescent="0.25">
      <c r="A624" s="1"/>
      <c r="AK624" s="2"/>
      <c r="AL624" s="1"/>
    </row>
    <row r="625" spans="1:38" x14ac:dyDescent="0.25">
      <c r="A625" s="1"/>
      <c r="AK625" s="2"/>
      <c r="AL625" s="1"/>
    </row>
    <row r="626" spans="1:38" x14ac:dyDescent="0.25">
      <c r="A626" s="1"/>
      <c r="AK626" s="2"/>
      <c r="AL626" s="1"/>
    </row>
    <row r="627" spans="1:38" x14ac:dyDescent="0.25">
      <c r="A627" s="1"/>
      <c r="AK627" s="2"/>
      <c r="AL627" s="1"/>
    </row>
    <row r="628" spans="1:38" x14ac:dyDescent="0.25">
      <c r="A628" s="1"/>
      <c r="AK628" s="2"/>
      <c r="AL628" s="1"/>
    </row>
    <row r="629" spans="1:38" x14ac:dyDescent="0.25">
      <c r="A629" s="1"/>
      <c r="AK629" s="2"/>
      <c r="AL629" s="1"/>
    </row>
    <row r="630" spans="1:38" x14ac:dyDescent="0.25">
      <c r="A630" s="1"/>
      <c r="AK630" s="2"/>
      <c r="AL630" s="1"/>
    </row>
    <row r="631" spans="1:38" x14ac:dyDescent="0.25">
      <c r="A631" s="1"/>
      <c r="AK631" s="2"/>
      <c r="AL631" s="1"/>
    </row>
    <row r="632" spans="1:38" x14ac:dyDescent="0.25">
      <c r="A632" s="1"/>
      <c r="AK632" s="2"/>
      <c r="AL632" s="1"/>
    </row>
    <row r="633" spans="1:38" x14ac:dyDescent="0.25">
      <c r="A633" s="1"/>
      <c r="AK633" s="2"/>
      <c r="AL633" s="1"/>
    </row>
    <row r="634" spans="1:38" x14ac:dyDescent="0.25">
      <c r="A634" s="1"/>
      <c r="AK634" s="2"/>
      <c r="AL634" s="1"/>
    </row>
    <row r="635" spans="1:38" x14ac:dyDescent="0.25">
      <c r="A635" s="1"/>
      <c r="AK635" s="2"/>
      <c r="AL635" s="1"/>
    </row>
    <row r="636" spans="1:38" x14ac:dyDescent="0.25">
      <c r="A636" s="1"/>
      <c r="AK636" s="2"/>
      <c r="AL636" s="1"/>
    </row>
    <row r="637" spans="1:38" x14ac:dyDescent="0.25">
      <c r="A637" s="1"/>
      <c r="AK637" s="2"/>
      <c r="AL637" s="1"/>
    </row>
    <row r="638" spans="1:38" x14ac:dyDescent="0.25">
      <c r="A638" s="1"/>
      <c r="AK638" s="2"/>
      <c r="AL638" s="1"/>
    </row>
    <row r="639" spans="1:38" x14ac:dyDescent="0.25">
      <c r="A639" s="1"/>
      <c r="AK639" s="2"/>
      <c r="AL639" s="1"/>
    </row>
    <row r="640" spans="1:38" x14ac:dyDescent="0.25">
      <c r="A640" s="1"/>
      <c r="AK640" s="2"/>
      <c r="AL640" s="1"/>
    </row>
    <row r="641" spans="1:38" x14ac:dyDescent="0.25">
      <c r="A641" s="1"/>
      <c r="AK641" s="2"/>
      <c r="AL641" s="1"/>
    </row>
    <row r="642" spans="1:38" x14ac:dyDescent="0.25">
      <c r="A642" s="1"/>
      <c r="AK642" s="2"/>
      <c r="AL642" s="1"/>
    </row>
    <row r="643" spans="1:38" x14ac:dyDescent="0.25">
      <c r="A643" s="1"/>
      <c r="AK643" s="2"/>
      <c r="AL643" s="1"/>
    </row>
    <row r="644" spans="1:38" x14ac:dyDescent="0.25">
      <c r="A644" s="1"/>
      <c r="AK644" s="2"/>
      <c r="AL644" s="1"/>
    </row>
    <row r="645" spans="1:38" x14ac:dyDescent="0.25">
      <c r="A645" s="1"/>
      <c r="AK645" s="2"/>
      <c r="AL645" s="1"/>
    </row>
    <row r="646" spans="1:38" x14ac:dyDescent="0.25">
      <c r="A646" s="1"/>
      <c r="AK646" s="2"/>
      <c r="AL646" s="1"/>
    </row>
    <row r="647" spans="1:38" x14ac:dyDescent="0.25">
      <c r="A647" s="1"/>
      <c r="AK647" s="2"/>
      <c r="AL647" s="1"/>
    </row>
    <row r="648" spans="1:38" x14ac:dyDescent="0.25">
      <c r="A648" s="1"/>
      <c r="AK648" s="2"/>
      <c r="AL648" s="1"/>
    </row>
    <row r="649" spans="1:38" x14ac:dyDescent="0.25">
      <c r="A649" s="1"/>
      <c r="AK649" s="2"/>
      <c r="AL649" s="1"/>
    </row>
    <row r="650" spans="1:38" x14ac:dyDescent="0.25">
      <c r="A650" s="1"/>
      <c r="AK650" s="2"/>
      <c r="AL650" s="1"/>
    </row>
    <row r="651" spans="1:38" x14ac:dyDescent="0.25">
      <c r="A651" s="1"/>
      <c r="AK651" s="2"/>
      <c r="AL651" s="1"/>
    </row>
    <row r="652" spans="1:38" x14ac:dyDescent="0.25">
      <c r="A652" s="1"/>
      <c r="AK652" s="2"/>
      <c r="AL652" s="1"/>
    </row>
    <row r="653" spans="1:38" x14ac:dyDescent="0.25">
      <c r="A653" s="1"/>
      <c r="AK653" s="2"/>
      <c r="AL653" s="1"/>
    </row>
    <row r="654" spans="1:38" x14ac:dyDescent="0.25">
      <c r="A654" s="1"/>
      <c r="AK654" s="2"/>
      <c r="AL654" s="1"/>
    </row>
    <row r="655" spans="1:38" x14ac:dyDescent="0.25">
      <c r="A655" s="1"/>
      <c r="AK655" s="2"/>
      <c r="AL655" s="1"/>
    </row>
    <row r="656" spans="1:38" x14ac:dyDescent="0.25">
      <c r="A656" s="1"/>
      <c r="AK656" s="2"/>
      <c r="AL656" s="1"/>
    </row>
    <row r="657" spans="1:38" x14ac:dyDescent="0.25">
      <c r="A657" s="1"/>
      <c r="AK657" s="2"/>
      <c r="AL657" s="1"/>
    </row>
    <row r="658" spans="1:38" x14ac:dyDescent="0.25">
      <c r="A658" s="1"/>
      <c r="AK658" s="2"/>
      <c r="AL658" s="1"/>
    </row>
    <row r="659" spans="1:38" x14ac:dyDescent="0.25">
      <c r="A659" s="1"/>
      <c r="AK659" s="2"/>
      <c r="AL659" s="1"/>
    </row>
    <row r="660" spans="1:38" x14ac:dyDescent="0.25">
      <c r="A660" s="1"/>
      <c r="AK660" s="2"/>
      <c r="AL660" s="1"/>
    </row>
    <row r="661" spans="1:38" x14ac:dyDescent="0.25">
      <c r="A661" s="1"/>
      <c r="AK661" s="2"/>
      <c r="AL661" s="1"/>
    </row>
    <row r="662" spans="1:38" x14ac:dyDescent="0.25">
      <c r="A662" s="1"/>
      <c r="AK662" s="2"/>
      <c r="AL662" s="1"/>
    </row>
    <row r="663" spans="1:38" x14ac:dyDescent="0.25">
      <c r="A663" s="1"/>
      <c r="AK663" s="2"/>
      <c r="AL663" s="1"/>
    </row>
    <row r="664" spans="1:38" x14ac:dyDescent="0.25">
      <c r="A664" s="1"/>
      <c r="AK664" s="2"/>
      <c r="AL664" s="1"/>
    </row>
    <row r="665" spans="1:38" x14ac:dyDescent="0.25">
      <c r="A665" s="1"/>
      <c r="AK665" s="2"/>
      <c r="AL665" s="1"/>
    </row>
    <row r="666" spans="1:38" x14ac:dyDescent="0.25">
      <c r="A666" s="1"/>
      <c r="AK666" s="2"/>
      <c r="AL666" s="1"/>
    </row>
    <row r="667" spans="1:38" x14ac:dyDescent="0.25">
      <c r="A667" s="1"/>
      <c r="AK667" s="2"/>
      <c r="AL667" s="1"/>
    </row>
    <row r="668" spans="1:38" x14ac:dyDescent="0.25">
      <c r="A668" s="1"/>
      <c r="AK668" s="2"/>
      <c r="AL668" s="1"/>
    </row>
    <row r="669" spans="1:38" x14ac:dyDescent="0.25">
      <c r="A669" s="1"/>
      <c r="AK669" s="2"/>
      <c r="AL669" s="1"/>
    </row>
    <row r="670" spans="1:38" x14ac:dyDescent="0.25">
      <c r="A670" s="1"/>
      <c r="AK670" s="2"/>
      <c r="AL670" s="1"/>
    </row>
    <row r="671" spans="1:38" x14ac:dyDescent="0.25">
      <c r="A671" s="1"/>
      <c r="AK671" s="2"/>
      <c r="AL671" s="1"/>
    </row>
    <row r="672" spans="1:38" x14ac:dyDescent="0.25">
      <c r="A672" s="1"/>
      <c r="AK672" s="2"/>
      <c r="AL672" s="1"/>
    </row>
    <row r="673" spans="1:38" x14ac:dyDescent="0.25">
      <c r="A673" s="1"/>
      <c r="AK673" s="2"/>
      <c r="AL673" s="1"/>
    </row>
    <row r="674" spans="1:38" x14ac:dyDescent="0.25">
      <c r="A674" s="1"/>
      <c r="AK674" s="2"/>
      <c r="AL674" s="1"/>
    </row>
    <row r="675" spans="1:38" x14ac:dyDescent="0.25">
      <c r="A675" s="1"/>
      <c r="AK675" s="2"/>
      <c r="AL675" s="1"/>
    </row>
    <row r="676" spans="1:38" x14ac:dyDescent="0.25">
      <c r="A676" s="1"/>
      <c r="AK676" s="2"/>
      <c r="AL676" s="1"/>
    </row>
    <row r="677" spans="1:38" x14ac:dyDescent="0.25">
      <c r="A677" s="1"/>
      <c r="AK677" s="2"/>
      <c r="AL677" s="1"/>
    </row>
    <row r="678" spans="1:38" x14ac:dyDescent="0.25">
      <c r="A678" s="1"/>
      <c r="AK678" s="2"/>
      <c r="AL678" s="1"/>
    </row>
    <row r="679" spans="1:38" x14ac:dyDescent="0.25">
      <c r="A679" s="1"/>
      <c r="AK679" s="2"/>
      <c r="AL679" s="1"/>
    </row>
    <row r="680" spans="1:38" x14ac:dyDescent="0.25">
      <c r="A680" s="1"/>
      <c r="AK680" s="2"/>
      <c r="AL680" s="1"/>
    </row>
    <row r="681" spans="1:38" x14ac:dyDescent="0.25">
      <c r="A681" s="1"/>
      <c r="AK681" s="2"/>
      <c r="AL681" s="1"/>
    </row>
    <row r="682" spans="1:38" x14ac:dyDescent="0.25">
      <c r="A682" s="1"/>
      <c r="AK682" s="2"/>
      <c r="AL682" s="1"/>
    </row>
    <row r="683" spans="1:38" x14ac:dyDescent="0.25">
      <c r="A683" s="1"/>
      <c r="AK683" s="2"/>
      <c r="AL683" s="1"/>
    </row>
    <row r="684" spans="1:38" x14ac:dyDescent="0.25">
      <c r="A684" s="1"/>
      <c r="AK684" s="2"/>
      <c r="AL684" s="1"/>
    </row>
    <row r="685" spans="1:38" x14ac:dyDescent="0.25">
      <c r="A685" s="1"/>
      <c r="AK685" s="2"/>
      <c r="AL685" s="1"/>
    </row>
    <row r="686" spans="1:38" x14ac:dyDescent="0.25">
      <c r="A686" s="1"/>
      <c r="AK686" s="2"/>
      <c r="AL686" s="1"/>
    </row>
    <row r="687" spans="1:38" x14ac:dyDescent="0.25">
      <c r="A687" s="1"/>
      <c r="AK687" s="2"/>
      <c r="AL687" s="1"/>
    </row>
    <row r="688" spans="1:38" x14ac:dyDescent="0.25">
      <c r="A688" s="1"/>
      <c r="AK688" s="2"/>
      <c r="AL688" s="1"/>
    </row>
    <row r="689" spans="1:38" x14ac:dyDescent="0.25">
      <c r="A689" s="1"/>
      <c r="AK689" s="2"/>
      <c r="AL689" s="1"/>
    </row>
    <row r="690" spans="1:38" x14ac:dyDescent="0.25">
      <c r="A690" s="1"/>
      <c r="AK690" s="2"/>
      <c r="AL690" s="1"/>
    </row>
    <row r="691" spans="1:38" x14ac:dyDescent="0.25">
      <c r="A691" s="1"/>
      <c r="AK691" s="2"/>
      <c r="AL691" s="1"/>
    </row>
    <row r="692" spans="1:38" x14ac:dyDescent="0.25">
      <c r="A692" s="1"/>
      <c r="AK692" s="2"/>
      <c r="AL692" s="1"/>
    </row>
    <row r="693" spans="1:38" x14ac:dyDescent="0.25">
      <c r="A693" s="1"/>
      <c r="AK693" s="2"/>
      <c r="AL693" s="1"/>
    </row>
    <row r="694" spans="1:38" x14ac:dyDescent="0.25">
      <c r="A694" s="1"/>
      <c r="AK694" s="2"/>
      <c r="AL694" s="1"/>
    </row>
    <row r="695" spans="1:38" x14ac:dyDescent="0.25">
      <c r="A695" s="1"/>
      <c r="AK695" s="2"/>
      <c r="AL695" s="1"/>
    </row>
    <row r="696" spans="1:38" x14ac:dyDescent="0.25">
      <c r="A696" s="1"/>
      <c r="AK696" s="2"/>
      <c r="AL696" s="1"/>
    </row>
    <row r="697" spans="1:38" x14ac:dyDescent="0.25">
      <c r="A697" s="1"/>
      <c r="AK697" s="2"/>
      <c r="AL697" s="1"/>
    </row>
    <row r="698" spans="1:38" x14ac:dyDescent="0.25">
      <c r="A698" s="1"/>
      <c r="AK698" s="2"/>
      <c r="AL698" s="1"/>
    </row>
    <row r="699" spans="1:38" x14ac:dyDescent="0.25">
      <c r="A699" s="1"/>
      <c r="AK699" s="2"/>
      <c r="AL699" s="1"/>
    </row>
    <row r="700" spans="1:38" x14ac:dyDescent="0.25">
      <c r="A700" s="1"/>
      <c r="AK700" s="2"/>
      <c r="AL700" s="1"/>
    </row>
    <row r="701" spans="1:38" x14ac:dyDescent="0.25">
      <c r="A701" s="1"/>
      <c r="AK701" s="2"/>
      <c r="AL701" s="1"/>
    </row>
    <row r="702" spans="1:38" x14ac:dyDescent="0.25">
      <c r="A702" s="1"/>
      <c r="AK702" s="2"/>
      <c r="AL702" s="1"/>
    </row>
    <row r="703" spans="1:38" x14ac:dyDescent="0.25">
      <c r="A703" s="1"/>
      <c r="AK703" s="2"/>
      <c r="AL703" s="1"/>
    </row>
    <row r="704" spans="1:38" x14ac:dyDescent="0.25">
      <c r="A704" s="1"/>
      <c r="AK704" s="2"/>
      <c r="AL704" s="1"/>
    </row>
    <row r="705" spans="1:38" x14ac:dyDescent="0.25">
      <c r="A705" s="1"/>
      <c r="AK705" s="2"/>
      <c r="AL705" s="1"/>
    </row>
    <row r="706" spans="1:38" x14ac:dyDescent="0.25">
      <c r="A706" s="1"/>
      <c r="AK706" s="2"/>
      <c r="AL706" s="1"/>
    </row>
    <row r="707" spans="1:38" x14ac:dyDescent="0.25">
      <c r="A707" s="1"/>
      <c r="AK707" s="2"/>
      <c r="AL707" s="1"/>
    </row>
    <row r="708" spans="1:38" x14ac:dyDescent="0.25">
      <c r="A708" s="1"/>
      <c r="AK708" s="2"/>
      <c r="AL708" s="1"/>
    </row>
    <row r="709" spans="1:38" x14ac:dyDescent="0.25">
      <c r="A709" s="1"/>
      <c r="AK709" s="2"/>
      <c r="AL709" s="1"/>
    </row>
    <row r="710" spans="1:38" x14ac:dyDescent="0.25">
      <c r="A710" s="1"/>
      <c r="AK710" s="2"/>
      <c r="AL710" s="1"/>
    </row>
    <row r="711" spans="1:38" x14ac:dyDescent="0.25">
      <c r="A711" s="1"/>
      <c r="AK711" s="2"/>
      <c r="AL711" s="1"/>
    </row>
    <row r="712" spans="1:38" x14ac:dyDescent="0.25">
      <c r="A712" s="1"/>
      <c r="AK712" s="2"/>
      <c r="AL712" s="1"/>
    </row>
    <row r="713" spans="1:38" x14ac:dyDescent="0.25">
      <c r="A713" s="1"/>
      <c r="AK713" s="2"/>
      <c r="AL713" s="1"/>
    </row>
    <row r="714" spans="1:38" x14ac:dyDescent="0.25">
      <c r="A714" s="1"/>
      <c r="AK714" s="2"/>
      <c r="AL714" s="1"/>
    </row>
    <row r="715" spans="1:38" x14ac:dyDescent="0.25">
      <c r="A715" s="1"/>
      <c r="AK715" s="2"/>
      <c r="AL715" s="1"/>
    </row>
    <row r="716" spans="1:38" x14ac:dyDescent="0.25">
      <c r="A716" s="1"/>
      <c r="AK716" s="2"/>
      <c r="AL716" s="1"/>
    </row>
    <row r="717" spans="1:38" x14ac:dyDescent="0.25">
      <c r="A717" s="1"/>
      <c r="AK717" s="2"/>
      <c r="AL717" s="1"/>
    </row>
    <row r="718" spans="1:38" x14ac:dyDescent="0.25">
      <c r="A718" s="1"/>
      <c r="AK718" s="2"/>
      <c r="AL718" s="1"/>
    </row>
    <row r="719" spans="1:38" x14ac:dyDescent="0.25">
      <c r="A719" s="1"/>
      <c r="AK719" s="2"/>
      <c r="AL719" s="1"/>
    </row>
    <row r="720" spans="1:38" x14ac:dyDescent="0.25">
      <c r="A720" s="1"/>
      <c r="AK720" s="2"/>
      <c r="AL720" s="1"/>
    </row>
    <row r="721" spans="1:38" x14ac:dyDescent="0.25">
      <c r="A721" s="1"/>
      <c r="AK721" s="2"/>
      <c r="AL721" s="1"/>
    </row>
    <row r="722" spans="1:38" x14ac:dyDescent="0.25">
      <c r="A722" s="1"/>
      <c r="AK722" s="2"/>
      <c r="AL722" s="1"/>
    </row>
    <row r="723" spans="1:38" x14ac:dyDescent="0.25">
      <c r="A723" s="1"/>
      <c r="AK723" s="2"/>
      <c r="AL723" s="1"/>
    </row>
    <row r="724" spans="1:38" x14ac:dyDescent="0.25">
      <c r="A724" s="1"/>
      <c r="AK724" s="2"/>
      <c r="AL724" s="1"/>
    </row>
    <row r="725" spans="1:38" x14ac:dyDescent="0.25">
      <c r="A725" s="1"/>
      <c r="AK725" s="2"/>
      <c r="AL725" s="1"/>
    </row>
    <row r="726" spans="1:38" x14ac:dyDescent="0.25">
      <c r="A726" s="1"/>
      <c r="AK726" s="2"/>
      <c r="AL726" s="1"/>
    </row>
    <row r="727" spans="1:38" x14ac:dyDescent="0.25">
      <c r="A727" s="1"/>
      <c r="AK727" s="2"/>
      <c r="AL727" s="1"/>
    </row>
    <row r="728" spans="1:38" x14ac:dyDescent="0.25">
      <c r="A728" s="1"/>
      <c r="AK728" s="2"/>
      <c r="AL728" s="1"/>
    </row>
    <row r="729" spans="1:38" x14ac:dyDescent="0.25">
      <c r="A729" s="1"/>
      <c r="AK729" s="2"/>
      <c r="AL729" s="1"/>
    </row>
    <row r="730" spans="1:38" x14ac:dyDescent="0.25">
      <c r="A730" s="1"/>
      <c r="AK730" s="2"/>
      <c r="AL730" s="1"/>
    </row>
    <row r="731" spans="1:38" x14ac:dyDescent="0.25">
      <c r="A731" s="1"/>
      <c r="AK731" s="2"/>
      <c r="AL731" s="1"/>
    </row>
    <row r="732" spans="1:38" x14ac:dyDescent="0.25">
      <c r="A732" s="1"/>
      <c r="AK732" s="2"/>
      <c r="AL732" s="1"/>
    </row>
    <row r="733" spans="1:38" x14ac:dyDescent="0.25">
      <c r="A733" s="1"/>
      <c r="AK733" s="2"/>
      <c r="AL733" s="1"/>
    </row>
    <row r="734" spans="1:38" x14ac:dyDescent="0.25">
      <c r="A734" s="1"/>
      <c r="AK734" s="2"/>
      <c r="AL734" s="1"/>
    </row>
    <row r="735" spans="1:38" x14ac:dyDescent="0.25">
      <c r="A735" s="1"/>
      <c r="AK735" s="2"/>
      <c r="AL735" s="1"/>
    </row>
    <row r="736" spans="1:38" x14ac:dyDescent="0.25">
      <c r="A736" s="1"/>
      <c r="AK736" s="2"/>
      <c r="AL736" s="1"/>
    </row>
    <row r="737" spans="1:38" x14ac:dyDescent="0.25">
      <c r="A737" s="1"/>
      <c r="AK737" s="2"/>
      <c r="AL737" s="1"/>
    </row>
    <row r="738" spans="1:38" x14ac:dyDescent="0.25">
      <c r="A738" s="1"/>
      <c r="AK738" s="2"/>
      <c r="AL738" s="1"/>
    </row>
    <row r="739" spans="1:38" x14ac:dyDescent="0.25">
      <c r="A739" s="1"/>
      <c r="AK739" s="2"/>
      <c r="AL739" s="1"/>
    </row>
    <row r="740" spans="1:38" x14ac:dyDescent="0.25">
      <c r="A740" s="1"/>
      <c r="AK740" s="2"/>
      <c r="AL740" s="1"/>
    </row>
    <row r="741" spans="1:38" x14ac:dyDescent="0.25">
      <c r="A741" s="1"/>
      <c r="AK741" s="2"/>
      <c r="AL741" s="1"/>
    </row>
    <row r="742" spans="1:38" x14ac:dyDescent="0.25">
      <c r="A742" s="1"/>
      <c r="AK742" s="2"/>
      <c r="AL742" s="1"/>
    </row>
    <row r="743" spans="1:38" x14ac:dyDescent="0.25">
      <c r="A743" s="1"/>
      <c r="AK743" s="2"/>
      <c r="AL743" s="1"/>
    </row>
    <row r="744" spans="1:38" x14ac:dyDescent="0.25">
      <c r="A744" s="1"/>
      <c r="AK744" s="2"/>
      <c r="AL744" s="1"/>
    </row>
    <row r="745" spans="1:38" x14ac:dyDescent="0.25">
      <c r="A745" s="1"/>
      <c r="AK745" s="2"/>
      <c r="AL745" s="1"/>
    </row>
    <row r="746" spans="1:38" x14ac:dyDescent="0.25">
      <c r="A746" s="1"/>
      <c r="AK746" s="2"/>
      <c r="AL746" s="1"/>
    </row>
    <row r="747" spans="1:38" x14ac:dyDescent="0.25">
      <c r="A747" s="1"/>
      <c r="AK747" s="2"/>
      <c r="AL747" s="1"/>
    </row>
    <row r="748" spans="1:38" x14ac:dyDescent="0.25">
      <c r="A748" s="1"/>
      <c r="AK748" s="2"/>
      <c r="AL748" s="1"/>
    </row>
    <row r="749" spans="1:38" x14ac:dyDescent="0.25">
      <c r="A749" s="1"/>
      <c r="AK749" s="2"/>
      <c r="AL749" s="1"/>
    </row>
    <row r="750" spans="1:38" x14ac:dyDescent="0.25">
      <c r="A750" s="1"/>
      <c r="AK750" s="2"/>
      <c r="AL750" s="1"/>
    </row>
    <row r="751" spans="1:38" x14ac:dyDescent="0.25">
      <c r="A751" s="1"/>
      <c r="AK751" s="2"/>
      <c r="AL751" s="1"/>
    </row>
    <row r="752" spans="1:38" x14ac:dyDescent="0.25">
      <c r="A752" s="1"/>
      <c r="AK752" s="2"/>
      <c r="AL752" s="1"/>
    </row>
    <row r="753" spans="1:38" x14ac:dyDescent="0.25">
      <c r="A753" s="1"/>
      <c r="AK753" s="2"/>
      <c r="AL753" s="1"/>
    </row>
    <row r="754" spans="1:38" x14ac:dyDescent="0.25">
      <c r="A754" s="1"/>
      <c r="AK754" s="2"/>
      <c r="AL754" s="1"/>
    </row>
    <row r="755" spans="1:38" x14ac:dyDescent="0.25">
      <c r="A755" s="1"/>
      <c r="AK755" s="2"/>
      <c r="AL755" s="1"/>
    </row>
    <row r="756" spans="1:38" x14ac:dyDescent="0.25">
      <c r="A756" s="1"/>
      <c r="AK756" s="2"/>
      <c r="AL756" s="1"/>
    </row>
    <row r="757" spans="1:38" x14ac:dyDescent="0.25">
      <c r="A757" s="1"/>
      <c r="AK757" s="2"/>
      <c r="AL757" s="1"/>
    </row>
    <row r="758" spans="1:38" x14ac:dyDescent="0.25">
      <c r="A758" s="1"/>
      <c r="AK758" s="2"/>
      <c r="AL758" s="1"/>
    </row>
    <row r="759" spans="1:38" x14ac:dyDescent="0.25">
      <c r="A759" s="1"/>
      <c r="AK759" s="2"/>
      <c r="AL759" s="1"/>
    </row>
    <row r="760" spans="1:38" x14ac:dyDescent="0.25">
      <c r="A760" s="1"/>
      <c r="AK760" s="2"/>
      <c r="AL760" s="1"/>
    </row>
    <row r="761" spans="1:38" x14ac:dyDescent="0.25">
      <c r="A761" s="1"/>
      <c r="AK761" s="2"/>
      <c r="AL761" s="1"/>
    </row>
    <row r="762" spans="1:38" x14ac:dyDescent="0.25">
      <c r="A762" s="1"/>
      <c r="AK762" s="2"/>
      <c r="AL762" s="1"/>
    </row>
    <row r="763" spans="1:38" x14ac:dyDescent="0.25">
      <c r="A763" s="1"/>
      <c r="AK763" s="2"/>
      <c r="AL763" s="1"/>
    </row>
    <row r="764" spans="1:38" x14ac:dyDescent="0.25">
      <c r="A764" s="1"/>
      <c r="AK764" s="2"/>
      <c r="AL764" s="1"/>
    </row>
    <row r="765" spans="1:38" x14ac:dyDescent="0.25">
      <c r="A765" s="1"/>
      <c r="AK765" s="2"/>
      <c r="AL765" s="1"/>
    </row>
    <row r="766" spans="1:38" x14ac:dyDescent="0.25">
      <c r="A766" s="1"/>
      <c r="AK766" s="2"/>
      <c r="AL766" s="1"/>
    </row>
    <row r="767" spans="1:38" x14ac:dyDescent="0.25">
      <c r="A767" s="1"/>
      <c r="AK767" s="2"/>
      <c r="AL767" s="1"/>
    </row>
    <row r="768" spans="1:38" x14ac:dyDescent="0.25">
      <c r="A768" s="1"/>
      <c r="AK768" s="2"/>
      <c r="AL768" s="1"/>
    </row>
    <row r="769" spans="1:38" x14ac:dyDescent="0.25">
      <c r="A769" s="1"/>
      <c r="AK769" s="2"/>
      <c r="AL769" s="1"/>
    </row>
    <row r="770" spans="1:38" x14ac:dyDescent="0.25">
      <c r="A770" s="1"/>
      <c r="AK770" s="2"/>
      <c r="AL770" s="1"/>
    </row>
    <row r="771" spans="1:38" x14ac:dyDescent="0.25">
      <c r="A771" s="1"/>
      <c r="AK771" s="2"/>
      <c r="AL771" s="1"/>
    </row>
    <row r="772" spans="1:38" x14ac:dyDescent="0.25">
      <c r="A772" s="1"/>
      <c r="AK772" s="2"/>
      <c r="AL772" s="1"/>
    </row>
    <row r="773" spans="1:38" x14ac:dyDescent="0.25">
      <c r="A773" s="1"/>
      <c r="AK773" s="2"/>
      <c r="AL773" s="1"/>
    </row>
    <row r="774" spans="1:38" x14ac:dyDescent="0.25">
      <c r="A774" s="1"/>
      <c r="AK774" s="2"/>
      <c r="AL774" s="1"/>
    </row>
    <row r="775" spans="1:38" x14ac:dyDescent="0.25">
      <c r="A775" s="1"/>
      <c r="AK775" s="2"/>
      <c r="AL775" s="1"/>
    </row>
    <row r="776" spans="1:38" x14ac:dyDescent="0.25">
      <c r="A776" s="1"/>
      <c r="AK776" s="2"/>
      <c r="AL776" s="1"/>
    </row>
    <row r="777" spans="1:38" x14ac:dyDescent="0.25">
      <c r="A777" s="1"/>
      <c r="AK777" s="2"/>
      <c r="AL777" s="1"/>
    </row>
    <row r="778" spans="1:38" x14ac:dyDescent="0.25">
      <c r="A778" s="1"/>
      <c r="AK778" s="2"/>
      <c r="AL778" s="1"/>
    </row>
    <row r="779" spans="1:38" x14ac:dyDescent="0.25">
      <c r="A779" s="1"/>
      <c r="AK779" s="2"/>
      <c r="AL779" s="1"/>
    </row>
    <row r="780" spans="1:38" x14ac:dyDescent="0.25">
      <c r="A780" s="1"/>
      <c r="AK780" s="2"/>
      <c r="AL780" s="1"/>
    </row>
    <row r="781" spans="1:38" x14ac:dyDescent="0.25">
      <c r="A781" s="1"/>
      <c r="AK781" s="2"/>
      <c r="AL781" s="1"/>
    </row>
    <row r="782" spans="1:38" x14ac:dyDescent="0.25">
      <c r="A782" s="1"/>
      <c r="AK782" s="2"/>
      <c r="AL782" s="1"/>
    </row>
    <row r="783" spans="1:38" x14ac:dyDescent="0.25">
      <c r="A783" s="1"/>
      <c r="AK783" s="2"/>
      <c r="AL783" s="1"/>
    </row>
    <row r="784" spans="1:38" x14ac:dyDescent="0.25">
      <c r="A784" s="1"/>
      <c r="AK784" s="2"/>
      <c r="AL784" s="1"/>
    </row>
    <row r="785" spans="1:38" x14ac:dyDescent="0.25">
      <c r="A785" s="1"/>
      <c r="AK785" s="2"/>
      <c r="AL785" s="1"/>
    </row>
    <row r="786" spans="1:38" x14ac:dyDescent="0.25">
      <c r="A786" s="1"/>
      <c r="AK786" s="2"/>
      <c r="AL786" s="1"/>
    </row>
    <row r="787" spans="1:38" x14ac:dyDescent="0.25">
      <c r="A787" s="1"/>
      <c r="AK787" s="2"/>
      <c r="AL787" s="1"/>
    </row>
    <row r="788" spans="1:38" x14ac:dyDescent="0.25">
      <c r="A788" s="1"/>
      <c r="AK788" s="2"/>
      <c r="AL788" s="1"/>
    </row>
    <row r="789" spans="1:38" x14ac:dyDescent="0.25">
      <c r="A789" s="1"/>
      <c r="AK789" s="2"/>
      <c r="AL789" s="1"/>
    </row>
    <row r="790" spans="1:38" x14ac:dyDescent="0.25">
      <c r="A790" s="1"/>
      <c r="AK790" s="2"/>
      <c r="AL790" s="1"/>
    </row>
    <row r="791" spans="1:38" x14ac:dyDescent="0.25">
      <c r="A791" s="1"/>
      <c r="AK791" s="2"/>
      <c r="AL791" s="1"/>
    </row>
    <row r="792" spans="1:38" x14ac:dyDescent="0.25">
      <c r="A792" s="1"/>
      <c r="AK792" s="2"/>
      <c r="AL792" s="1"/>
    </row>
    <row r="793" spans="1:38" x14ac:dyDescent="0.25">
      <c r="A793" s="1"/>
      <c r="AK793" s="2"/>
      <c r="AL793" s="1"/>
    </row>
    <row r="794" spans="1:38" x14ac:dyDescent="0.25">
      <c r="A794" s="1"/>
      <c r="AK794" s="2"/>
      <c r="AL794" s="1"/>
    </row>
    <row r="795" spans="1:38" x14ac:dyDescent="0.25">
      <c r="A795" s="1"/>
      <c r="AK795" s="2"/>
      <c r="AL795" s="1"/>
    </row>
    <row r="796" spans="1:38" x14ac:dyDescent="0.25">
      <c r="A796" s="1"/>
      <c r="AK796" s="2"/>
      <c r="AL796" s="1"/>
    </row>
    <row r="797" spans="1:38" x14ac:dyDescent="0.25">
      <c r="A797" s="1"/>
      <c r="AK797" s="2"/>
      <c r="AL797" s="1"/>
    </row>
    <row r="798" spans="1:38" x14ac:dyDescent="0.25">
      <c r="A798" s="1"/>
      <c r="AK798" s="2"/>
      <c r="AL798" s="1"/>
    </row>
    <row r="799" spans="1:38" x14ac:dyDescent="0.25">
      <c r="A799" s="1"/>
      <c r="AK799" s="2"/>
      <c r="AL799" s="1"/>
    </row>
    <row r="800" spans="1:38" x14ac:dyDescent="0.25">
      <c r="A800" s="1"/>
      <c r="AK800" s="2"/>
      <c r="AL800" s="1"/>
    </row>
    <row r="801" spans="1:38" x14ac:dyDescent="0.25">
      <c r="A801" s="1"/>
      <c r="AK801" s="2"/>
      <c r="AL801" s="1"/>
    </row>
    <row r="802" spans="1:38" x14ac:dyDescent="0.25">
      <c r="A802" s="1"/>
      <c r="AK802" s="2"/>
      <c r="AL802" s="1"/>
    </row>
    <row r="803" spans="1:38" x14ac:dyDescent="0.25">
      <c r="A803" s="1"/>
      <c r="AK803" s="2"/>
      <c r="AL803" s="1"/>
    </row>
    <row r="804" spans="1:38" x14ac:dyDescent="0.25">
      <c r="A804" s="1"/>
      <c r="AK804" s="2"/>
      <c r="AL804" s="1"/>
    </row>
    <row r="805" spans="1:38" x14ac:dyDescent="0.25">
      <c r="A805" s="1"/>
      <c r="AK805" s="2"/>
      <c r="AL805" s="1"/>
    </row>
    <row r="806" spans="1:38" x14ac:dyDescent="0.25">
      <c r="A806" s="1"/>
      <c r="AK806" s="2"/>
      <c r="AL806" s="1"/>
    </row>
    <row r="807" spans="1:38" x14ac:dyDescent="0.25">
      <c r="A807" s="1"/>
      <c r="AK807" s="2"/>
      <c r="AL807" s="1"/>
    </row>
    <row r="808" spans="1:38" x14ac:dyDescent="0.25">
      <c r="A808" s="1"/>
      <c r="AK808" s="2"/>
      <c r="AL808" s="1"/>
    </row>
    <row r="809" spans="1:38" x14ac:dyDescent="0.25">
      <c r="A809" s="1"/>
      <c r="AK809" s="2"/>
      <c r="AL809" s="1"/>
    </row>
    <row r="810" spans="1:38" x14ac:dyDescent="0.25">
      <c r="A810" s="1"/>
      <c r="AK810" s="2"/>
      <c r="AL810" s="1"/>
    </row>
    <row r="811" spans="1:38" x14ac:dyDescent="0.25">
      <c r="A811" s="1"/>
      <c r="AK811" s="2"/>
      <c r="AL811" s="1"/>
    </row>
    <row r="812" spans="1:38" x14ac:dyDescent="0.25">
      <c r="A812" s="1"/>
      <c r="AK812" s="2"/>
      <c r="AL812" s="1"/>
    </row>
    <row r="813" spans="1:38" x14ac:dyDescent="0.25">
      <c r="A813" s="1"/>
      <c r="AK813" s="2"/>
      <c r="AL813" s="1"/>
    </row>
    <row r="814" spans="1:38" x14ac:dyDescent="0.25">
      <c r="A814" s="1"/>
      <c r="AK814" s="2"/>
      <c r="AL814" s="1"/>
    </row>
    <row r="815" spans="1:38" x14ac:dyDescent="0.25">
      <c r="A815" s="1"/>
      <c r="AK815" s="2"/>
      <c r="AL815" s="1"/>
    </row>
    <row r="816" spans="1:38" x14ac:dyDescent="0.25">
      <c r="A816" s="1"/>
      <c r="AK816" s="2"/>
      <c r="AL816" s="1"/>
    </row>
    <row r="817" spans="1:38" x14ac:dyDescent="0.25">
      <c r="A817" s="1"/>
      <c r="AK817" s="2"/>
      <c r="AL817" s="1"/>
    </row>
    <row r="818" spans="1:38" x14ac:dyDescent="0.25">
      <c r="A818" s="1"/>
      <c r="AK818" s="2"/>
      <c r="AL818" s="1"/>
    </row>
    <row r="819" spans="1:38" x14ac:dyDescent="0.25">
      <c r="A819" s="1"/>
      <c r="AK819" s="2"/>
      <c r="AL819" s="1"/>
    </row>
    <row r="820" spans="1:38" x14ac:dyDescent="0.25">
      <c r="A820" s="1"/>
      <c r="AK820" s="2"/>
      <c r="AL820" s="1"/>
    </row>
    <row r="821" spans="1:38" x14ac:dyDescent="0.25">
      <c r="A821" s="1"/>
      <c r="AK821" s="2"/>
      <c r="AL821" s="1"/>
    </row>
    <row r="822" spans="1:38" x14ac:dyDescent="0.25">
      <c r="A822" s="1"/>
      <c r="AK822" s="2"/>
      <c r="AL822" s="1"/>
    </row>
    <row r="823" spans="1:38" x14ac:dyDescent="0.25">
      <c r="A823" s="1"/>
      <c r="AK823" s="2"/>
      <c r="AL823" s="1"/>
    </row>
    <row r="824" spans="1:38" x14ac:dyDescent="0.25">
      <c r="A824" s="1"/>
      <c r="AK824" s="2"/>
      <c r="AL824" s="1"/>
    </row>
    <row r="825" spans="1:38" x14ac:dyDescent="0.25">
      <c r="A825" s="1"/>
      <c r="AK825" s="2"/>
      <c r="AL825" s="1"/>
    </row>
    <row r="826" spans="1:38" x14ac:dyDescent="0.25">
      <c r="A826" s="1"/>
      <c r="AK826" s="2"/>
      <c r="AL826" s="1"/>
    </row>
    <row r="827" spans="1:38" x14ac:dyDescent="0.25">
      <c r="A827" s="1"/>
      <c r="AK827" s="2"/>
      <c r="AL827" s="1"/>
    </row>
    <row r="828" spans="1:38" x14ac:dyDescent="0.25">
      <c r="A828" s="1"/>
      <c r="AK828" s="2"/>
      <c r="AL828" s="1"/>
    </row>
    <row r="829" spans="1:38" x14ac:dyDescent="0.25">
      <c r="A829" s="1"/>
      <c r="AK829" s="2"/>
      <c r="AL829" s="1"/>
    </row>
    <row r="830" spans="1:38" x14ac:dyDescent="0.25">
      <c r="A830" s="1"/>
      <c r="AK830" s="2"/>
      <c r="AL830" s="1"/>
    </row>
    <row r="831" spans="1:38" x14ac:dyDescent="0.25">
      <c r="A831" s="1"/>
      <c r="AK831" s="2"/>
      <c r="AL831" s="1"/>
    </row>
    <row r="832" spans="1:38" x14ac:dyDescent="0.25">
      <c r="A832" s="1"/>
      <c r="AK832" s="2"/>
      <c r="AL832" s="1"/>
    </row>
    <row r="833" spans="1:38" x14ac:dyDescent="0.25">
      <c r="A833" s="1"/>
      <c r="AK833" s="2"/>
      <c r="AL833" s="1"/>
    </row>
    <row r="834" spans="1:38" x14ac:dyDescent="0.25">
      <c r="A834" s="1"/>
      <c r="AK834" s="2"/>
      <c r="AL834" s="1"/>
    </row>
    <row r="835" spans="1:38" x14ac:dyDescent="0.25">
      <c r="A835" s="1"/>
      <c r="AK835" s="2"/>
      <c r="AL835" s="1"/>
    </row>
    <row r="836" spans="1:38" x14ac:dyDescent="0.25">
      <c r="A836" s="1"/>
      <c r="AK836" s="2"/>
      <c r="AL836" s="1"/>
    </row>
    <row r="837" spans="1:38" x14ac:dyDescent="0.25">
      <c r="A837" s="1"/>
      <c r="AK837" s="2"/>
      <c r="AL837" s="1"/>
    </row>
    <row r="838" spans="1:38" x14ac:dyDescent="0.25">
      <c r="A838" s="1"/>
      <c r="AK838" s="2"/>
      <c r="AL838" s="1"/>
    </row>
    <row r="839" spans="1:38" x14ac:dyDescent="0.25">
      <c r="A839" s="1"/>
      <c r="AK839" s="2"/>
      <c r="AL839" s="1"/>
    </row>
    <row r="840" spans="1:38" x14ac:dyDescent="0.25">
      <c r="A840" s="1"/>
      <c r="AK840" s="2"/>
      <c r="AL840" s="1"/>
    </row>
    <row r="841" spans="1:38" x14ac:dyDescent="0.25">
      <c r="A841" s="1"/>
      <c r="AK841" s="2"/>
      <c r="AL841" s="1"/>
    </row>
    <row r="842" spans="1:38" x14ac:dyDescent="0.25">
      <c r="A842" s="1"/>
      <c r="AK842" s="2"/>
      <c r="AL842" s="1"/>
    </row>
    <row r="843" spans="1:38" x14ac:dyDescent="0.25">
      <c r="A843" s="1"/>
      <c r="AK843" s="2"/>
      <c r="AL843" s="1"/>
    </row>
    <row r="844" spans="1:38" x14ac:dyDescent="0.25">
      <c r="A844" s="1"/>
      <c r="AK844" s="2"/>
      <c r="AL844" s="1"/>
    </row>
    <row r="845" spans="1:38" x14ac:dyDescent="0.25">
      <c r="A845" s="1"/>
      <c r="AK845" s="2"/>
      <c r="AL845" s="1"/>
    </row>
    <row r="846" spans="1:38" x14ac:dyDescent="0.25">
      <c r="A846" s="1"/>
      <c r="AK846" s="2"/>
      <c r="AL846" s="1"/>
    </row>
    <row r="847" spans="1:38" x14ac:dyDescent="0.25">
      <c r="A847" s="1"/>
      <c r="AK847" s="2"/>
      <c r="AL847" s="1"/>
    </row>
    <row r="848" spans="1:38" x14ac:dyDescent="0.25">
      <c r="A848" s="1"/>
      <c r="AK848" s="2"/>
      <c r="AL848" s="1"/>
    </row>
    <row r="849" spans="1:38" x14ac:dyDescent="0.25">
      <c r="A849" s="1"/>
      <c r="AK849" s="2"/>
      <c r="AL849" s="1"/>
    </row>
    <row r="850" spans="1:38" x14ac:dyDescent="0.25">
      <c r="A850" s="1"/>
      <c r="AK850" s="2"/>
      <c r="AL850" s="1"/>
    </row>
    <row r="851" spans="1:38" x14ac:dyDescent="0.25">
      <c r="A851" s="1"/>
      <c r="AK851" s="2"/>
      <c r="AL851" s="1"/>
    </row>
    <row r="852" spans="1:38" x14ac:dyDescent="0.25">
      <c r="A852" s="1"/>
      <c r="AK852" s="2"/>
      <c r="AL852" s="1"/>
    </row>
    <row r="853" spans="1:38" x14ac:dyDescent="0.25">
      <c r="A853" s="1"/>
      <c r="AK853" s="2"/>
      <c r="AL853" s="1"/>
    </row>
    <row r="854" spans="1:38" x14ac:dyDescent="0.25">
      <c r="A854" s="1"/>
      <c r="AK854" s="2"/>
      <c r="AL854" s="1"/>
    </row>
    <row r="855" spans="1:38" x14ac:dyDescent="0.25">
      <c r="A855" s="1"/>
      <c r="AK855" s="2"/>
      <c r="AL855" s="1"/>
    </row>
    <row r="856" spans="1:38" x14ac:dyDescent="0.25">
      <c r="A856" s="1"/>
      <c r="AK856" s="2"/>
      <c r="AL856" s="1"/>
    </row>
    <row r="857" spans="1:38" x14ac:dyDescent="0.25">
      <c r="A857" s="1"/>
      <c r="AK857" s="2"/>
      <c r="AL857" s="1"/>
    </row>
    <row r="858" spans="1:38" x14ac:dyDescent="0.25">
      <c r="A858" s="1"/>
      <c r="AK858" s="2"/>
      <c r="AL858" s="1"/>
    </row>
    <row r="859" spans="1:38" x14ac:dyDescent="0.25">
      <c r="A859" s="1"/>
      <c r="AK859" s="2"/>
      <c r="AL859" s="1"/>
    </row>
    <row r="860" spans="1:38" x14ac:dyDescent="0.25">
      <c r="A860" s="1"/>
      <c r="AK860" s="2"/>
      <c r="AL860" s="1"/>
    </row>
    <row r="861" spans="1:38" x14ac:dyDescent="0.25">
      <c r="A861" s="1"/>
      <c r="AK861" s="2"/>
      <c r="AL861" s="1"/>
    </row>
    <row r="862" spans="1:38" x14ac:dyDescent="0.25">
      <c r="A862" s="1"/>
      <c r="AK862" s="2"/>
      <c r="AL862" s="1"/>
    </row>
    <row r="863" spans="1:38" x14ac:dyDescent="0.25">
      <c r="A863" s="1"/>
      <c r="AK863" s="2"/>
      <c r="AL863" s="1"/>
    </row>
    <row r="864" spans="1:38" x14ac:dyDescent="0.25">
      <c r="A864" s="1"/>
      <c r="AK864" s="2"/>
      <c r="AL864" s="1"/>
    </row>
    <row r="865" spans="1:38" x14ac:dyDescent="0.25">
      <c r="A865" s="1"/>
      <c r="AK865" s="2"/>
      <c r="AL865" s="1"/>
    </row>
    <row r="866" spans="1:38" x14ac:dyDescent="0.25">
      <c r="A866" s="1"/>
      <c r="AK866" s="2"/>
      <c r="AL866" s="1"/>
    </row>
    <row r="867" spans="1:38" x14ac:dyDescent="0.25">
      <c r="A867" s="1"/>
      <c r="AK867" s="2"/>
      <c r="AL867" s="1"/>
    </row>
    <row r="868" spans="1:38" x14ac:dyDescent="0.25">
      <c r="A868" s="1"/>
      <c r="AK868" s="2"/>
      <c r="AL868" s="1"/>
    </row>
    <row r="869" spans="1:38" x14ac:dyDescent="0.25">
      <c r="A869" s="1"/>
      <c r="AK869" s="2"/>
      <c r="AL869" s="1"/>
    </row>
    <row r="870" spans="1:38" x14ac:dyDescent="0.25">
      <c r="A870" s="1"/>
      <c r="AK870" s="2"/>
      <c r="AL870" s="1"/>
    </row>
    <row r="871" spans="1:38" x14ac:dyDescent="0.25">
      <c r="A871" s="1"/>
      <c r="AK871" s="2"/>
      <c r="AL871" s="1"/>
    </row>
    <row r="872" spans="1:38" x14ac:dyDescent="0.25">
      <c r="A872" s="1"/>
      <c r="AK872" s="2"/>
      <c r="AL872" s="1"/>
    </row>
    <row r="873" spans="1:38" x14ac:dyDescent="0.25">
      <c r="A873" s="1"/>
      <c r="AK873" s="2"/>
      <c r="AL873" s="1"/>
    </row>
    <row r="874" spans="1:38" x14ac:dyDescent="0.25">
      <c r="A874" s="1"/>
      <c r="AK874" s="2"/>
      <c r="AL874" s="1"/>
    </row>
    <row r="875" spans="1:38" x14ac:dyDescent="0.25">
      <c r="A875" s="1"/>
      <c r="AK875" s="2"/>
      <c r="AL875" s="1"/>
    </row>
    <row r="876" spans="1:38" x14ac:dyDescent="0.25">
      <c r="A876" s="1"/>
      <c r="AK876" s="2"/>
      <c r="AL876" s="1"/>
    </row>
    <row r="877" spans="1:38" x14ac:dyDescent="0.25">
      <c r="A877" s="1"/>
      <c r="AK877" s="2"/>
      <c r="AL877" s="1"/>
    </row>
    <row r="878" spans="1:38" x14ac:dyDescent="0.25">
      <c r="A878" s="1"/>
      <c r="AK878" s="2"/>
      <c r="AL878" s="1"/>
    </row>
    <row r="879" spans="1:38" x14ac:dyDescent="0.25">
      <c r="A879" s="1"/>
      <c r="AK879" s="2"/>
      <c r="AL879" s="1"/>
    </row>
    <row r="880" spans="1:38" x14ac:dyDescent="0.25">
      <c r="A880" s="1"/>
      <c r="AK880" s="2"/>
      <c r="AL880" s="1"/>
    </row>
    <row r="881" spans="1:38" x14ac:dyDescent="0.25">
      <c r="A881" s="1"/>
      <c r="AK881" s="2"/>
      <c r="AL881" s="1"/>
    </row>
    <row r="882" spans="1:38" x14ac:dyDescent="0.25">
      <c r="A882" s="1"/>
      <c r="AK882" s="2"/>
      <c r="AL882" s="1"/>
    </row>
    <row r="883" spans="1:38" x14ac:dyDescent="0.25">
      <c r="A883" s="1"/>
      <c r="AK883" s="2"/>
      <c r="AL883" s="1"/>
    </row>
    <row r="884" spans="1:38" x14ac:dyDescent="0.25">
      <c r="A884" s="1"/>
      <c r="AK884" s="2"/>
      <c r="AL884" s="1"/>
    </row>
    <row r="885" spans="1:38" x14ac:dyDescent="0.25">
      <c r="A885" s="1"/>
      <c r="AK885" s="2"/>
      <c r="AL885" s="1"/>
    </row>
    <row r="886" spans="1:38" x14ac:dyDescent="0.25">
      <c r="A886" s="1"/>
      <c r="AK886" s="2"/>
      <c r="AL886" s="1"/>
    </row>
    <row r="887" spans="1:38" x14ac:dyDescent="0.25">
      <c r="A887" s="1"/>
      <c r="AK887" s="2"/>
      <c r="AL887" s="1"/>
    </row>
    <row r="888" spans="1:38" x14ac:dyDescent="0.25">
      <c r="A888" s="1"/>
      <c r="AK888" s="2"/>
      <c r="AL888" s="1"/>
    </row>
    <row r="889" spans="1:38" x14ac:dyDescent="0.25">
      <c r="A889" s="1"/>
      <c r="AK889" s="2"/>
      <c r="AL889" s="1"/>
    </row>
    <row r="890" spans="1:38" x14ac:dyDescent="0.25">
      <c r="A890" s="1"/>
      <c r="AK890" s="2"/>
      <c r="AL890" s="1"/>
    </row>
    <row r="891" spans="1:38" x14ac:dyDescent="0.25">
      <c r="A891" s="1"/>
      <c r="AK891" s="2"/>
      <c r="AL891" s="1"/>
    </row>
    <row r="892" spans="1:38" x14ac:dyDescent="0.25">
      <c r="A892" s="1"/>
      <c r="AK892" s="2"/>
      <c r="AL892" s="1"/>
    </row>
    <row r="893" spans="1:38" x14ac:dyDescent="0.25">
      <c r="A893" s="1"/>
      <c r="AK893" s="2"/>
      <c r="AL893" s="1"/>
    </row>
    <row r="894" spans="1:38" x14ac:dyDescent="0.25">
      <c r="A894" s="1"/>
      <c r="AK894" s="2"/>
      <c r="AL894" s="1"/>
    </row>
    <row r="895" spans="1:38" x14ac:dyDescent="0.25">
      <c r="A895" s="1"/>
      <c r="AK895" s="2"/>
      <c r="AL895" s="1"/>
    </row>
    <row r="896" spans="1:38" x14ac:dyDescent="0.25">
      <c r="A896" s="1"/>
      <c r="AK896" s="2"/>
      <c r="AL896" s="1"/>
    </row>
    <row r="897" spans="1:38" x14ac:dyDescent="0.25">
      <c r="A897" s="1"/>
      <c r="AK897" s="2"/>
      <c r="AL897" s="1"/>
    </row>
    <row r="898" spans="1:38" x14ac:dyDescent="0.25">
      <c r="A898" s="1"/>
      <c r="AK898" s="2"/>
      <c r="AL898" s="1"/>
    </row>
    <row r="899" spans="1:38" x14ac:dyDescent="0.25">
      <c r="A899" s="1"/>
      <c r="AK899" s="2"/>
      <c r="AL899" s="1"/>
    </row>
    <row r="900" spans="1:38" x14ac:dyDescent="0.25">
      <c r="A900" s="1"/>
      <c r="AK900" s="2"/>
      <c r="AL900" s="1"/>
    </row>
    <row r="901" spans="1:38" x14ac:dyDescent="0.25">
      <c r="A901" s="1"/>
      <c r="AK901" s="2"/>
      <c r="AL901" s="1"/>
    </row>
    <row r="902" spans="1:38" x14ac:dyDescent="0.25">
      <c r="A902" s="1"/>
      <c r="AK902" s="2"/>
      <c r="AL902" s="1"/>
    </row>
    <row r="903" spans="1:38" x14ac:dyDescent="0.25">
      <c r="A903" s="1"/>
      <c r="AK903" s="2"/>
      <c r="AL903" s="1"/>
    </row>
    <row r="904" spans="1:38" x14ac:dyDescent="0.25">
      <c r="A904" s="1"/>
      <c r="AK904" s="2"/>
      <c r="AL904" s="1"/>
    </row>
    <row r="905" spans="1:38" x14ac:dyDescent="0.25">
      <c r="A905" s="1"/>
      <c r="AK905" s="2"/>
      <c r="AL905" s="1"/>
    </row>
    <row r="906" spans="1:38" x14ac:dyDescent="0.25">
      <c r="A906" s="1"/>
      <c r="AK906" s="2"/>
      <c r="AL906" s="1"/>
    </row>
    <row r="907" spans="1:38" x14ac:dyDescent="0.25">
      <c r="A907" s="1"/>
      <c r="AK907" s="2"/>
      <c r="AL907" s="1"/>
    </row>
    <row r="908" spans="1:38" x14ac:dyDescent="0.25">
      <c r="A908" s="1"/>
      <c r="AK908" s="2"/>
      <c r="AL908" s="1"/>
    </row>
    <row r="909" spans="1:38" x14ac:dyDescent="0.25">
      <c r="A909" s="1"/>
      <c r="AK909" s="2"/>
      <c r="AL909" s="1"/>
    </row>
    <row r="910" spans="1:38" x14ac:dyDescent="0.25">
      <c r="A910" s="1"/>
      <c r="AK910" s="2"/>
      <c r="AL910" s="1"/>
    </row>
    <row r="911" spans="1:38" x14ac:dyDescent="0.25">
      <c r="A911" s="1"/>
      <c r="AK911" s="2"/>
      <c r="AL911" s="1"/>
    </row>
    <row r="912" spans="1:38" x14ac:dyDescent="0.25">
      <c r="A912" s="1"/>
      <c r="AK912" s="2"/>
      <c r="AL912" s="1"/>
    </row>
    <row r="913" spans="1:38" x14ac:dyDescent="0.25">
      <c r="A913" s="1"/>
      <c r="AK913" s="2"/>
      <c r="AL913" s="1"/>
    </row>
    <row r="914" spans="1:38" x14ac:dyDescent="0.25">
      <c r="A914" s="1"/>
      <c r="AK914" s="2"/>
      <c r="AL914" s="1"/>
    </row>
    <row r="915" spans="1:38" x14ac:dyDescent="0.25">
      <c r="A915" s="1"/>
      <c r="AK915" s="2"/>
      <c r="AL915" s="1"/>
    </row>
    <row r="916" spans="1:38" x14ac:dyDescent="0.25">
      <c r="A916" s="1"/>
      <c r="AK916" s="2"/>
      <c r="AL916" s="1"/>
    </row>
    <row r="917" spans="1:38" x14ac:dyDescent="0.25">
      <c r="A917" s="1"/>
      <c r="AK917" s="2"/>
      <c r="AL917" s="1"/>
    </row>
    <row r="918" spans="1:38" x14ac:dyDescent="0.25">
      <c r="A918" s="1"/>
      <c r="AK918" s="2"/>
      <c r="AL918" s="1"/>
    </row>
    <row r="919" spans="1:38" x14ac:dyDescent="0.25">
      <c r="A919" s="1"/>
      <c r="AK919" s="2"/>
      <c r="AL919" s="1"/>
    </row>
    <row r="920" spans="1:38" x14ac:dyDescent="0.25">
      <c r="A920" s="1"/>
      <c r="AK920" s="2"/>
      <c r="AL920" s="1"/>
    </row>
    <row r="921" spans="1:38" x14ac:dyDescent="0.25">
      <c r="A921" s="1"/>
      <c r="AK921" s="2"/>
      <c r="AL921" s="1"/>
    </row>
    <row r="922" spans="1:38" x14ac:dyDescent="0.25">
      <c r="A922" s="1"/>
      <c r="AK922" s="2"/>
      <c r="AL922" s="1"/>
    </row>
    <row r="923" spans="1:38" x14ac:dyDescent="0.25">
      <c r="A923" s="1"/>
      <c r="AK923" s="2"/>
      <c r="AL923" s="1"/>
    </row>
    <row r="924" spans="1:38" x14ac:dyDescent="0.25">
      <c r="A924" s="1"/>
      <c r="AK924" s="2"/>
      <c r="AL924" s="1"/>
    </row>
    <row r="925" spans="1:38" x14ac:dyDescent="0.25">
      <c r="A925" s="1"/>
      <c r="AK925" s="2"/>
      <c r="AL925" s="1"/>
    </row>
    <row r="926" spans="1:38" x14ac:dyDescent="0.25">
      <c r="A926" s="1"/>
      <c r="AK926" s="2"/>
      <c r="AL926" s="1"/>
    </row>
    <row r="927" spans="1:38" x14ac:dyDescent="0.25">
      <c r="A927" s="1"/>
      <c r="AK927" s="2"/>
      <c r="AL927" s="1"/>
    </row>
    <row r="928" spans="1:38" x14ac:dyDescent="0.25">
      <c r="A928" s="1"/>
      <c r="AK928" s="2"/>
      <c r="AL928" s="1"/>
    </row>
    <row r="929" spans="1:38" x14ac:dyDescent="0.25">
      <c r="A929" s="1"/>
      <c r="AK929" s="2"/>
      <c r="AL929" s="1"/>
    </row>
    <row r="930" spans="1:38" x14ac:dyDescent="0.25">
      <c r="A930" s="1"/>
      <c r="AK930" s="2"/>
      <c r="AL930" s="1"/>
    </row>
    <row r="931" spans="1:38" x14ac:dyDescent="0.25">
      <c r="A931" s="1"/>
      <c r="AK931" s="2"/>
      <c r="AL931" s="1"/>
    </row>
    <row r="932" spans="1:38" x14ac:dyDescent="0.25">
      <c r="A932" s="1"/>
      <c r="AK932" s="2"/>
      <c r="AL932" s="1"/>
    </row>
    <row r="933" spans="1:38" x14ac:dyDescent="0.25">
      <c r="A933" s="1"/>
      <c r="AK933" s="2"/>
      <c r="AL933" s="1"/>
    </row>
    <row r="934" spans="1:38" x14ac:dyDescent="0.25">
      <c r="A934" s="1"/>
      <c r="AK934" s="2"/>
      <c r="AL934" s="1"/>
    </row>
    <row r="935" spans="1:38" x14ac:dyDescent="0.25">
      <c r="A935" s="1"/>
      <c r="AK935" s="2"/>
      <c r="AL935" s="1"/>
    </row>
    <row r="936" spans="1:38" x14ac:dyDescent="0.25">
      <c r="A936" s="1"/>
      <c r="AK936" s="2"/>
      <c r="AL936" s="1"/>
    </row>
    <row r="937" spans="1:38" x14ac:dyDescent="0.25">
      <c r="A937" s="1"/>
      <c r="AK937" s="2"/>
      <c r="AL937" s="1"/>
    </row>
    <row r="938" spans="1:38" x14ac:dyDescent="0.25">
      <c r="A938" s="1"/>
      <c r="AK938" s="2"/>
      <c r="AL938" s="1"/>
    </row>
    <row r="939" spans="1:38" x14ac:dyDescent="0.25">
      <c r="A939" s="1"/>
      <c r="AK939" s="2"/>
      <c r="AL939" s="1"/>
    </row>
    <row r="940" spans="1:38" x14ac:dyDescent="0.25">
      <c r="A940" s="1"/>
      <c r="AK940" s="2"/>
      <c r="AL940" s="1"/>
    </row>
    <row r="941" spans="1:38" x14ac:dyDescent="0.25">
      <c r="A941" s="1"/>
      <c r="AK941" s="2"/>
      <c r="AL941" s="1"/>
    </row>
    <row r="942" spans="1:38" x14ac:dyDescent="0.25">
      <c r="A942" s="1"/>
      <c r="AK942" s="2"/>
      <c r="AL942" s="1"/>
    </row>
    <row r="943" spans="1:38" x14ac:dyDescent="0.25">
      <c r="A943" s="1"/>
      <c r="AK943" s="2"/>
      <c r="AL943" s="1"/>
    </row>
    <row r="944" spans="1:38" x14ac:dyDescent="0.25">
      <c r="A944" s="1"/>
      <c r="AK944" s="2"/>
      <c r="AL944" s="1"/>
    </row>
    <row r="945" spans="1:38" x14ac:dyDescent="0.25">
      <c r="A945" s="1"/>
      <c r="AK945" s="2"/>
      <c r="AL945" s="1"/>
    </row>
    <row r="946" spans="1:38" x14ac:dyDescent="0.25">
      <c r="A946" s="1"/>
      <c r="AK946" s="2"/>
      <c r="AL946" s="1"/>
    </row>
    <row r="947" spans="1:38" x14ac:dyDescent="0.25">
      <c r="A947" s="1"/>
      <c r="AK947" s="2"/>
      <c r="AL947" s="1"/>
    </row>
    <row r="948" spans="1:38" x14ac:dyDescent="0.25">
      <c r="A948" s="1"/>
      <c r="AK948" s="2"/>
      <c r="AL948" s="1"/>
    </row>
    <row r="949" spans="1:38" x14ac:dyDescent="0.25">
      <c r="A949" s="1"/>
      <c r="AK949" s="2"/>
      <c r="AL949" s="1"/>
    </row>
    <row r="950" spans="1:38" x14ac:dyDescent="0.25">
      <c r="A950" s="1"/>
      <c r="AK950" s="2"/>
      <c r="AL950" s="1"/>
    </row>
    <row r="951" spans="1:38" x14ac:dyDescent="0.25">
      <c r="A951" s="1"/>
      <c r="AK951" s="2"/>
      <c r="AL951" s="1"/>
    </row>
    <row r="952" spans="1:38" x14ac:dyDescent="0.25">
      <c r="A952" s="1"/>
      <c r="AK952" s="2"/>
      <c r="AL952" s="1"/>
    </row>
    <row r="953" spans="1:38" x14ac:dyDescent="0.25">
      <c r="A953" s="1"/>
      <c r="AK953" s="2"/>
      <c r="AL953" s="1"/>
    </row>
    <row r="954" spans="1:38" x14ac:dyDescent="0.25">
      <c r="A954" s="1"/>
      <c r="AK954" s="2"/>
      <c r="AL954" s="1"/>
    </row>
    <row r="955" spans="1:38" x14ac:dyDescent="0.25">
      <c r="A955" s="1"/>
      <c r="AK955" s="2"/>
      <c r="AL955" s="1"/>
    </row>
    <row r="956" spans="1:38" x14ac:dyDescent="0.25">
      <c r="A956" s="1"/>
      <c r="AK956" s="2"/>
      <c r="AL956" s="1"/>
    </row>
    <row r="957" spans="1:38" x14ac:dyDescent="0.25">
      <c r="A957" s="1"/>
      <c r="AK957" s="2"/>
      <c r="AL957" s="1"/>
    </row>
    <row r="958" spans="1:38" x14ac:dyDescent="0.25">
      <c r="A958" s="1"/>
      <c r="AK958" s="2"/>
      <c r="AL958" s="1"/>
    </row>
    <row r="959" spans="1:38" x14ac:dyDescent="0.25">
      <c r="A959" s="1"/>
      <c r="AK959" s="2"/>
      <c r="AL959" s="1"/>
    </row>
    <row r="960" spans="1:38" x14ac:dyDescent="0.25">
      <c r="A960" s="1"/>
      <c r="AK960" s="2"/>
      <c r="AL960" s="1"/>
    </row>
    <row r="961" spans="1:38" x14ac:dyDescent="0.25">
      <c r="A961" s="1"/>
      <c r="AK961" s="2"/>
      <c r="AL961" s="1"/>
    </row>
    <row r="962" spans="1:38" x14ac:dyDescent="0.25">
      <c r="A962" s="1"/>
      <c r="AK962" s="2"/>
      <c r="AL962" s="1"/>
    </row>
    <row r="963" spans="1:38" x14ac:dyDescent="0.25">
      <c r="A963" s="1"/>
      <c r="AK963" s="2"/>
      <c r="AL963" s="1"/>
    </row>
    <row r="964" spans="1:38" x14ac:dyDescent="0.25">
      <c r="A964" s="1"/>
      <c r="AK964" s="2"/>
      <c r="AL964" s="1"/>
    </row>
    <row r="965" spans="1:38" x14ac:dyDescent="0.25">
      <c r="A965" s="1"/>
      <c r="AK965" s="2"/>
      <c r="AL965" s="1"/>
    </row>
    <row r="966" spans="1:38" x14ac:dyDescent="0.25">
      <c r="A966" s="1"/>
      <c r="AK966" s="2"/>
      <c r="AL966" s="1"/>
    </row>
    <row r="967" spans="1:38" x14ac:dyDescent="0.25">
      <c r="A967" s="1"/>
      <c r="AK967" s="2"/>
      <c r="AL967" s="1"/>
    </row>
    <row r="968" spans="1:38" x14ac:dyDescent="0.25">
      <c r="A968" s="1"/>
      <c r="AK968" s="2"/>
      <c r="AL968" s="1"/>
    </row>
    <row r="969" spans="1:38" x14ac:dyDescent="0.25">
      <c r="A969" s="1"/>
      <c r="AK969" s="2"/>
      <c r="AL969" s="1"/>
    </row>
    <row r="970" spans="1:38" x14ac:dyDescent="0.25">
      <c r="A970" s="1"/>
      <c r="AK970" s="2"/>
      <c r="AL970" s="1"/>
    </row>
    <row r="971" spans="1:38" x14ac:dyDescent="0.25">
      <c r="A971" s="1"/>
      <c r="AK971" s="2"/>
      <c r="AL971" s="1"/>
    </row>
    <row r="972" spans="1:38" x14ac:dyDescent="0.25">
      <c r="A972" s="1"/>
      <c r="AK972" s="2"/>
      <c r="AL972" s="1"/>
    </row>
    <row r="973" spans="1:38" x14ac:dyDescent="0.25">
      <c r="A973" s="1"/>
      <c r="AK973" s="2"/>
      <c r="AL973" s="1"/>
    </row>
    <row r="974" spans="1:38" x14ac:dyDescent="0.25">
      <c r="A974" s="1"/>
      <c r="AK974" s="2"/>
      <c r="AL974" s="1"/>
    </row>
    <row r="975" spans="1:38" x14ac:dyDescent="0.25">
      <c r="A975" s="1"/>
      <c r="AK975" s="2"/>
      <c r="AL975" s="1"/>
    </row>
    <row r="976" spans="1:38" x14ac:dyDescent="0.25">
      <c r="A976" s="1"/>
      <c r="AK976" s="2"/>
      <c r="AL976" s="1"/>
    </row>
    <row r="977" spans="1:38" x14ac:dyDescent="0.25">
      <c r="A977" s="1"/>
      <c r="AK977" s="2"/>
      <c r="AL977" s="1"/>
    </row>
    <row r="978" spans="1:38" x14ac:dyDescent="0.25">
      <c r="A978" s="1"/>
      <c r="AK978" s="2"/>
      <c r="AL978" s="1"/>
    </row>
    <row r="979" spans="1:38" x14ac:dyDescent="0.25">
      <c r="A979" s="1"/>
      <c r="AK979" s="2"/>
      <c r="AL979" s="1"/>
    </row>
    <row r="980" spans="1:38" x14ac:dyDescent="0.25">
      <c r="A980" s="1"/>
      <c r="AK980" s="2"/>
      <c r="AL980" s="1"/>
    </row>
    <row r="981" spans="1:38" x14ac:dyDescent="0.25">
      <c r="A981" s="1"/>
      <c r="AK981" s="2"/>
      <c r="AL981" s="1"/>
    </row>
    <row r="982" spans="1:38" x14ac:dyDescent="0.25">
      <c r="A982" s="1"/>
      <c r="AK982" s="2"/>
      <c r="AL982" s="1"/>
    </row>
    <row r="983" spans="1:38" x14ac:dyDescent="0.25">
      <c r="A983" s="1"/>
      <c r="AK983" s="2"/>
      <c r="AL983" s="1"/>
    </row>
    <row r="984" spans="1:38" x14ac:dyDescent="0.25">
      <c r="A984" s="1"/>
      <c r="AK984" s="2"/>
      <c r="AL984" s="1"/>
    </row>
    <row r="985" spans="1:38" x14ac:dyDescent="0.25">
      <c r="A985" s="1"/>
      <c r="AK985" s="2"/>
      <c r="AL985" s="1"/>
    </row>
    <row r="986" spans="1:38" x14ac:dyDescent="0.25">
      <c r="A986" s="1"/>
      <c r="AK986" s="2"/>
      <c r="AL986" s="1"/>
    </row>
    <row r="987" spans="1:38" x14ac:dyDescent="0.25">
      <c r="A987" s="1"/>
      <c r="AK987" s="2"/>
      <c r="AL987" s="1"/>
    </row>
    <row r="988" spans="1:38" x14ac:dyDescent="0.25">
      <c r="A988" s="1"/>
      <c r="AK988" s="2"/>
      <c r="AL988" s="1"/>
    </row>
    <row r="989" spans="1:38" x14ac:dyDescent="0.25">
      <c r="A989" s="1"/>
      <c r="AK989" s="2"/>
      <c r="AL989" s="1"/>
    </row>
    <row r="990" spans="1:38" x14ac:dyDescent="0.25">
      <c r="A990" s="1"/>
      <c r="AK990" s="2"/>
      <c r="AL990" s="1"/>
    </row>
    <row r="991" spans="1:38" x14ac:dyDescent="0.25">
      <c r="A991" s="1"/>
      <c r="AK991" s="2"/>
      <c r="AL991" s="1"/>
    </row>
    <row r="992" spans="1:38" x14ac:dyDescent="0.25">
      <c r="A992" s="1"/>
      <c r="AK992" s="2"/>
      <c r="AL992" s="1"/>
    </row>
    <row r="993" spans="1:38" x14ac:dyDescent="0.25">
      <c r="A993" s="1"/>
      <c r="AK993" s="2"/>
      <c r="AL993" s="1"/>
    </row>
    <row r="994" spans="1:38" x14ac:dyDescent="0.25">
      <c r="A994" s="1"/>
      <c r="AK994" s="2"/>
      <c r="AL994" s="1"/>
    </row>
    <row r="995" spans="1:38" x14ac:dyDescent="0.25">
      <c r="A995" s="1"/>
      <c r="AK995" s="2"/>
      <c r="AL995" s="1"/>
    </row>
    <row r="996" spans="1:38" x14ac:dyDescent="0.25">
      <c r="A996" s="1"/>
      <c r="AK996" s="2"/>
      <c r="AL996" s="1"/>
    </row>
    <row r="997" spans="1:38" x14ac:dyDescent="0.25">
      <c r="A997" s="1"/>
      <c r="AK997" s="2"/>
      <c r="AL997" s="1"/>
    </row>
    <row r="998" spans="1:38" x14ac:dyDescent="0.25">
      <c r="A998" s="1"/>
      <c r="AK998" s="2"/>
      <c r="AL998" s="1"/>
    </row>
    <row r="999" spans="1:38" x14ac:dyDescent="0.25">
      <c r="A999" s="1"/>
      <c r="AK999" s="2"/>
      <c r="AL999" s="1"/>
    </row>
    <row r="1000" spans="1:38" x14ac:dyDescent="0.25">
      <c r="A1000" s="1"/>
      <c r="AK1000" s="2"/>
      <c r="AL1000" s="1"/>
    </row>
    <row r="1001" spans="1:38" x14ac:dyDescent="0.25">
      <c r="A1001" s="1"/>
      <c r="AK1001" s="2"/>
      <c r="AL1001" s="1"/>
    </row>
    <row r="1002" spans="1:38" x14ac:dyDescent="0.25">
      <c r="A1002" s="1"/>
      <c r="AK1002" s="2"/>
      <c r="AL1002" s="1"/>
    </row>
    <row r="1003" spans="1:38" x14ac:dyDescent="0.25">
      <c r="A1003" s="1"/>
      <c r="AK1003" s="2"/>
      <c r="AL1003" s="1"/>
    </row>
    <row r="1004" spans="1:38" x14ac:dyDescent="0.25">
      <c r="A1004" s="1"/>
      <c r="AK1004" s="2"/>
      <c r="AL1004" s="1"/>
    </row>
    <row r="1005" spans="1:38" x14ac:dyDescent="0.25">
      <c r="A1005" s="1"/>
      <c r="AK1005" s="2"/>
      <c r="AL1005" s="1"/>
    </row>
    <row r="1006" spans="1:38" x14ac:dyDescent="0.25">
      <c r="A1006" s="1"/>
      <c r="AK1006" s="2"/>
      <c r="AL1006" s="1"/>
    </row>
    <row r="1007" spans="1:38" x14ac:dyDescent="0.25">
      <c r="A1007" s="1"/>
      <c r="AK1007" s="2"/>
      <c r="AL1007" s="1"/>
    </row>
    <row r="1008" spans="1:38" x14ac:dyDescent="0.25">
      <c r="A1008" s="1"/>
      <c r="AK1008" s="2"/>
      <c r="AL1008" s="1"/>
    </row>
    <row r="1009" spans="1:38" x14ac:dyDescent="0.25">
      <c r="A1009" s="1"/>
      <c r="AK1009" s="2"/>
      <c r="AL1009" s="1"/>
    </row>
    <row r="1010" spans="1:38" x14ac:dyDescent="0.25">
      <c r="A1010" s="1"/>
      <c r="AK1010" s="2"/>
      <c r="AL1010" s="1"/>
    </row>
    <row r="1011" spans="1:38" x14ac:dyDescent="0.25">
      <c r="A1011" s="1"/>
      <c r="AK1011" s="2"/>
      <c r="AL1011" s="1"/>
    </row>
    <row r="1012" spans="1:38" x14ac:dyDescent="0.25">
      <c r="A1012" s="1"/>
      <c r="AK1012" s="2"/>
      <c r="AL1012" s="1"/>
    </row>
    <row r="1013" spans="1:38" x14ac:dyDescent="0.25">
      <c r="A1013" s="1"/>
      <c r="AK1013" s="2"/>
      <c r="AL1013" s="1"/>
    </row>
    <row r="1014" spans="1:38" x14ac:dyDescent="0.25">
      <c r="A1014" s="1"/>
      <c r="AK1014" s="2"/>
      <c r="AL1014" s="1"/>
    </row>
    <row r="1015" spans="1:38" x14ac:dyDescent="0.25">
      <c r="A1015" s="1"/>
      <c r="AK1015" s="2"/>
      <c r="AL1015" s="1"/>
    </row>
    <row r="1016" spans="1:38" x14ac:dyDescent="0.25">
      <c r="A1016" s="1"/>
      <c r="AK1016" s="2"/>
      <c r="AL1016" s="1"/>
    </row>
    <row r="1017" spans="1:38" x14ac:dyDescent="0.25">
      <c r="A1017" s="1"/>
      <c r="AK1017" s="2"/>
      <c r="AL1017" s="1"/>
    </row>
    <row r="1018" spans="1:38" x14ac:dyDescent="0.25">
      <c r="A1018" s="1"/>
      <c r="AK1018" s="2"/>
      <c r="AL1018" s="1"/>
    </row>
    <row r="1019" spans="1:38" x14ac:dyDescent="0.25">
      <c r="A1019" s="1"/>
      <c r="AK1019" s="2"/>
      <c r="AL1019" s="1"/>
    </row>
    <row r="1020" spans="1:38" x14ac:dyDescent="0.25">
      <c r="A1020" s="1"/>
      <c r="AK1020" s="2"/>
      <c r="AL1020" s="1"/>
    </row>
    <row r="1021" spans="1:38" x14ac:dyDescent="0.25">
      <c r="A1021" s="1"/>
      <c r="AK1021" s="2"/>
      <c r="AL1021" s="1"/>
    </row>
    <row r="1022" spans="1:38" x14ac:dyDescent="0.25">
      <c r="A1022" s="1"/>
      <c r="AK1022" s="2"/>
      <c r="AL1022" s="1"/>
    </row>
    <row r="1023" spans="1:38" x14ac:dyDescent="0.25">
      <c r="A1023" s="1"/>
      <c r="AK1023" s="2"/>
      <c r="AL1023" s="1"/>
    </row>
    <row r="1024" spans="1:38" x14ac:dyDescent="0.25">
      <c r="A1024" s="1"/>
      <c r="AK1024" s="2"/>
      <c r="AL1024" s="1"/>
    </row>
    <row r="1025" spans="1:38" x14ac:dyDescent="0.25">
      <c r="A1025" s="1"/>
      <c r="AK1025" s="2"/>
      <c r="AL1025" s="1"/>
    </row>
    <row r="1026" spans="1:38" x14ac:dyDescent="0.25">
      <c r="A1026" s="1"/>
      <c r="AK1026" s="2"/>
      <c r="AL1026" s="1"/>
    </row>
    <row r="1027" spans="1:38" x14ac:dyDescent="0.25">
      <c r="A1027" s="1"/>
      <c r="AK1027" s="2"/>
      <c r="AL1027" s="1"/>
    </row>
    <row r="1028" spans="1:38" x14ac:dyDescent="0.25">
      <c r="A1028" s="1"/>
      <c r="AK1028" s="2"/>
      <c r="AL1028" s="1"/>
    </row>
    <row r="1029" spans="1:38" x14ac:dyDescent="0.25">
      <c r="A1029" s="1"/>
      <c r="AK1029" s="2"/>
      <c r="AL1029" s="1"/>
    </row>
    <row r="1030" spans="1:38" x14ac:dyDescent="0.25">
      <c r="A1030" s="1"/>
      <c r="AK1030" s="2"/>
      <c r="AL1030" s="1"/>
    </row>
    <row r="1031" spans="1:38" x14ac:dyDescent="0.25">
      <c r="A1031" s="1"/>
      <c r="AK1031" s="2"/>
      <c r="AL1031" s="1"/>
    </row>
    <row r="1032" spans="1:38" x14ac:dyDescent="0.25">
      <c r="A1032" s="1"/>
      <c r="AK1032" s="2"/>
      <c r="AL1032" s="1"/>
    </row>
    <row r="1033" spans="1:38" x14ac:dyDescent="0.25">
      <c r="A1033" s="1"/>
      <c r="AK1033" s="2"/>
      <c r="AL1033" s="1"/>
    </row>
    <row r="1034" spans="1:38" x14ac:dyDescent="0.25">
      <c r="A1034" s="1"/>
      <c r="AK1034" s="2"/>
      <c r="AL1034" s="1"/>
    </row>
    <row r="1035" spans="1:38" x14ac:dyDescent="0.25">
      <c r="A1035" s="1"/>
      <c r="AK1035" s="2"/>
      <c r="AL1035" s="1"/>
    </row>
    <row r="1036" spans="1:38" x14ac:dyDescent="0.25">
      <c r="A1036" s="1"/>
      <c r="AK1036" s="2"/>
      <c r="AL1036" s="1"/>
    </row>
    <row r="1037" spans="1:38" x14ac:dyDescent="0.25">
      <c r="A1037" s="1"/>
      <c r="AK1037" s="2"/>
      <c r="AL1037" s="1"/>
    </row>
    <row r="1038" spans="1:38" x14ac:dyDescent="0.25">
      <c r="A1038" s="1"/>
      <c r="AK1038" s="2"/>
      <c r="AL1038" s="1"/>
    </row>
    <row r="1039" spans="1:38" x14ac:dyDescent="0.25">
      <c r="A1039" s="1"/>
      <c r="AK1039" s="2"/>
      <c r="AL1039" s="1"/>
    </row>
    <row r="1040" spans="1:38" x14ac:dyDescent="0.25">
      <c r="A1040" s="1"/>
      <c r="AK1040" s="2"/>
      <c r="AL1040" s="1"/>
    </row>
    <row r="1041" spans="1:38" x14ac:dyDescent="0.25">
      <c r="A1041" s="1"/>
      <c r="AK1041" s="2"/>
      <c r="AL1041" s="1"/>
    </row>
    <row r="1042" spans="1:38" x14ac:dyDescent="0.25">
      <c r="A1042" s="1"/>
      <c r="AK1042" s="2"/>
      <c r="AL1042" s="1"/>
    </row>
    <row r="1043" spans="1:38" x14ac:dyDescent="0.25">
      <c r="A1043" s="1"/>
      <c r="AK1043" s="2"/>
      <c r="AL1043" s="1"/>
    </row>
    <row r="1044" spans="1:38" x14ac:dyDescent="0.25">
      <c r="A1044" s="1"/>
      <c r="AK1044" s="2"/>
      <c r="AL1044" s="1"/>
    </row>
    <row r="1045" spans="1:38" x14ac:dyDescent="0.25">
      <c r="A1045" s="1"/>
      <c r="AK1045" s="2"/>
      <c r="AL1045" s="1"/>
    </row>
    <row r="1046" spans="1:38" x14ac:dyDescent="0.25">
      <c r="A1046" s="1"/>
      <c r="AK1046" s="2"/>
      <c r="AL1046" s="1"/>
    </row>
    <row r="1047" spans="1:38" x14ac:dyDescent="0.25">
      <c r="A1047" s="1"/>
      <c r="AK1047" s="2"/>
      <c r="AL1047" s="1"/>
    </row>
    <row r="1048" spans="1:38" x14ac:dyDescent="0.25">
      <c r="A1048" s="1"/>
      <c r="AK1048" s="2"/>
      <c r="AL1048" s="1"/>
    </row>
    <row r="1049" spans="1:38" x14ac:dyDescent="0.25">
      <c r="A1049" s="1"/>
      <c r="AK1049" s="2"/>
      <c r="AL1049" s="1"/>
    </row>
    <row r="1050" spans="1:38" x14ac:dyDescent="0.25">
      <c r="A1050" s="1"/>
      <c r="AK1050" s="2"/>
      <c r="AL1050" s="1"/>
    </row>
    <row r="1051" spans="1:38" x14ac:dyDescent="0.25">
      <c r="A1051" s="1"/>
      <c r="AK1051" s="2"/>
      <c r="AL1051" s="1"/>
    </row>
    <row r="1052" spans="1:38" x14ac:dyDescent="0.25">
      <c r="A1052" s="1"/>
      <c r="AK1052" s="2"/>
      <c r="AL1052" s="1"/>
    </row>
    <row r="1053" spans="1:38" x14ac:dyDescent="0.25">
      <c r="A1053" s="1"/>
      <c r="AK1053" s="2"/>
      <c r="AL1053" s="1"/>
    </row>
    <row r="1054" spans="1:38" x14ac:dyDescent="0.25">
      <c r="A1054" s="1"/>
      <c r="AK1054" s="2"/>
      <c r="AL1054" s="1"/>
    </row>
    <row r="1055" spans="1:38" x14ac:dyDescent="0.25">
      <c r="A1055" s="1"/>
      <c r="AK1055" s="2"/>
      <c r="AL1055" s="1"/>
    </row>
    <row r="1056" spans="1:38" x14ac:dyDescent="0.25">
      <c r="A1056" s="1"/>
      <c r="AK1056" s="2"/>
      <c r="AL1056" s="1"/>
    </row>
    <row r="1057" spans="1:38" x14ac:dyDescent="0.25">
      <c r="A1057" s="1"/>
      <c r="AK1057" s="2"/>
      <c r="AL1057" s="1"/>
    </row>
    <row r="1058" spans="1:38" x14ac:dyDescent="0.25">
      <c r="A1058" s="1"/>
      <c r="AK1058" s="2"/>
      <c r="AL1058" s="1"/>
    </row>
    <row r="1059" spans="1:38" x14ac:dyDescent="0.25">
      <c r="A1059" s="1"/>
      <c r="AK1059" s="2"/>
      <c r="AL1059" s="1"/>
    </row>
    <row r="1060" spans="1:38" x14ac:dyDescent="0.25">
      <c r="A1060" s="1"/>
      <c r="AK1060" s="2"/>
      <c r="AL1060" s="1"/>
    </row>
    <row r="1061" spans="1:38" x14ac:dyDescent="0.25">
      <c r="A1061" s="1"/>
      <c r="AK1061" s="2"/>
      <c r="AL1061" s="1"/>
    </row>
    <row r="1062" spans="1:38" x14ac:dyDescent="0.25">
      <c r="A1062" s="1"/>
      <c r="AK1062" s="2"/>
      <c r="AL1062" s="1"/>
    </row>
    <row r="1063" spans="1:38" x14ac:dyDescent="0.25">
      <c r="A1063" s="1"/>
      <c r="AK1063" s="2"/>
      <c r="AL1063" s="1"/>
    </row>
    <row r="1064" spans="1:38" x14ac:dyDescent="0.25">
      <c r="A1064" s="1"/>
      <c r="AK1064" s="2"/>
      <c r="AL1064" s="1"/>
    </row>
    <row r="1065" spans="1:38" x14ac:dyDescent="0.25">
      <c r="A1065" s="1"/>
      <c r="AK1065" s="2"/>
      <c r="AL1065" s="1"/>
    </row>
    <row r="1066" spans="1:38" x14ac:dyDescent="0.25">
      <c r="A1066" s="1"/>
      <c r="AK1066" s="2"/>
      <c r="AL1066" s="1"/>
    </row>
    <row r="1067" spans="1:38" x14ac:dyDescent="0.25">
      <c r="A1067" s="1"/>
      <c r="AK1067" s="2"/>
      <c r="AL1067" s="1"/>
    </row>
    <row r="1068" spans="1:38" x14ac:dyDescent="0.25">
      <c r="A1068" s="1"/>
      <c r="AK1068" s="2"/>
      <c r="AL1068" s="1"/>
    </row>
    <row r="1069" spans="1:38" x14ac:dyDescent="0.25">
      <c r="A1069" s="1"/>
      <c r="AK1069" s="2"/>
      <c r="AL1069" s="1"/>
    </row>
    <row r="1070" spans="1:38" x14ac:dyDescent="0.25">
      <c r="A1070" s="1"/>
      <c r="AK1070" s="2"/>
      <c r="AL1070" s="1"/>
    </row>
    <row r="1071" spans="1:38" x14ac:dyDescent="0.25">
      <c r="A1071" s="1"/>
      <c r="AK1071" s="2"/>
      <c r="AL1071" s="1"/>
    </row>
    <row r="1072" spans="1:38" x14ac:dyDescent="0.25">
      <c r="A1072" s="1"/>
      <c r="AK1072" s="2"/>
      <c r="AL1072" s="1"/>
    </row>
    <row r="1073" spans="1:38" x14ac:dyDescent="0.25">
      <c r="A1073" s="1"/>
      <c r="AK1073" s="2"/>
      <c r="AL1073" s="1"/>
    </row>
    <row r="1074" spans="1:38" x14ac:dyDescent="0.25">
      <c r="A1074" s="1"/>
      <c r="AK1074" s="2"/>
      <c r="AL1074" s="1"/>
    </row>
    <row r="1075" spans="1:38" x14ac:dyDescent="0.25">
      <c r="A1075" s="1"/>
      <c r="AK1075" s="2"/>
      <c r="AL1075" s="1"/>
    </row>
    <row r="1076" spans="1:38" x14ac:dyDescent="0.25">
      <c r="A1076" s="1"/>
      <c r="AK1076" s="2"/>
      <c r="AL1076" s="1"/>
    </row>
    <row r="1077" spans="1:38" x14ac:dyDescent="0.25">
      <c r="A1077" s="1"/>
      <c r="AK1077" s="2"/>
      <c r="AL1077" s="1"/>
    </row>
    <row r="1078" spans="1:38" x14ac:dyDescent="0.25">
      <c r="A1078" s="1"/>
      <c r="AK1078" s="2"/>
      <c r="AL1078" s="1"/>
    </row>
    <row r="1079" spans="1:38" x14ac:dyDescent="0.25">
      <c r="A1079" s="1"/>
      <c r="AK1079" s="2"/>
      <c r="AL1079" s="1"/>
    </row>
    <row r="1080" spans="1:38" x14ac:dyDescent="0.25">
      <c r="A1080" s="1"/>
      <c r="AK1080" s="2"/>
      <c r="AL1080" s="1"/>
    </row>
    <row r="1081" spans="1:38" x14ac:dyDescent="0.25">
      <c r="A1081" s="1"/>
      <c r="AK1081" s="2"/>
      <c r="AL1081" s="1"/>
    </row>
    <row r="1082" spans="1:38" x14ac:dyDescent="0.25">
      <c r="A1082" s="1"/>
      <c r="AK1082" s="2"/>
      <c r="AL1082" s="1"/>
    </row>
    <row r="1083" spans="1:38" x14ac:dyDescent="0.25">
      <c r="A1083" s="1"/>
      <c r="AK1083" s="2"/>
      <c r="AL1083" s="1"/>
    </row>
    <row r="1084" spans="1:38" x14ac:dyDescent="0.25">
      <c r="A1084" s="1"/>
      <c r="AK1084" s="2"/>
      <c r="AL1084" s="1"/>
    </row>
    <row r="1085" spans="1:38" x14ac:dyDescent="0.25">
      <c r="A1085" s="1"/>
      <c r="AK1085" s="2"/>
      <c r="AL1085" s="1"/>
    </row>
    <row r="1086" spans="1:38" x14ac:dyDescent="0.25">
      <c r="A1086" s="1"/>
      <c r="AK1086" s="2"/>
      <c r="AL1086" s="1"/>
    </row>
    <row r="1087" spans="1:38" x14ac:dyDescent="0.25">
      <c r="A1087" s="1"/>
      <c r="AK1087" s="2"/>
      <c r="AL1087" s="1"/>
    </row>
    <row r="1088" spans="1:38" x14ac:dyDescent="0.25">
      <c r="A1088" s="1"/>
      <c r="AK1088" s="2"/>
      <c r="AL1088" s="1"/>
    </row>
    <row r="1089" spans="1:38" x14ac:dyDescent="0.25">
      <c r="A1089" s="1"/>
      <c r="AK1089" s="2"/>
      <c r="AL1089" s="1"/>
    </row>
    <row r="1090" spans="1:38" x14ac:dyDescent="0.25">
      <c r="A1090" s="1"/>
      <c r="AK1090" s="2"/>
      <c r="AL1090" s="1"/>
    </row>
    <row r="1091" spans="1:38" x14ac:dyDescent="0.25">
      <c r="A1091" s="1"/>
      <c r="AK1091" s="2"/>
      <c r="AL1091" s="1"/>
    </row>
    <row r="1092" spans="1:38" x14ac:dyDescent="0.25">
      <c r="A1092" s="1"/>
      <c r="AK1092" s="2"/>
      <c r="AL1092" s="1"/>
    </row>
    <row r="1093" spans="1:38" x14ac:dyDescent="0.25">
      <c r="A1093" s="1"/>
      <c r="AK1093" s="2"/>
      <c r="AL1093" s="1"/>
    </row>
    <row r="1094" spans="1:38" x14ac:dyDescent="0.25">
      <c r="A1094" s="1"/>
      <c r="AK1094" s="2"/>
      <c r="AL1094" s="1"/>
    </row>
    <row r="1095" spans="1:38" x14ac:dyDescent="0.25">
      <c r="A1095" s="1"/>
      <c r="AK1095" s="2"/>
      <c r="AL1095" s="1"/>
    </row>
    <row r="1096" spans="1:38" x14ac:dyDescent="0.25">
      <c r="A1096" s="1"/>
      <c r="AK1096" s="2"/>
      <c r="AL1096" s="1"/>
    </row>
    <row r="1097" spans="1:38" x14ac:dyDescent="0.25">
      <c r="A1097" s="1"/>
      <c r="AK1097" s="2"/>
      <c r="AL1097" s="1"/>
    </row>
    <row r="1098" spans="1:38" x14ac:dyDescent="0.25">
      <c r="A1098" s="1"/>
      <c r="AK1098" s="2"/>
      <c r="AL1098" s="1"/>
    </row>
    <row r="1099" spans="1:38" x14ac:dyDescent="0.25">
      <c r="A1099" s="1"/>
      <c r="AK1099" s="2"/>
      <c r="AL1099" s="1"/>
    </row>
    <row r="1100" spans="1:38" x14ac:dyDescent="0.25">
      <c r="A1100" s="1"/>
      <c r="AK1100" s="2"/>
      <c r="AL1100" s="1"/>
    </row>
    <row r="1101" spans="1:38" x14ac:dyDescent="0.25">
      <c r="A1101" s="1"/>
      <c r="AK1101" s="2"/>
      <c r="AL1101" s="1"/>
    </row>
    <row r="1102" spans="1:38" x14ac:dyDescent="0.25">
      <c r="A1102" s="1"/>
      <c r="AK1102" s="2"/>
      <c r="AL1102" s="1"/>
    </row>
    <row r="1103" spans="1:38" x14ac:dyDescent="0.25">
      <c r="A1103" s="1"/>
      <c r="AK1103" s="2"/>
      <c r="AL1103" s="1"/>
    </row>
    <row r="1104" spans="1:38" x14ac:dyDescent="0.25">
      <c r="A1104" s="1"/>
      <c r="AK1104" s="2"/>
      <c r="AL1104" s="1"/>
    </row>
    <row r="1105" spans="1:38" x14ac:dyDescent="0.25">
      <c r="A1105" s="1"/>
      <c r="AK1105" s="2"/>
      <c r="AL1105" s="1"/>
    </row>
    <row r="1106" spans="1:38" x14ac:dyDescent="0.25">
      <c r="A1106" s="1"/>
      <c r="AK1106" s="2"/>
      <c r="AL1106" s="1"/>
    </row>
    <row r="1107" spans="1:38" x14ac:dyDescent="0.25">
      <c r="A1107" s="1"/>
      <c r="AK1107" s="2"/>
      <c r="AL1107" s="1"/>
    </row>
    <row r="1108" spans="1:38" x14ac:dyDescent="0.25">
      <c r="A1108" s="1"/>
      <c r="AK1108" s="2"/>
      <c r="AL1108" s="1"/>
    </row>
    <row r="1109" spans="1:38" x14ac:dyDescent="0.25">
      <c r="A1109" s="1"/>
      <c r="AK1109" s="2"/>
      <c r="AL1109" s="1"/>
    </row>
    <row r="1110" spans="1:38" x14ac:dyDescent="0.25">
      <c r="A1110" s="1"/>
      <c r="AK1110" s="2"/>
      <c r="AL1110" s="1"/>
    </row>
    <row r="1111" spans="1:38" x14ac:dyDescent="0.25">
      <c r="A1111" s="1"/>
      <c r="AK1111" s="2"/>
      <c r="AL1111" s="1"/>
    </row>
    <row r="1112" spans="1:38" x14ac:dyDescent="0.25">
      <c r="A1112" s="1"/>
      <c r="AK1112" s="2"/>
      <c r="AL1112" s="1"/>
    </row>
    <row r="1113" spans="1:38" x14ac:dyDescent="0.25">
      <c r="A1113" s="1"/>
      <c r="AK1113" s="2"/>
      <c r="AL1113" s="1"/>
    </row>
    <row r="1114" spans="1:38" x14ac:dyDescent="0.25">
      <c r="A1114" s="1"/>
      <c r="AK1114" s="2"/>
      <c r="AL1114" s="1"/>
    </row>
    <row r="1115" spans="1:38" x14ac:dyDescent="0.25">
      <c r="A1115" s="1"/>
      <c r="AK1115" s="2"/>
      <c r="AL1115" s="1"/>
    </row>
    <row r="1116" spans="1:38" x14ac:dyDescent="0.25">
      <c r="A1116" s="1"/>
      <c r="AK1116" s="2"/>
      <c r="AL1116" s="1"/>
    </row>
    <row r="1117" spans="1:38" x14ac:dyDescent="0.25">
      <c r="A1117" s="1"/>
      <c r="AK1117" s="2"/>
      <c r="AL1117" s="1"/>
    </row>
    <row r="1118" spans="1:38" x14ac:dyDescent="0.25">
      <c r="A1118" s="1"/>
      <c r="AK1118" s="2"/>
      <c r="AL1118" s="1"/>
    </row>
    <row r="1119" spans="1:38" x14ac:dyDescent="0.25">
      <c r="A1119" s="1"/>
      <c r="AK1119" s="2"/>
      <c r="AL1119" s="1"/>
    </row>
    <row r="1120" spans="1:38" x14ac:dyDescent="0.25">
      <c r="A1120" s="1"/>
      <c r="AK1120" s="2"/>
      <c r="AL1120" s="1"/>
    </row>
    <row r="1121" spans="1:38" x14ac:dyDescent="0.25">
      <c r="A1121" s="1"/>
      <c r="AK1121" s="2"/>
      <c r="AL1121" s="1"/>
    </row>
    <row r="1122" spans="1:38" x14ac:dyDescent="0.25">
      <c r="A1122" s="1"/>
      <c r="AK1122" s="2"/>
      <c r="AL1122" s="1"/>
    </row>
    <row r="1123" spans="1:38" x14ac:dyDescent="0.25">
      <c r="A1123" s="1"/>
      <c r="AK1123" s="2"/>
      <c r="AL1123" s="1"/>
    </row>
    <row r="1124" spans="1:38" x14ac:dyDescent="0.25">
      <c r="A1124" s="1"/>
      <c r="AK1124" s="2"/>
      <c r="AL1124" s="1"/>
    </row>
    <row r="1125" spans="1:38" x14ac:dyDescent="0.25">
      <c r="A1125" s="1"/>
      <c r="AK1125" s="2"/>
      <c r="AL1125" s="1"/>
    </row>
    <row r="1126" spans="1:38" x14ac:dyDescent="0.25">
      <c r="A1126" s="1"/>
      <c r="AK1126" s="2"/>
      <c r="AL1126" s="1"/>
    </row>
    <row r="1127" spans="1:38" x14ac:dyDescent="0.25">
      <c r="A1127" s="1"/>
      <c r="AK1127" s="2"/>
      <c r="AL1127" s="1"/>
    </row>
    <row r="1128" spans="1:38" x14ac:dyDescent="0.25">
      <c r="A1128" s="1"/>
      <c r="AK1128" s="2"/>
      <c r="AL1128" s="1"/>
    </row>
    <row r="1129" spans="1:38" x14ac:dyDescent="0.25">
      <c r="A1129" s="1"/>
      <c r="AK1129" s="2"/>
      <c r="AL1129" s="1"/>
    </row>
    <row r="1130" spans="1:38" x14ac:dyDescent="0.25">
      <c r="A1130" s="1"/>
      <c r="AK1130" s="2"/>
      <c r="AL1130" s="1"/>
    </row>
    <row r="1131" spans="1:38" x14ac:dyDescent="0.25">
      <c r="A1131" s="1"/>
      <c r="AK1131" s="2"/>
      <c r="AL1131" s="1"/>
    </row>
    <row r="1132" spans="1:38" x14ac:dyDescent="0.25">
      <c r="A1132" s="1"/>
      <c r="AK1132" s="2"/>
      <c r="AL1132" s="1"/>
    </row>
    <row r="1133" spans="1:38" x14ac:dyDescent="0.25">
      <c r="A1133" s="1"/>
      <c r="AK1133" s="2"/>
      <c r="AL1133" s="1"/>
    </row>
    <row r="1134" spans="1:38" x14ac:dyDescent="0.25">
      <c r="A1134" s="1"/>
      <c r="AK1134" s="2"/>
      <c r="AL1134" s="1"/>
    </row>
    <row r="1135" spans="1:38" x14ac:dyDescent="0.25">
      <c r="A1135" s="1"/>
      <c r="AK1135" s="2"/>
      <c r="AL1135" s="1"/>
    </row>
    <row r="1136" spans="1:38" x14ac:dyDescent="0.25">
      <c r="A1136" s="1"/>
      <c r="AK1136" s="2"/>
      <c r="AL1136" s="1"/>
    </row>
    <row r="1137" spans="1:38" x14ac:dyDescent="0.25">
      <c r="A1137" s="1"/>
      <c r="AK1137" s="2"/>
      <c r="AL1137" s="1"/>
    </row>
    <row r="1138" spans="1:38" x14ac:dyDescent="0.25">
      <c r="A1138" s="1"/>
      <c r="AK1138" s="2"/>
      <c r="AL1138" s="1"/>
    </row>
    <row r="1139" spans="1:38" x14ac:dyDescent="0.25">
      <c r="A1139" s="1"/>
      <c r="AK1139" s="2"/>
      <c r="AL1139" s="1"/>
    </row>
    <row r="1140" spans="1:38" x14ac:dyDescent="0.25">
      <c r="A1140" s="1"/>
      <c r="AK1140" s="2"/>
      <c r="AL1140" s="1"/>
    </row>
    <row r="1141" spans="1:38" x14ac:dyDescent="0.25">
      <c r="A1141" s="1"/>
      <c r="AK1141" s="2"/>
      <c r="AL1141" s="1"/>
    </row>
    <row r="1142" spans="1:38" x14ac:dyDescent="0.25">
      <c r="A1142" s="1"/>
      <c r="AK1142" s="2"/>
      <c r="AL1142" s="1"/>
    </row>
    <row r="1143" spans="1:38" x14ac:dyDescent="0.25">
      <c r="A1143" s="1"/>
      <c r="AK1143" s="2"/>
      <c r="AL1143" s="1"/>
    </row>
    <row r="1144" spans="1:38" x14ac:dyDescent="0.25">
      <c r="A1144" s="1"/>
      <c r="AK1144" s="2"/>
      <c r="AL1144" s="1"/>
    </row>
    <row r="1145" spans="1:38" x14ac:dyDescent="0.25">
      <c r="A1145" s="1"/>
      <c r="AK1145" s="2"/>
      <c r="AL1145" s="1"/>
    </row>
    <row r="1146" spans="1:38" x14ac:dyDescent="0.25">
      <c r="A1146" s="1"/>
      <c r="AK1146" s="2"/>
      <c r="AL1146" s="1"/>
    </row>
    <row r="1147" spans="1:38" x14ac:dyDescent="0.25">
      <c r="A1147" s="1"/>
      <c r="AK1147" s="2"/>
      <c r="AL1147" s="1"/>
    </row>
    <row r="1148" spans="1:38" x14ac:dyDescent="0.25">
      <c r="A1148" s="1"/>
      <c r="AK1148" s="2"/>
      <c r="AL1148" s="1"/>
    </row>
    <row r="1149" spans="1:38" x14ac:dyDescent="0.25">
      <c r="A1149" s="1"/>
      <c r="AK1149" s="2"/>
      <c r="AL1149" s="1"/>
    </row>
    <row r="1150" spans="1:38" x14ac:dyDescent="0.25">
      <c r="A1150" s="1"/>
      <c r="AK1150" s="2"/>
      <c r="AL1150" s="1"/>
    </row>
    <row r="1151" spans="1:38" x14ac:dyDescent="0.25">
      <c r="A1151" s="1"/>
      <c r="AK1151" s="2"/>
      <c r="AL1151" s="1"/>
    </row>
    <row r="1152" spans="1:38" x14ac:dyDescent="0.25">
      <c r="A1152" s="1"/>
      <c r="AK1152" s="2"/>
      <c r="AL1152" s="1"/>
    </row>
    <row r="1153" spans="1:38" x14ac:dyDescent="0.25">
      <c r="A1153" s="1"/>
      <c r="AK1153" s="2"/>
      <c r="AL1153" s="1"/>
    </row>
    <row r="1154" spans="1:38" x14ac:dyDescent="0.25">
      <c r="A1154" s="1"/>
      <c r="AK1154" s="2"/>
      <c r="AL1154" s="1"/>
    </row>
    <row r="1155" spans="1:38" x14ac:dyDescent="0.25">
      <c r="A1155" s="1"/>
      <c r="AK1155" s="2"/>
      <c r="AL1155" s="1"/>
    </row>
    <row r="1156" spans="1:38" x14ac:dyDescent="0.25">
      <c r="A1156" s="1"/>
      <c r="AK1156" s="2"/>
      <c r="AL1156" s="1"/>
    </row>
    <row r="1157" spans="1:38" x14ac:dyDescent="0.25">
      <c r="A1157" s="1"/>
      <c r="AK1157" s="2"/>
      <c r="AL1157" s="1"/>
    </row>
    <row r="1158" spans="1:38" x14ac:dyDescent="0.25">
      <c r="A1158" s="1"/>
      <c r="AK1158" s="2"/>
      <c r="AL1158" s="1"/>
    </row>
    <row r="1159" spans="1:38" x14ac:dyDescent="0.25">
      <c r="A1159" s="1"/>
      <c r="AK1159" s="2"/>
      <c r="AL1159" s="1"/>
    </row>
    <row r="1160" spans="1:38" x14ac:dyDescent="0.25">
      <c r="A1160" s="1"/>
      <c r="AK1160" s="2"/>
      <c r="AL1160" s="1"/>
    </row>
    <row r="1161" spans="1:38" x14ac:dyDescent="0.25">
      <c r="A1161" s="1"/>
      <c r="AK1161" s="2"/>
      <c r="AL1161" s="1"/>
    </row>
    <row r="1162" spans="1:38" x14ac:dyDescent="0.25">
      <c r="A1162" s="1"/>
      <c r="AK1162" s="2"/>
      <c r="AL1162" s="1"/>
    </row>
    <row r="1163" spans="1:38" x14ac:dyDescent="0.25">
      <c r="A1163" s="1"/>
      <c r="AK1163" s="2"/>
      <c r="AL1163" s="1"/>
    </row>
    <row r="1164" spans="1:38" x14ac:dyDescent="0.25">
      <c r="A1164" s="1"/>
      <c r="AK1164" s="2"/>
      <c r="AL1164" s="1"/>
    </row>
    <row r="1165" spans="1:38" x14ac:dyDescent="0.25">
      <c r="A1165" s="1"/>
      <c r="AK1165" s="2"/>
      <c r="AL1165" s="1"/>
    </row>
    <row r="1166" spans="1:38" x14ac:dyDescent="0.25">
      <c r="A1166" s="1"/>
      <c r="AK1166" s="2"/>
      <c r="AL1166" s="1"/>
    </row>
    <row r="1167" spans="1:38" x14ac:dyDescent="0.25">
      <c r="A1167" s="1"/>
      <c r="AK1167" s="2"/>
      <c r="AL1167" s="1"/>
    </row>
    <row r="1168" spans="1:38" x14ac:dyDescent="0.25">
      <c r="A1168" s="1"/>
      <c r="AK1168" s="2"/>
      <c r="AL1168" s="1"/>
    </row>
    <row r="1169" spans="1:38" x14ac:dyDescent="0.25">
      <c r="A1169" s="1"/>
      <c r="AK1169" s="2"/>
      <c r="AL1169" s="1"/>
    </row>
    <row r="1170" spans="1:38" x14ac:dyDescent="0.25">
      <c r="A1170" s="1"/>
      <c r="AK1170" s="2"/>
      <c r="AL1170" s="1"/>
    </row>
    <row r="1171" spans="1:38" x14ac:dyDescent="0.25">
      <c r="A1171" s="1"/>
      <c r="AK1171" s="2"/>
      <c r="AL1171" s="1"/>
    </row>
    <row r="1172" spans="1:38" x14ac:dyDescent="0.25">
      <c r="A1172" s="1"/>
      <c r="AK1172" s="2"/>
      <c r="AL1172" s="1"/>
    </row>
    <row r="1173" spans="1:38" x14ac:dyDescent="0.25">
      <c r="A1173" s="1"/>
      <c r="AK1173" s="2"/>
      <c r="AL1173" s="1"/>
    </row>
    <row r="1174" spans="1:38" x14ac:dyDescent="0.25">
      <c r="A1174" s="1"/>
      <c r="AK1174" s="2"/>
      <c r="AL1174" s="1"/>
    </row>
    <row r="1175" spans="1:38" x14ac:dyDescent="0.25">
      <c r="A1175" s="1"/>
      <c r="AK1175" s="2"/>
      <c r="AL1175" s="1"/>
    </row>
    <row r="1176" spans="1:38" x14ac:dyDescent="0.25">
      <c r="A1176" s="1"/>
      <c r="AK1176" s="2"/>
      <c r="AL1176" s="1"/>
    </row>
    <row r="1177" spans="1:38" x14ac:dyDescent="0.25">
      <c r="A1177" s="1"/>
      <c r="AK1177" s="2"/>
      <c r="AL1177" s="1"/>
    </row>
    <row r="1178" spans="1:38" x14ac:dyDescent="0.25">
      <c r="A1178" s="1"/>
      <c r="AK1178" s="2"/>
      <c r="AL1178" s="1"/>
    </row>
    <row r="1179" spans="1:38" x14ac:dyDescent="0.25">
      <c r="A1179" s="1"/>
      <c r="AK1179" s="2"/>
      <c r="AL1179" s="1"/>
    </row>
    <row r="1180" spans="1:38" x14ac:dyDescent="0.25">
      <c r="A1180" s="1"/>
      <c r="AK1180" s="2"/>
      <c r="AL1180" s="1"/>
    </row>
    <row r="1181" spans="1:38" x14ac:dyDescent="0.25">
      <c r="A1181" s="1"/>
      <c r="AK1181" s="2"/>
      <c r="AL1181" s="1"/>
    </row>
    <row r="1182" spans="1:38" x14ac:dyDescent="0.25">
      <c r="A1182" s="1"/>
      <c r="AK1182" s="2"/>
      <c r="AL1182" s="1"/>
    </row>
    <row r="1183" spans="1:38" x14ac:dyDescent="0.25">
      <c r="A1183" s="1"/>
      <c r="AK1183" s="2"/>
      <c r="AL1183" s="1"/>
    </row>
    <row r="1184" spans="1:38" x14ac:dyDescent="0.25">
      <c r="A1184" s="1"/>
      <c r="AK1184" s="2"/>
      <c r="AL1184" s="1"/>
    </row>
    <row r="1185" spans="1:38" x14ac:dyDescent="0.25">
      <c r="A1185" s="1"/>
      <c r="AK1185" s="2"/>
      <c r="AL1185" s="1"/>
    </row>
    <row r="1186" spans="1:38" x14ac:dyDescent="0.25">
      <c r="A1186" s="1"/>
      <c r="AK1186" s="2"/>
      <c r="AL1186" s="1"/>
    </row>
    <row r="1187" spans="1:38" x14ac:dyDescent="0.25">
      <c r="A1187" s="1"/>
      <c r="AK1187" s="2"/>
      <c r="AL1187" s="1"/>
    </row>
    <row r="1188" spans="1:38" x14ac:dyDescent="0.25">
      <c r="A1188" s="1"/>
      <c r="AK1188" s="2"/>
      <c r="AL1188" s="1"/>
    </row>
    <row r="1189" spans="1:38" x14ac:dyDescent="0.25">
      <c r="A1189" s="1"/>
      <c r="AK1189" s="2"/>
      <c r="AL1189" s="1"/>
    </row>
    <row r="1190" spans="1:38" x14ac:dyDescent="0.25">
      <c r="A1190" s="1"/>
      <c r="AK1190" s="2"/>
      <c r="AL1190" s="1"/>
    </row>
    <row r="1191" spans="1:38" x14ac:dyDescent="0.25">
      <c r="A1191" s="1"/>
      <c r="AK1191" s="2"/>
      <c r="AL1191" s="1"/>
    </row>
    <row r="1192" spans="1:38" x14ac:dyDescent="0.25">
      <c r="A1192" s="1"/>
      <c r="AK1192" s="2"/>
      <c r="AL1192" s="1"/>
    </row>
    <row r="1193" spans="1:38" x14ac:dyDescent="0.25">
      <c r="A1193" s="1"/>
      <c r="AK1193" s="2"/>
      <c r="AL1193" s="1"/>
    </row>
    <row r="1194" spans="1:38" x14ac:dyDescent="0.25">
      <c r="A1194" s="1"/>
      <c r="AK1194" s="2"/>
      <c r="AL1194" s="1"/>
    </row>
    <row r="1195" spans="1:38" x14ac:dyDescent="0.25">
      <c r="A1195" s="1"/>
      <c r="AK1195" s="2"/>
      <c r="AL1195" s="1"/>
    </row>
    <row r="1196" spans="1:38" x14ac:dyDescent="0.25">
      <c r="A1196" s="1"/>
      <c r="AK1196" s="2"/>
      <c r="AL1196" s="1"/>
    </row>
    <row r="1197" spans="1:38" x14ac:dyDescent="0.25">
      <c r="A1197" s="1"/>
      <c r="AK1197" s="2"/>
      <c r="AL1197" s="1"/>
    </row>
    <row r="1198" spans="1:38" x14ac:dyDescent="0.25">
      <c r="A1198" s="1"/>
      <c r="AK1198" s="2"/>
      <c r="AL1198" s="1"/>
    </row>
    <row r="1199" spans="1:38" x14ac:dyDescent="0.25">
      <c r="A1199" s="1"/>
      <c r="AK1199" s="2"/>
      <c r="AL1199" s="1"/>
    </row>
    <row r="1200" spans="1:38" x14ac:dyDescent="0.25">
      <c r="A1200" s="1"/>
      <c r="AK1200" s="2"/>
      <c r="AL1200" s="1"/>
    </row>
    <row r="1201" spans="1:38" x14ac:dyDescent="0.25">
      <c r="A1201" s="1"/>
      <c r="AK1201" s="2"/>
      <c r="AL1201" s="1"/>
    </row>
    <row r="1202" spans="1:38" x14ac:dyDescent="0.25">
      <c r="A1202" s="1"/>
      <c r="AK1202" s="2"/>
      <c r="AL1202" s="1"/>
    </row>
    <row r="1203" spans="1:38" x14ac:dyDescent="0.25">
      <c r="A1203" s="1"/>
      <c r="AK1203" s="2"/>
      <c r="AL1203" s="1"/>
    </row>
    <row r="1204" spans="1:38" x14ac:dyDescent="0.25">
      <c r="A1204" s="1"/>
      <c r="AK1204" s="2"/>
      <c r="AL1204" s="1"/>
    </row>
    <row r="1205" spans="1:38" x14ac:dyDescent="0.25">
      <c r="A1205" s="1"/>
      <c r="AK1205" s="2"/>
      <c r="AL1205" s="1"/>
    </row>
    <row r="1206" spans="1:38" x14ac:dyDescent="0.25">
      <c r="A1206" s="1"/>
      <c r="AK1206" s="2"/>
      <c r="AL1206" s="1"/>
    </row>
    <row r="1207" spans="1:38" x14ac:dyDescent="0.25">
      <c r="A1207" s="1"/>
      <c r="AK1207" s="2"/>
      <c r="AL1207" s="1"/>
    </row>
    <row r="1208" spans="1:38" x14ac:dyDescent="0.25">
      <c r="A1208" s="1"/>
      <c r="AK1208" s="2"/>
      <c r="AL1208" s="1"/>
    </row>
    <row r="1209" spans="1:38" x14ac:dyDescent="0.25">
      <c r="A1209" s="1"/>
      <c r="AK1209" s="2"/>
      <c r="AL1209" s="1"/>
    </row>
    <row r="1210" spans="1:38" x14ac:dyDescent="0.25">
      <c r="A1210" s="1"/>
      <c r="AK1210" s="2"/>
      <c r="AL1210" s="1"/>
    </row>
    <row r="1211" spans="1:38" x14ac:dyDescent="0.25">
      <c r="A1211" s="1"/>
      <c r="AK1211" s="2"/>
      <c r="AL1211" s="1"/>
    </row>
    <row r="1212" spans="1:38" x14ac:dyDescent="0.25">
      <c r="A1212" s="1"/>
      <c r="AK1212" s="2"/>
      <c r="AL1212" s="1"/>
    </row>
    <row r="1213" spans="1:38" x14ac:dyDescent="0.25">
      <c r="A1213" s="1"/>
      <c r="AK1213" s="2"/>
      <c r="AL1213" s="1"/>
    </row>
    <row r="1214" spans="1:38" x14ac:dyDescent="0.25">
      <c r="A1214" s="1"/>
      <c r="AK1214" s="2"/>
      <c r="AL1214" s="1"/>
    </row>
    <row r="1215" spans="1:38" x14ac:dyDescent="0.25">
      <c r="A1215" s="1"/>
      <c r="AK1215" s="2"/>
      <c r="AL1215" s="1"/>
    </row>
    <row r="1216" spans="1:38" x14ac:dyDescent="0.25">
      <c r="A1216" s="1"/>
      <c r="AK1216" s="2"/>
      <c r="AL1216" s="1"/>
    </row>
    <row r="1217" spans="1:38" x14ac:dyDescent="0.25">
      <c r="A1217" s="1"/>
      <c r="AK1217" s="2"/>
      <c r="AL1217" s="1"/>
    </row>
    <row r="1218" spans="1:38" x14ac:dyDescent="0.25">
      <c r="A1218" s="1"/>
      <c r="AK1218" s="2"/>
      <c r="AL1218" s="1"/>
    </row>
    <row r="1219" spans="1:38" x14ac:dyDescent="0.25">
      <c r="A1219" s="1"/>
      <c r="AK1219" s="2"/>
      <c r="AL1219" s="1"/>
    </row>
    <row r="1220" spans="1:38" x14ac:dyDescent="0.25">
      <c r="A1220" s="1"/>
      <c r="AK1220" s="2"/>
      <c r="AL1220" s="1"/>
    </row>
    <row r="1221" spans="1:38" x14ac:dyDescent="0.25">
      <c r="A1221" s="1"/>
      <c r="AK1221" s="2"/>
      <c r="AL1221" s="1"/>
    </row>
    <row r="1222" spans="1:38" x14ac:dyDescent="0.25">
      <c r="A1222" s="1"/>
      <c r="AK1222" s="2"/>
      <c r="AL1222" s="1"/>
    </row>
    <row r="1223" spans="1:38" x14ac:dyDescent="0.25">
      <c r="A1223" s="1"/>
      <c r="AK1223" s="2"/>
      <c r="AL1223" s="1"/>
    </row>
    <row r="1224" spans="1:38" x14ac:dyDescent="0.25">
      <c r="A1224" s="1"/>
      <c r="AK1224" s="2"/>
      <c r="AL1224" s="1"/>
    </row>
    <row r="1225" spans="1:38" x14ac:dyDescent="0.25">
      <c r="A1225" s="1"/>
      <c r="AK1225" s="2"/>
      <c r="AL1225" s="1"/>
    </row>
    <row r="1226" spans="1:38" x14ac:dyDescent="0.25">
      <c r="A1226" s="1"/>
      <c r="AK1226" s="2"/>
      <c r="AL1226" s="1"/>
    </row>
    <row r="1227" spans="1:38" x14ac:dyDescent="0.25">
      <c r="A1227" s="1"/>
      <c r="AK1227" s="2"/>
      <c r="AL1227" s="1"/>
    </row>
    <row r="1228" spans="1:38" x14ac:dyDescent="0.25">
      <c r="A1228" s="1"/>
      <c r="AK1228" s="2"/>
      <c r="AL1228" s="1"/>
    </row>
    <row r="1229" spans="1:38" x14ac:dyDescent="0.25">
      <c r="A1229" s="1"/>
      <c r="AK1229" s="2"/>
      <c r="AL1229" s="1"/>
    </row>
    <row r="1230" spans="1:38" x14ac:dyDescent="0.25">
      <c r="A1230" s="1"/>
      <c r="AK1230" s="2"/>
      <c r="AL1230" s="1"/>
    </row>
    <row r="1231" spans="1:38" x14ac:dyDescent="0.25">
      <c r="A1231" s="1"/>
      <c r="AK1231" s="2"/>
      <c r="AL1231" s="1"/>
    </row>
    <row r="1232" spans="1:38" x14ac:dyDescent="0.25">
      <c r="A1232" s="1"/>
      <c r="AK1232" s="2"/>
      <c r="AL1232" s="1"/>
    </row>
    <row r="1233" spans="1:38" x14ac:dyDescent="0.25">
      <c r="A1233" s="1"/>
      <c r="AK1233" s="2"/>
      <c r="AL1233" s="1"/>
    </row>
    <row r="1234" spans="1:38" x14ac:dyDescent="0.25">
      <c r="A1234" s="1"/>
      <c r="AK1234" s="2"/>
      <c r="AL1234" s="1"/>
    </row>
    <row r="1235" spans="1:38" x14ac:dyDescent="0.25">
      <c r="A1235" s="1"/>
      <c r="AK1235" s="2"/>
      <c r="AL1235" s="1"/>
    </row>
    <row r="1236" spans="1:38" x14ac:dyDescent="0.25">
      <c r="A1236" s="1"/>
      <c r="AK1236" s="2"/>
      <c r="AL1236" s="1"/>
    </row>
    <row r="1237" spans="1:38" x14ac:dyDescent="0.25">
      <c r="A1237" s="1"/>
      <c r="AK1237" s="2"/>
      <c r="AL1237" s="1"/>
    </row>
    <row r="1238" spans="1:38" x14ac:dyDescent="0.25">
      <c r="A1238" s="1"/>
      <c r="AK1238" s="2"/>
      <c r="AL1238" s="1"/>
    </row>
    <row r="1239" spans="1:38" x14ac:dyDescent="0.25">
      <c r="A1239" s="1"/>
      <c r="AK1239" s="2"/>
      <c r="AL1239" s="1"/>
    </row>
    <row r="1240" spans="1:38" x14ac:dyDescent="0.25">
      <c r="A1240" s="1"/>
      <c r="AK1240" s="2"/>
      <c r="AL1240" s="1"/>
    </row>
    <row r="1241" spans="1:38" x14ac:dyDescent="0.25">
      <c r="A1241" s="1"/>
      <c r="AK1241" s="2"/>
      <c r="AL1241" s="1"/>
    </row>
    <row r="1242" spans="1:38" x14ac:dyDescent="0.25">
      <c r="A1242" s="1"/>
      <c r="AK1242" s="2"/>
      <c r="AL1242" s="1"/>
    </row>
    <row r="1243" spans="1:38" x14ac:dyDescent="0.25">
      <c r="A1243" s="1"/>
      <c r="AK1243" s="2"/>
      <c r="AL1243" s="1"/>
    </row>
    <row r="1244" spans="1:38" x14ac:dyDescent="0.25">
      <c r="A1244" s="1"/>
      <c r="AK1244" s="2"/>
      <c r="AL1244" s="1"/>
    </row>
    <row r="1245" spans="1:38" x14ac:dyDescent="0.25">
      <c r="A1245" s="1"/>
      <c r="AK1245" s="2"/>
      <c r="AL1245" s="1"/>
    </row>
    <row r="1246" spans="1:38" x14ac:dyDescent="0.25">
      <c r="A1246" s="1"/>
      <c r="AK1246" s="2"/>
      <c r="AL1246" s="1"/>
    </row>
    <row r="1247" spans="1:38" x14ac:dyDescent="0.25">
      <c r="A1247" s="1"/>
      <c r="AK1247" s="2"/>
      <c r="AL1247" s="1"/>
    </row>
    <row r="1248" spans="1:38" x14ac:dyDescent="0.25">
      <c r="A1248" s="1"/>
      <c r="AK1248" s="2"/>
      <c r="AL1248" s="1"/>
    </row>
    <row r="1249" spans="1:38" x14ac:dyDescent="0.25">
      <c r="A1249" s="1"/>
      <c r="AK1249" s="2"/>
      <c r="AL1249" s="1"/>
    </row>
    <row r="1250" spans="1:38" x14ac:dyDescent="0.25">
      <c r="A1250" s="1"/>
      <c r="AK1250" s="2"/>
      <c r="AL1250" s="1"/>
    </row>
    <row r="1251" spans="1:38" x14ac:dyDescent="0.25">
      <c r="A1251" s="1"/>
      <c r="AK1251" s="2"/>
      <c r="AL1251" s="1"/>
    </row>
    <row r="1252" spans="1:38" x14ac:dyDescent="0.25">
      <c r="A1252" s="1"/>
      <c r="AK1252" s="2"/>
      <c r="AL1252" s="1"/>
    </row>
    <row r="1253" spans="1:38" x14ac:dyDescent="0.25">
      <c r="A1253" s="1"/>
      <c r="AK1253" s="2"/>
      <c r="AL1253" s="1"/>
    </row>
    <row r="1254" spans="1:38" x14ac:dyDescent="0.25">
      <c r="A1254" s="1"/>
      <c r="AK1254" s="2"/>
      <c r="AL1254" s="1"/>
    </row>
    <row r="1255" spans="1:38" x14ac:dyDescent="0.25">
      <c r="A1255" s="1"/>
      <c r="AK1255" s="2"/>
      <c r="AL1255" s="1"/>
    </row>
    <row r="1256" spans="1:38" x14ac:dyDescent="0.25">
      <c r="A1256" s="1"/>
      <c r="AK1256" s="2"/>
      <c r="AL1256" s="1"/>
    </row>
    <row r="1257" spans="1:38" x14ac:dyDescent="0.25">
      <c r="A1257" s="1"/>
      <c r="AK1257" s="2"/>
      <c r="AL1257" s="1"/>
    </row>
    <row r="1258" spans="1:38" x14ac:dyDescent="0.25">
      <c r="A1258" s="1"/>
      <c r="AK1258" s="2"/>
      <c r="AL1258" s="1"/>
    </row>
    <row r="1259" spans="1:38" x14ac:dyDescent="0.25">
      <c r="A1259" s="1"/>
      <c r="AK1259" s="2"/>
      <c r="AL1259" s="1"/>
    </row>
    <row r="1260" spans="1:38" x14ac:dyDescent="0.25">
      <c r="A1260" s="1"/>
      <c r="AK1260" s="2"/>
      <c r="AL1260" s="1"/>
    </row>
    <row r="1261" spans="1:38" x14ac:dyDescent="0.25">
      <c r="A1261" s="1"/>
      <c r="AK1261" s="2"/>
      <c r="AL1261" s="1"/>
    </row>
    <row r="1262" spans="1:38" x14ac:dyDescent="0.25">
      <c r="A1262" s="1"/>
      <c r="AK1262" s="2"/>
      <c r="AL1262" s="1"/>
    </row>
    <row r="1263" spans="1:38" x14ac:dyDescent="0.25">
      <c r="A1263" s="1"/>
      <c r="AK1263" s="2"/>
      <c r="AL1263" s="1"/>
    </row>
    <row r="1264" spans="1:38" x14ac:dyDescent="0.25">
      <c r="A1264" s="1"/>
      <c r="AK1264" s="2"/>
      <c r="AL1264" s="1"/>
    </row>
    <row r="1265" spans="1:38" x14ac:dyDescent="0.25">
      <c r="A1265" s="1"/>
      <c r="AK1265" s="2"/>
      <c r="AL1265" s="1"/>
    </row>
    <row r="1266" spans="1:38" x14ac:dyDescent="0.25">
      <c r="A1266" s="1"/>
      <c r="AK1266" s="2"/>
      <c r="AL1266" s="1"/>
    </row>
    <row r="1267" spans="1:38" x14ac:dyDescent="0.25">
      <c r="A1267" s="1"/>
      <c r="AK1267" s="2"/>
      <c r="AL1267" s="1"/>
    </row>
    <row r="1268" spans="1:38" x14ac:dyDescent="0.25">
      <c r="A1268" s="1"/>
      <c r="AK1268" s="2"/>
      <c r="AL1268" s="1"/>
    </row>
    <row r="1269" spans="1:38" x14ac:dyDescent="0.25">
      <c r="A1269" s="1"/>
      <c r="AK1269" s="2"/>
      <c r="AL1269" s="1"/>
    </row>
    <row r="1270" spans="1:38" x14ac:dyDescent="0.25">
      <c r="A1270" s="1"/>
      <c r="AK1270" s="2"/>
      <c r="AL1270" s="1"/>
    </row>
    <row r="1271" spans="1:38" x14ac:dyDescent="0.25">
      <c r="A1271" s="1"/>
      <c r="AK1271" s="2"/>
      <c r="AL1271" s="1"/>
    </row>
    <row r="1272" spans="1:38" x14ac:dyDescent="0.25">
      <c r="A1272" s="1"/>
      <c r="AK1272" s="2"/>
      <c r="AL1272" s="1"/>
    </row>
    <row r="1273" spans="1:38" x14ac:dyDescent="0.25">
      <c r="A1273" s="1"/>
      <c r="AK1273" s="2"/>
      <c r="AL1273" s="1"/>
    </row>
    <row r="1274" spans="1:38" x14ac:dyDescent="0.25">
      <c r="A1274" s="1"/>
      <c r="AK1274" s="2"/>
      <c r="AL1274" s="1"/>
    </row>
    <row r="1275" spans="1:38" x14ac:dyDescent="0.25">
      <c r="A1275" s="1"/>
      <c r="AK1275" s="2"/>
      <c r="AL1275" s="1"/>
    </row>
    <row r="1276" spans="1:38" x14ac:dyDescent="0.25">
      <c r="A1276" s="1"/>
      <c r="AK1276" s="2"/>
      <c r="AL1276" s="1"/>
    </row>
    <row r="1277" spans="1:38" x14ac:dyDescent="0.25">
      <c r="A1277" s="1"/>
      <c r="AK1277" s="2"/>
      <c r="AL1277" s="1"/>
    </row>
    <row r="1278" spans="1:38" x14ac:dyDescent="0.25">
      <c r="A1278" s="1"/>
      <c r="AK1278" s="2"/>
      <c r="AL1278" s="1"/>
    </row>
    <row r="1279" spans="1:38" x14ac:dyDescent="0.25">
      <c r="A1279" s="1"/>
      <c r="AK1279" s="2"/>
      <c r="AL1279" s="1"/>
    </row>
    <row r="1280" spans="1:38" x14ac:dyDescent="0.25">
      <c r="A1280" s="1"/>
      <c r="AK1280" s="2"/>
      <c r="AL1280" s="1"/>
    </row>
    <row r="1281" spans="1:38" x14ac:dyDescent="0.25">
      <c r="A1281" s="1"/>
      <c r="AK1281" s="2"/>
      <c r="AL1281" s="1"/>
    </row>
    <row r="1282" spans="1:38" x14ac:dyDescent="0.25">
      <c r="A1282" s="1"/>
      <c r="AK1282" s="2"/>
      <c r="AL1282" s="1"/>
    </row>
    <row r="1283" spans="1:38" x14ac:dyDescent="0.25">
      <c r="A1283" s="1"/>
      <c r="AK1283" s="2"/>
      <c r="AL1283" s="1"/>
    </row>
    <row r="1284" spans="1:38" x14ac:dyDescent="0.25">
      <c r="A1284" s="1"/>
      <c r="AK1284" s="2"/>
      <c r="AL1284" s="1"/>
    </row>
    <row r="1285" spans="1:38" x14ac:dyDescent="0.25">
      <c r="A1285" s="1"/>
      <c r="AK1285" s="2"/>
      <c r="AL1285" s="1"/>
    </row>
    <row r="1286" spans="1:38" x14ac:dyDescent="0.25">
      <c r="A1286" s="1"/>
      <c r="AK1286" s="2"/>
      <c r="AL1286" s="1"/>
    </row>
    <row r="1287" spans="1:38" x14ac:dyDescent="0.25">
      <c r="A1287" s="1"/>
      <c r="AK1287" s="2"/>
      <c r="AL1287" s="1"/>
    </row>
    <row r="1288" spans="1:38" x14ac:dyDescent="0.25">
      <c r="A1288" s="1"/>
      <c r="AK1288" s="2"/>
      <c r="AL1288" s="1"/>
    </row>
    <row r="1289" spans="1:38" x14ac:dyDescent="0.25">
      <c r="A1289" s="1"/>
      <c r="AK1289" s="2"/>
      <c r="AL1289" s="1"/>
    </row>
    <row r="1290" spans="1:38" x14ac:dyDescent="0.25">
      <c r="A1290" s="1"/>
      <c r="AK1290" s="2"/>
      <c r="AL1290" s="1"/>
    </row>
    <row r="1291" spans="1:38" x14ac:dyDescent="0.25">
      <c r="A1291" s="1"/>
      <c r="AK1291" s="2"/>
      <c r="AL1291" s="1"/>
    </row>
    <row r="1292" spans="1:38" x14ac:dyDescent="0.25">
      <c r="A1292" s="1"/>
      <c r="AK1292" s="2"/>
      <c r="AL1292" s="1"/>
    </row>
    <row r="1293" spans="1:38" x14ac:dyDescent="0.25">
      <c r="A1293" s="1"/>
      <c r="AK1293" s="2"/>
      <c r="AL1293" s="1"/>
    </row>
    <row r="1294" spans="1:38" x14ac:dyDescent="0.25">
      <c r="A1294" s="1"/>
      <c r="AK1294" s="2"/>
      <c r="AL1294" s="1"/>
    </row>
    <row r="1295" spans="1:38" x14ac:dyDescent="0.25">
      <c r="A1295" s="1"/>
      <c r="AK1295" s="2"/>
      <c r="AL1295" s="1"/>
    </row>
    <row r="1296" spans="1:38" x14ac:dyDescent="0.25">
      <c r="A1296" s="1"/>
      <c r="AK1296" s="2"/>
      <c r="AL1296" s="1"/>
    </row>
    <row r="1297" spans="1:38" x14ac:dyDescent="0.25">
      <c r="A1297" s="1"/>
      <c r="AK1297" s="2"/>
      <c r="AL1297" s="1"/>
    </row>
    <row r="1298" spans="1:38" x14ac:dyDescent="0.25">
      <c r="A1298" s="1"/>
      <c r="AK1298" s="2"/>
      <c r="AL1298" s="1"/>
    </row>
    <row r="1299" spans="1:38" x14ac:dyDescent="0.25">
      <c r="A1299" s="1"/>
      <c r="AK1299" s="2"/>
      <c r="AL1299" s="1"/>
    </row>
    <row r="1300" spans="1:38" x14ac:dyDescent="0.25">
      <c r="A1300" s="1"/>
      <c r="AK1300" s="2"/>
      <c r="AL1300" s="1"/>
    </row>
    <row r="1301" spans="1:38" x14ac:dyDescent="0.25">
      <c r="A1301" s="1"/>
      <c r="AK1301" s="2"/>
      <c r="AL1301" s="1"/>
    </row>
    <row r="1302" spans="1:38" x14ac:dyDescent="0.25">
      <c r="A1302" s="1"/>
      <c r="AK1302" s="2"/>
      <c r="AL1302" s="1"/>
    </row>
    <row r="1303" spans="1:38" x14ac:dyDescent="0.25">
      <c r="A1303" s="1"/>
      <c r="AK1303" s="2"/>
      <c r="AL1303" s="1"/>
    </row>
    <row r="1304" spans="1:38" x14ac:dyDescent="0.25">
      <c r="A1304" s="1"/>
      <c r="AK1304" s="2"/>
      <c r="AL1304" s="1"/>
    </row>
    <row r="1305" spans="1:38" x14ac:dyDescent="0.25">
      <c r="A1305" s="1"/>
      <c r="AK1305" s="2"/>
      <c r="AL1305" s="1"/>
    </row>
    <row r="1306" spans="1:38" x14ac:dyDescent="0.25">
      <c r="A1306" s="1"/>
      <c r="AK1306" s="2"/>
      <c r="AL1306" s="1"/>
    </row>
    <row r="1307" spans="1:38" x14ac:dyDescent="0.25">
      <c r="A1307" s="1"/>
      <c r="AK1307" s="2"/>
      <c r="AL1307" s="1"/>
    </row>
    <row r="1308" spans="1:38" x14ac:dyDescent="0.25">
      <c r="A1308" s="1"/>
      <c r="AK1308" s="2"/>
      <c r="AL1308" s="1"/>
    </row>
    <row r="1309" spans="1:38" x14ac:dyDescent="0.25">
      <c r="A1309" s="1"/>
      <c r="AK1309" s="2"/>
      <c r="AL1309" s="1"/>
    </row>
    <row r="1310" spans="1:38" x14ac:dyDescent="0.25">
      <c r="A1310" s="1"/>
      <c r="AK1310" s="2"/>
      <c r="AL1310" s="1"/>
    </row>
    <row r="1311" spans="1:38" x14ac:dyDescent="0.25">
      <c r="A1311" s="1"/>
      <c r="AK1311" s="2"/>
      <c r="AL1311" s="1"/>
    </row>
    <row r="1312" spans="1:38" x14ac:dyDescent="0.25">
      <c r="A1312" s="1"/>
      <c r="AK1312" s="2"/>
      <c r="AL1312" s="1"/>
    </row>
    <row r="1313" spans="1:38" x14ac:dyDescent="0.25">
      <c r="A1313" s="1"/>
      <c r="AK1313" s="2"/>
      <c r="AL1313" s="1"/>
    </row>
    <row r="1314" spans="1:38" x14ac:dyDescent="0.25">
      <c r="A1314" s="1"/>
      <c r="AK1314" s="2"/>
      <c r="AL1314" s="1"/>
    </row>
    <row r="1315" spans="1:38" x14ac:dyDescent="0.25">
      <c r="A1315" s="1"/>
      <c r="AK1315" s="2"/>
      <c r="AL1315" s="1"/>
    </row>
    <row r="1316" spans="1:38" x14ac:dyDescent="0.25">
      <c r="A1316" s="1"/>
      <c r="AK1316" s="2"/>
      <c r="AL1316" s="1"/>
    </row>
    <row r="1317" spans="1:38" x14ac:dyDescent="0.25">
      <c r="A1317" s="1"/>
      <c r="AK1317" s="2"/>
      <c r="AL1317" s="1"/>
    </row>
    <row r="1318" spans="1:38" x14ac:dyDescent="0.25">
      <c r="A1318" s="1"/>
      <c r="AK1318" s="2"/>
      <c r="AL1318" s="1"/>
    </row>
    <row r="1319" spans="1:38" x14ac:dyDescent="0.25">
      <c r="A1319" s="1"/>
      <c r="AK1319" s="2"/>
      <c r="AL1319" s="1"/>
    </row>
    <row r="1320" spans="1:38" x14ac:dyDescent="0.25">
      <c r="A1320" s="1"/>
      <c r="AK1320" s="2"/>
      <c r="AL1320" s="1"/>
    </row>
    <row r="1321" spans="1:38" x14ac:dyDescent="0.25">
      <c r="A1321" s="1"/>
      <c r="AK1321" s="2"/>
      <c r="AL1321" s="1"/>
    </row>
    <row r="1322" spans="1:38" x14ac:dyDescent="0.25">
      <c r="A1322" s="1"/>
      <c r="AK1322" s="2"/>
      <c r="AL1322" s="1"/>
    </row>
    <row r="1323" spans="1:38" x14ac:dyDescent="0.25">
      <c r="A1323" s="1"/>
      <c r="AK1323" s="2"/>
      <c r="AL1323" s="1"/>
    </row>
    <row r="1324" spans="1:38" x14ac:dyDescent="0.25">
      <c r="A1324" s="1"/>
      <c r="AK1324" s="2"/>
      <c r="AL1324" s="1"/>
    </row>
    <row r="1325" spans="1:38" x14ac:dyDescent="0.25">
      <c r="A1325" s="1"/>
      <c r="AK1325" s="2"/>
      <c r="AL1325" s="1"/>
    </row>
    <row r="1326" spans="1:38" x14ac:dyDescent="0.25">
      <c r="A1326" s="1"/>
      <c r="AK1326" s="2"/>
      <c r="AL1326" s="1"/>
    </row>
    <row r="1327" spans="1:38" x14ac:dyDescent="0.25">
      <c r="A1327" s="1"/>
      <c r="AK1327" s="2"/>
      <c r="AL1327" s="1"/>
    </row>
    <row r="1328" spans="1:38" x14ac:dyDescent="0.25">
      <c r="A1328" s="1"/>
      <c r="AK1328" s="2"/>
      <c r="AL1328" s="1"/>
    </row>
    <row r="1329" spans="1:38" x14ac:dyDescent="0.25">
      <c r="A1329" s="1"/>
      <c r="AK1329" s="2"/>
      <c r="AL1329" s="1"/>
    </row>
    <row r="1330" spans="1:38" x14ac:dyDescent="0.25">
      <c r="A1330" s="1"/>
      <c r="AK1330" s="2"/>
      <c r="AL1330" s="1"/>
    </row>
    <row r="1331" spans="1:38" x14ac:dyDescent="0.25">
      <c r="A1331" s="1"/>
      <c r="AK1331" s="2"/>
      <c r="AL1331" s="1"/>
    </row>
    <row r="1332" spans="1:38" x14ac:dyDescent="0.25">
      <c r="A1332" s="1"/>
      <c r="AK1332" s="2"/>
      <c r="AL1332" s="1"/>
    </row>
    <row r="1333" spans="1:38" x14ac:dyDescent="0.25">
      <c r="A1333" s="1"/>
      <c r="AK1333" s="2"/>
      <c r="AL1333" s="1"/>
    </row>
    <row r="1334" spans="1:38" x14ac:dyDescent="0.25">
      <c r="A1334" s="1"/>
      <c r="AK1334" s="2"/>
      <c r="AL1334" s="1"/>
    </row>
    <row r="1335" spans="1:38" x14ac:dyDescent="0.25">
      <c r="A1335" s="1"/>
      <c r="AK1335" s="2"/>
      <c r="AL1335" s="1"/>
    </row>
    <row r="1336" spans="1:38" x14ac:dyDescent="0.25">
      <c r="A1336" s="1"/>
      <c r="AK1336" s="2"/>
      <c r="AL1336" s="1"/>
    </row>
    <row r="1337" spans="1:38" x14ac:dyDescent="0.25">
      <c r="A1337" s="1"/>
      <c r="AK1337" s="2"/>
      <c r="AL1337" s="1"/>
    </row>
    <row r="1338" spans="1:38" x14ac:dyDescent="0.25">
      <c r="A1338" s="1"/>
      <c r="AK1338" s="2"/>
      <c r="AL1338" s="1"/>
    </row>
    <row r="1339" spans="1:38" x14ac:dyDescent="0.25">
      <c r="A1339" s="1"/>
      <c r="AK1339" s="2"/>
      <c r="AL1339" s="1"/>
    </row>
    <row r="1340" spans="1:38" x14ac:dyDescent="0.25">
      <c r="A1340" s="1"/>
      <c r="AK1340" s="2"/>
      <c r="AL1340" s="1"/>
    </row>
    <row r="1341" spans="1:38" x14ac:dyDescent="0.25">
      <c r="A1341" s="1"/>
      <c r="AK1341" s="2"/>
      <c r="AL1341" s="1"/>
    </row>
    <row r="1342" spans="1:38" x14ac:dyDescent="0.25">
      <c r="A1342" s="1"/>
      <c r="AK1342" s="2"/>
      <c r="AL1342" s="1"/>
    </row>
    <row r="1343" spans="1:38" x14ac:dyDescent="0.25">
      <c r="A1343" s="1"/>
      <c r="AK1343" s="2"/>
      <c r="AL1343" s="1"/>
    </row>
    <row r="1344" spans="1:38" x14ac:dyDescent="0.25">
      <c r="A1344" s="1"/>
      <c r="AK1344" s="2"/>
      <c r="AL1344" s="1"/>
    </row>
    <row r="1345" spans="1:38" x14ac:dyDescent="0.25">
      <c r="A1345" s="1"/>
      <c r="AK1345" s="2"/>
      <c r="AL1345" s="1"/>
    </row>
    <row r="1346" spans="1:38" x14ac:dyDescent="0.25">
      <c r="A1346" s="1"/>
      <c r="AK1346" s="2"/>
      <c r="AL1346" s="1"/>
    </row>
    <row r="1347" spans="1:38" x14ac:dyDescent="0.25">
      <c r="A1347" s="1"/>
      <c r="AK1347" s="2"/>
      <c r="AL1347" s="1"/>
    </row>
    <row r="1348" spans="1:38" x14ac:dyDescent="0.25">
      <c r="A1348" s="1"/>
      <c r="AK1348" s="2"/>
      <c r="AL1348" s="1"/>
    </row>
    <row r="1349" spans="1:38" x14ac:dyDescent="0.25">
      <c r="A1349" s="1"/>
      <c r="AK1349" s="2"/>
      <c r="AL1349" s="1"/>
    </row>
    <row r="1350" spans="1:38" x14ac:dyDescent="0.25">
      <c r="A1350" s="1"/>
      <c r="AK1350" s="2"/>
      <c r="AL1350" s="1"/>
    </row>
    <row r="1351" spans="1:38" x14ac:dyDescent="0.25">
      <c r="A1351" s="1"/>
      <c r="AK1351" s="2"/>
      <c r="AL1351" s="1"/>
    </row>
    <row r="1352" spans="1:38" x14ac:dyDescent="0.25">
      <c r="A1352" s="1"/>
      <c r="AK1352" s="2"/>
      <c r="AL1352" s="1"/>
    </row>
    <row r="1353" spans="1:38" x14ac:dyDescent="0.25">
      <c r="A1353" s="1"/>
      <c r="AK1353" s="2"/>
      <c r="AL1353" s="1"/>
    </row>
    <row r="1354" spans="1:38" x14ac:dyDescent="0.25">
      <c r="A1354" s="1"/>
      <c r="AK1354" s="2"/>
      <c r="AL1354" s="1"/>
    </row>
    <row r="1355" spans="1:38" x14ac:dyDescent="0.25">
      <c r="A1355" s="1"/>
      <c r="AK1355" s="2"/>
      <c r="AL1355" s="1"/>
    </row>
    <row r="1356" spans="1:38" x14ac:dyDescent="0.25">
      <c r="A1356" s="1"/>
      <c r="AK1356" s="2"/>
      <c r="AL1356" s="1"/>
    </row>
    <row r="1357" spans="1:38" x14ac:dyDescent="0.25">
      <c r="A1357" s="1"/>
      <c r="AK1357" s="2"/>
      <c r="AL1357" s="1"/>
    </row>
    <row r="1358" spans="1:38" x14ac:dyDescent="0.25">
      <c r="A1358" s="1"/>
      <c r="AK1358" s="2"/>
      <c r="AL1358" s="1"/>
    </row>
    <row r="1359" spans="1:38" x14ac:dyDescent="0.25">
      <c r="A1359" s="1"/>
      <c r="AK1359" s="2"/>
      <c r="AL1359" s="1"/>
    </row>
    <row r="1360" spans="1:38" x14ac:dyDescent="0.25">
      <c r="A1360" s="1"/>
      <c r="AK1360" s="2"/>
      <c r="AL1360" s="1"/>
    </row>
    <row r="1361" spans="1:38" x14ac:dyDescent="0.25">
      <c r="A1361" s="1"/>
      <c r="AK1361" s="2"/>
      <c r="AL1361" s="1"/>
    </row>
    <row r="1362" spans="1:38" x14ac:dyDescent="0.25">
      <c r="A1362" s="1"/>
      <c r="AK1362" s="2"/>
      <c r="AL1362" s="1"/>
    </row>
    <row r="1363" spans="1:38" x14ac:dyDescent="0.25">
      <c r="A1363" s="1"/>
      <c r="AK1363" s="2"/>
      <c r="AL1363" s="1"/>
    </row>
    <row r="1364" spans="1:38" x14ac:dyDescent="0.25">
      <c r="A1364" s="1"/>
      <c r="AK1364" s="2"/>
      <c r="AL1364" s="1"/>
    </row>
    <row r="1365" spans="1:38" x14ac:dyDescent="0.25">
      <c r="A1365" s="1"/>
      <c r="AK1365" s="2"/>
      <c r="AL1365" s="1"/>
    </row>
    <row r="1366" spans="1:38" x14ac:dyDescent="0.25">
      <c r="A1366" s="1"/>
      <c r="AK1366" s="2"/>
      <c r="AL1366" s="1"/>
    </row>
    <row r="1367" spans="1:38" x14ac:dyDescent="0.25">
      <c r="A1367" s="1"/>
      <c r="AK1367" s="2"/>
      <c r="AL1367" s="1"/>
    </row>
    <row r="1368" spans="1:38" x14ac:dyDescent="0.25">
      <c r="A1368" s="1"/>
      <c r="AK1368" s="2"/>
      <c r="AL1368" s="1"/>
    </row>
    <row r="1369" spans="1:38" x14ac:dyDescent="0.25">
      <c r="A1369" s="1"/>
      <c r="AK1369" s="2"/>
      <c r="AL1369" s="1"/>
    </row>
    <row r="1370" spans="1:38" x14ac:dyDescent="0.25">
      <c r="A1370" s="1"/>
      <c r="AK1370" s="2"/>
      <c r="AL1370" s="1"/>
    </row>
    <row r="1371" spans="1:38" x14ac:dyDescent="0.25">
      <c r="A1371" s="1"/>
      <c r="AK1371" s="2"/>
      <c r="AL1371" s="1"/>
    </row>
    <row r="1372" spans="1:38" x14ac:dyDescent="0.25">
      <c r="A1372" s="1"/>
      <c r="AK1372" s="2"/>
      <c r="AL1372" s="1"/>
    </row>
    <row r="1373" spans="1:38" x14ac:dyDescent="0.25">
      <c r="A1373" s="1"/>
      <c r="AK1373" s="2"/>
      <c r="AL1373" s="1"/>
    </row>
    <row r="1374" spans="1:38" x14ac:dyDescent="0.25">
      <c r="A1374" s="1"/>
      <c r="AK1374" s="2"/>
      <c r="AL1374" s="1"/>
    </row>
    <row r="1375" spans="1:38" x14ac:dyDescent="0.25">
      <c r="A1375" s="1"/>
      <c r="AK1375" s="2"/>
      <c r="AL1375" s="1"/>
    </row>
    <row r="1376" spans="1:38" x14ac:dyDescent="0.25">
      <c r="A1376" s="1"/>
      <c r="AK1376" s="2"/>
      <c r="AL1376" s="1"/>
    </row>
    <row r="1377" spans="1:38" x14ac:dyDescent="0.25">
      <c r="A1377" s="1"/>
      <c r="AK1377" s="2"/>
      <c r="AL1377" s="1"/>
    </row>
    <row r="1378" spans="1:38" x14ac:dyDescent="0.25">
      <c r="A1378" s="1"/>
      <c r="AK1378" s="2"/>
      <c r="AL1378" s="1"/>
    </row>
    <row r="1379" spans="1:38" x14ac:dyDescent="0.25">
      <c r="A1379" s="1"/>
      <c r="AK1379" s="2"/>
      <c r="AL1379" s="1"/>
    </row>
    <row r="1380" spans="1:38" x14ac:dyDescent="0.25">
      <c r="A1380" s="1"/>
      <c r="AK1380" s="2"/>
      <c r="AL1380" s="1"/>
    </row>
    <row r="1381" spans="1:38" x14ac:dyDescent="0.25">
      <c r="A1381" s="1"/>
      <c r="AK1381" s="2"/>
      <c r="AL1381" s="1"/>
    </row>
    <row r="1382" spans="1:38" x14ac:dyDescent="0.25">
      <c r="A1382" s="1"/>
      <c r="AK1382" s="2"/>
      <c r="AL1382" s="1"/>
    </row>
    <row r="1383" spans="1:38" x14ac:dyDescent="0.25">
      <c r="A1383" s="1"/>
      <c r="AK1383" s="2"/>
      <c r="AL1383" s="1"/>
    </row>
    <row r="1384" spans="1:38" x14ac:dyDescent="0.25">
      <c r="A1384" s="1"/>
      <c r="AK1384" s="2"/>
      <c r="AL1384" s="1"/>
    </row>
    <row r="1385" spans="1:38" x14ac:dyDescent="0.25">
      <c r="A1385" s="1"/>
      <c r="AK1385" s="2"/>
      <c r="AL1385" s="1"/>
    </row>
    <row r="1386" spans="1:38" x14ac:dyDescent="0.25">
      <c r="A1386" s="1"/>
      <c r="AK1386" s="2"/>
      <c r="AL1386" s="1"/>
    </row>
    <row r="1387" spans="1:38" x14ac:dyDescent="0.25">
      <c r="A1387" s="1"/>
      <c r="AK1387" s="2"/>
      <c r="AL1387" s="1"/>
    </row>
    <row r="1388" spans="1:38" x14ac:dyDescent="0.25">
      <c r="A1388" s="1"/>
      <c r="AK1388" s="2"/>
      <c r="AL1388" s="1"/>
    </row>
    <row r="1389" spans="1:38" x14ac:dyDescent="0.25">
      <c r="A1389" s="1"/>
      <c r="AK1389" s="2"/>
      <c r="AL1389" s="1"/>
    </row>
    <row r="1390" spans="1:38" x14ac:dyDescent="0.25">
      <c r="A1390" s="1"/>
      <c r="AK1390" s="2"/>
      <c r="AL1390" s="1"/>
    </row>
    <row r="1391" spans="1:38" x14ac:dyDescent="0.25">
      <c r="A1391" s="1"/>
      <c r="AK1391" s="2"/>
      <c r="AL1391" s="1"/>
    </row>
    <row r="1392" spans="1:38" x14ac:dyDescent="0.25">
      <c r="A1392" s="1"/>
      <c r="AK1392" s="2"/>
      <c r="AL1392" s="1"/>
    </row>
    <row r="1393" spans="1:38" x14ac:dyDescent="0.25">
      <c r="A1393" s="1"/>
      <c r="AK1393" s="2"/>
      <c r="AL1393" s="1"/>
    </row>
    <row r="1394" spans="1:38" x14ac:dyDescent="0.25">
      <c r="A1394" s="1"/>
      <c r="AK1394" s="2"/>
      <c r="AL1394" s="1"/>
    </row>
    <row r="1395" spans="1:38" x14ac:dyDescent="0.25">
      <c r="A1395" s="1"/>
      <c r="AK1395" s="2"/>
      <c r="AL1395" s="1"/>
    </row>
    <row r="1396" spans="1:38" x14ac:dyDescent="0.25">
      <c r="A1396" s="1"/>
      <c r="AK1396" s="2"/>
      <c r="AL1396" s="1"/>
    </row>
    <row r="1397" spans="1:38" x14ac:dyDescent="0.25">
      <c r="A1397" s="1"/>
      <c r="AK1397" s="2"/>
      <c r="AL1397" s="1"/>
    </row>
    <row r="1398" spans="1:38" x14ac:dyDescent="0.25">
      <c r="A1398" s="1"/>
      <c r="AK1398" s="2"/>
      <c r="AL1398" s="1"/>
    </row>
    <row r="1399" spans="1:38" x14ac:dyDescent="0.25">
      <c r="A1399" s="1"/>
      <c r="AK1399" s="2"/>
      <c r="AL1399" s="1"/>
    </row>
    <row r="1400" spans="1:38" x14ac:dyDescent="0.25">
      <c r="A1400" s="1"/>
      <c r="AK1400" s="2"/>
      <c r="AL1400" s="1"/>
    </row>
    <row r="1401" spans="1:38" x14ac:dyDescent="0.25">
      <c r="A1401" s="1"/>
      <c r="AK1401" s="2"/>
      <c r="AL1401" s="1"/>
    </row>
    <row r="1402" spans="1:38" x14ac:dyDescent="0.25">
      <c r="A1402" s="1"/>
      <c r="AK1402" s="2"/>
      <c r="AL1402" s="1"/>
    </row>
    <row r="1403" spans="1:38" x14ac:dyDescent="0.25">
      <c r="A1403" s="1"/>
      <c r="AK1403" s="2"/>
      <c r="AL1403" s="1"/>
    </row>
    <row r="1404" spans="1:38" x14ac:dyDescent="0.25">
      <c r="A1404" s="1"/>
      <c r="AK1404" s="2"/>
      <c r="AL1404" s="1"/>
    </row>
    <row r="1405" spans="1:38" x14ac:dyDescent="0.25">
      <c r="A1405" s="1"/>
      <c r="AK1405" s="2"/>
      <c r="AL1405" s="1"/>
    </row>
    <row r="1406" spans="1:38" x14ac:dyDescent="0.25">
      <c r="A1406" s="1"/>
      <c r="AK1406" s="2"/>
      <c r="AL1406" s="1"/>
    </row>
    <row r="1407" spans="1:38" x14ac:dyDescent="0.25">
      <c r="A1407" s="1"/>
      <c r="AK1407" s="2"/>
      <c r="AL1407" s="1"/>
    </row>
    <row r="1408" spans="1:38" x14ac:dyDescent="0.25">
      <c r="A1408" s="1"/>
      <c r="AK1408" s="2"/>
      <c r="AL1408" s="1"/>
    </row>
    <row r="1409" spans="1:38" x14ac:dyDescent="0.25">
      <c r="A1409" s="1"/>
      <c r="AK1409" s="2"/>
      <c r="AL1409" s="1"/>
    </row>
    <row r="1410" spans="1:38" x14ac:dyDescent="0.25">
      <c r="A1410" s="1"/>
      <c r="AK1410" s="2"/>
      <c r="AL1410" s="1"/>
    </row>
    <row r="1411" spans="1:38" x14ac:dyDescent="0.25">
      <c r="A1411" s="1"/>
      <c r="AK1411" s="2"/>
      <c r="AL1411" s="1"/>
    </row>
    <row r="1412" spans="1:38" x14ac:dyDescent="0.25">
      <c r="A1412" s="1"/>
      <c r="AK1412" s="2"/>
      <c r="AL1412" s="1"/>
    </row>
    <row r="1413" spans="1:38" x14ac:dyDescent="0.25">
      <c r="A1413" s="1"/>
      <c r="AK1413" s="2"/>
      <c r="AL1413" s="1"/>
    </row>
    <row r="1414" spans="1:38" x14ac:dyDescent="0.25">
      <c r="A1414" s="1"/>
      <c r="AK1414" s="2"/>
      <c r="AL1414" s="1"/>
    </row>
    <row r="1415" spans="1:38" x14ac:dyDescent="0.25">
      <c r="A1415" s="1"/>
      <c r="AK1415" s="2"/>
      <c r="AL1415" s="1"/>
    </row>
    <row r="1416" spans="1:38" x14ac:dyDescent="0.25">
      <c r="A1416" s="1"/>
      <c r="AK1416" s="2"/>
      <c r="AL1416" s="1"/>
    </row>
    <row r="1417" spans="1:38" x14ac:dyDescent="0.25">
      <c r="A1417" s="1"/>
      <c r="AK1417" s="2"/>
      <c r="AL1417" s="1"/>
    </row>
    <row r="1418" spans="1:38" x14ac:dyDescent="0.25">
      <c r="A1418" s="1"/>
      <c r="AK1418" s="2"/>
      <c r="AL1418" s="1"/>
    </row>
    <row r="1419" spans="1:38" x14ac:dyDescent="0.25">
      <c r="A1419" s="1"/>
      <c r="AK1419" s="2"/>
      <c r="AL1419" s="1"/>
    </row>
    <row r="1420" spans="1:38" x14ac:dyDescent="0.25">
      <c r="A1420" s="1"/>
      <c r="AK1420" s="2"/>
      <c r="AL1420" s="1"/>
    </row>
    <row r="1421" spans="1:38" x14ac:dyDescent="0.25">
      <c r="A1421" s="1"/>
      <c r="AK1421" s="2"/>
      <c r="AL1421" s="1"/>
    </row>
    <row r="1422" spans="1:38" x14ac:dyDescent="0.25">
      <c r="A1422" s="1"/>
      <c r="AK1422" s="2"/>
      <c r="AL1422" s="1"/>
    </row>
    <row r="1423" spans="1:38" x14ac:dyDescent="0.25">
      <c r="A1423" s="1"/>
      <c r="AK1423" s="2"/>
      <c r="AL1423" s="1"/>
    </row>
    <row r="1424" spans="1:38" x14ac:dyDescent="0.25">
      <c r="A1424" s="1"/>
      <c r="AK1424" s="2"/>
      <c r="AL1424" s="1"/>
    </row>
    <row r="1425" spans="1:38" x14ac:dyDescent="0.25">
      <c r="A1425" s="1"/>
      <c r="AK1425" s="2"/>
      <c r="AL1425" s="1"/>
    </row>
    <row r="1426" spans="1:38" x14ac:dyDescent="0.25">
      <c r="A1426" s="1"/>
      <c r="AK1426" s="2"/>
      <c r="AL1426" s="1"/>
    </row>
    <row r="1427" spans="1:38" x14ac:dyDescent="0.25">
      <c r="A1427" s="1"/>
      <c r="AK1427" s="2"/>
      <c r="AL1427" s="1"/>
    </row>
    <row r="1428" spans="1:38" x14ac:dyDescent="0.25">
      <c r="A1428" s="1"/>
      <c r="AK1428" s="2"/>
      <c r="AL1428" s="1"/>
    </row>
    <row r="1429" spans="1:38" x14ac:dyDescent="0.25">
      <c r="A1429" s="1"/>
      <c r="AK1429" s="2"/>
      <c r="AL1429" s="1"/>
    </row>
    <row r="1430" spans="1:38" x14ac:dyDescent="0.25">
      <c r="A1430" s="1"/>
      <c r="AK1430" s="2"/>
      <c r="AL1430" s="1"/>
    </row>
    <row r="1431" spans="1:38" x14ac:dyDescent="0.25">
      <c r="A1431" s="1"/>
      <c r="AK1431" s="2"/>
      <c r="AL1431" s="1"/>
    </row>
    <row r="1432" spans="1:38" x14ac:dyDescent="0.25">
      <c r="A1432" s="1"/>
      <c r="AK1432" s="2"/>
      <c r="AL1432" s="1"/>
    </row>
    <row r="1433" spans="1:38" x14ac:dyDescent="0.25">
      <c r="A1433" s="1"/>
      <c r="AK1433" s="2"/>
      <c r="AL1433" s="1"/>
    </row>
    <row r="1434" spans="1:38" x14ac:dyDescent="0.25">
      <c r="A1434" s="1"/>
      <c r="AK1434" s="2"/>
      <c r="AL1434" s="1"/>
    </row>
    <row r="1435" spans="1:38" x14ac:dyDescent="0.25">
      <c r="A1435" s="1"/>
      <c r="AK1435" s="2"/>
      <c r="AL1435" s="1"/>
    </row>
    <row r="1436" spans="1:38" x14ac:dyDescent="0.25">
      <c r="A1436" s="1"/>
      <c r="AK1436" s="2"/>
      <c r="AL1436" s="1"/>
    </row>
    <row r="1437" spans="1:38" x14ac:dyDescent="0.25">
      <c r="A1437" s="1"/>
      <c r="AK1437" s="2"/>
      <c r="AL1437" s="1"/>
    </row>
    <row r="1438" spans="1:38" x14ac:dyDescent="0.25">
      <c r="A1438" s="1"/>
      <c r="AK1438" s="2"/>
      <c r="AL1438" s="1"/>
    </row>
    <row r="1439" spans="1:38" x14ac:dyDescent="0.25">
      <c r="A1439" s="1"/>
      <c r="AK1439" s="2"/>
      <c r="AL1439" s="1"/>
    </row>
    <row r="1440" spans="1:38" x14ac:dyDescent="0.25">
      <c r="A1440" s="1"/>
      <c r="AK1440" s="2"/>
      <c r="AL1440" s="1"/>
    </row>
    <row r="1441" spans="1:38" x14ac:dyDescent="0.25">
      <c r="A1441" s="1"/>
      <c r="AK1441" s="2"/>
      <c r="AL1441" s="1"/>
    </row>
    <row r="1442" spans="1:38" x14ac:dyDescent="0.25">
      <c r="A1442" s="1"/>
      <c r="AK1442" s="2"/>
      <c r="AL1442" s="1"/>
    </row>
    <row r="1443" spans="1:38" x14ac:dyDescent="0.25">
      <c r="A1443" s="1"/>
      <c r="AK1443" s="2"/>
      <c r="AL1443" s="1"/>
    </row>
    <row r="1444" spans="1:38" x14ac:dyDescent="0.25">
      <c r="A1444" s="1"/>
      <c r="AK1444" s="2"/>
      <c r="AL1444" s="1"/>
    </row>
    <row r="1445" spans="1:38" x14ac:dyDescent="0.25">
      <c r="A1445" s="1"/>
      <c r="AK1445" s="2"/>
      <c r="AL1445" s="1"/>
    </row>
    <row r="1446" spans="1:38" x14ac:dyDescent="0.25">
      <c r="A1446" s="1"/>
      <c r="AK1446" s="2"/>
      <c r="AL1446" s="1"/>
    </row>
    <row r="1447" spans="1:38" x14ac:dyDescent="0.25">
      <c r="A1447" s="1"/>
      <c r="AK1447" s="2"/>
      <c r="AL1447" s="1"/>
    </row>
    <row r="1448" spans="1:38" x14ac:dyDescent="0.25">
      <c r="A1448" s="1"/>
      <c r="AK1448" s="2"/>
      <c r="AL1448" s="1"/>
    </row>
    <row r="1449" spans="1:38" x14ac:dyDescent="0.25">
      <c r="A1449" s="1"/>
      <c r="AK1449" s="2"/>
      <c r="AL1449" s="1"/>
    </row>
    <row r="1450" spans="1:38" x14ac:dyDescent="0.25">
      <c r="A1450" s="1"/>
      <c r="AK1450" s="2"/>
      <c r="AL1450" s="1"/>
    </row>
    <row r="1451" spans="1:38" x14ac:dyDescent="0.25">
      <c r="A1451" s="1"/>
      <c r="AK1451" s="2"/>
      <c r="AL1451" s="1"/>
    </row>
    <row r="1452" spans="1:38" x14ac:dyDescent="0.25">
      <c r="A1452" s="1"/>
      <c r="AK1452" s="2"/>
      <c r="AL1452" s="1"/>
    </row>
    <row r="1453" spans="1:38" x14ac:dyDescent="0.25">
      <c r="A1453" s="1"/>
      <c r="AK1453" s="2"/>
      <c r="AL1453" s="1"/>
    </row>
    <row r="1454" spans="1:38" x14ac:dyDescent="0.25">
      <c r="A1454" s="1"/>
      <c r="AK1454" s="2"/>
      <c r="AL1454" s="1"/>
    </row>
    <row r="1455" spans="1:38" x14ac:dyDescent="0.25">
      <c r="A1455" s="1"/>
      <c r="AK1455" s="2"/>
      <c r="AL1455" s="1"/>
    </row>
    <row r="1456" spans="1:38" x14ac:dyDescent="0.25">
      <c r="A1456" s="1"/>
      <c r="AK1456" s="2"/>
      <c r="AL1456" s="1"/>
    </row>
    <row r="1457" spans="1:38" x14ac:dyDescent="0.25">
      <c r="A1457" s="1"/>
      <c r="AK1457" s="2"/>
      <c r="AL1457" s="1"/>
    </row>
    <row r="1458" spans="1:38" x14ac:dyDescent="0.25">
      <c r="A1458" s="1"/>
      <c r="AK1458" s="2"/>
      <c r="AL1458" s="1"/>
    </row>
    <row r="1459" spans="1:38" x14ac:dyDescent="0.25">
      <c r="A1459" s="1"/>
      <c r="AK1459" s="2"/>
      <c r="AL1459" s="1"/>
    </row>
    <row r="1460" spans="1:38" x14ac:dyDescent="0.25">
      <c r="A1460" s="1"/>
      <c r="AK1460" s="2"/>
      <c r="AL1460" s="1"/>
    </row>
    <row r="1461" spans="1:38" x14ac:dyDescent="0.25">
      <c r="A1461" s="1"/>
      <c r="AK1461" s="2"/>
      <c r="AL1461" s="1"/>
    </row>
    <row r="1462" spans="1:38" x14ac:dyDescent="0.25">
      <c r="A1462" s="1"/>
      <c r="AK1462" s="2"/>
      <c r="AL1462" s="1"/>
    </row>
    <row r="1463" spans="1:38" x14ac:dyDescent="0.25">
      <c r="A1463" s="1"/>
      <c r="AK1463" s="2"/>
      <c r="AL1463" s="1"/>
    </row>
    <row r="1464" spans="1:38" x14ac:dyDescent="0.25">
      <c r="A1464" s="1"/>
      <c r="AK1464" s="2"/>
      <c r="AL1464" s="1"/>
    </row>
    <row r="1465" spans="1:38" x14ac:dyDescent="0.25">
      <c r="A1465" s="1"/>
      <c r="AK1465" s="2"/>
      <c r="AL1465" s="1"/>
    </row>
    <row r="1466" spans="1:38" x14ac:dyDescent="0.25">
      <c r="A1466" s="1"/>
      <c r="AK1466" s="2"/>
      <c r="AL1466" s="1"/>
    </row>
    <row r="1467" spans="1:38" x14ac:dyDescent="0.25">
      <c r="A1467" s="1"/>
      <c r="AK1467" s="2"/>
      <c r="AL1467" s="1"/>
    </row>
    <row r="1468" spans="1:38" x14ac:dyDescent="0.25">
      <c r="A1468" s="1"/>
      <c r="AK1468" s="2"/>
      <c r="AL1468" s="1"/>
    </row>
    <row r="1469" spans="1:38" x14ac:dyDescent="0.25">
      <c r="A1469" s="1"/>
      <c r="AK1469" s="2"/>
      <c r="AL1469" s="1"/>
    </row>
    <row r="1470" spans="1:38" x14ac:dyDescent="0.25">
      <c r="A1470" s="1"/>
      <c r="AK1470" s="2"/>
      <c r="AL1470" s="1"/>
    </row>
    <row r="1471" spans="1:38" x14ac:dyDescent="0.25">
      <c r="A1471" s="1"/>
      <c r="AK1471" s="2"/>
      <c r="AL1471" s="1"/>
    </row>
    <row r="1472" spans="1:38" x14ac:dyDescent="0.25">
      <c r="A1472" s="1"/>
      <c r="AK1472" s="2"/>
      <c r="AL1472" s="1"/>
    </row>
    <row r="1473" spans="1:38" x14ac:dyDescent="0.25">
      <c r="A1473" s="1"/>
      <c r="AK1473" s="2"/>
      <c r="AL1473" s="1"/>
    </row>
    <row r="1474" spans="1:38" x14ac:dyDescent="0.25">
      <c r="A1474" s="1"/>
      <c r="AK1474" s="2"/>
      <c r="AL1474" s="1"/>
    </row>
    <row r="1475" spans="1:38" x14ac:dyDescent="0.25">
      <c r="A1475" s="1"/>
      <c r="AK1475" s="2"/>
      <c r="AL1475" s="1"/>
    </row>
    <row r="1476" spans="1:38" x14ac:dyDescent="0.25">
      <c r="A1476" s="1"/>
      <c r="AK1476" s="2"/>
      <c r="AL1476" s="1"/>
    </row>
    <row r="1477" spans="1:38" x14ac:dyDescent="0.25">
      <c r="A1477" s="1"/>
      <c r="AK1477" s="2"/>
      <c r="AL1477" s="1"/>
    </row>
    <row r="1478" spans="1:38" x14ac:dyDescent="0.25">
      <c r="A1478" s="1"/>
      <c r="AK1478" s="2"/>
      <c r="AL1478" s="1"/>
    </row>
    <row r="1479" spans="1:38" x14ac:dyDescent="0.25">
      <c r="A1479" s="1"/>
      <c r="AK1479" s="2"/>
      <c r="AL1479" s="1"/>
    </row>
    <row r="1480" spans="1:38" x14ac:dyDescent="0.25">
      <c r="A1480" s="1"/>
      <c r="AK1480" s="2"/>
      <c r="AL1480" s="1"/>
    </row>
    <row r="1481" spans="1:38" x14ac:dyDescent="0.25">
      <c r="A1481" s="1"/>
      <c r="AK1481" s="2"/>
      <c r="AL1481" s="1"/>
    </row>
    <row r="1482" spans="1:38" x14ac:dyDescent="0.25">
      <c r="A1482" s="1"/>
      <c r="AK1482" s="2"/>
      <c r="AL1482" s="1"/>
    </row>
    <row r="1483" spans="1:38" x14ac:dyDescent="0.25">
      <c r="A1483" s="1"/>
      <c r="AK1483" s="2"/>
      <c r="AL1483" s="1"/>
    </row>
    <row r="1484" spans="1:38" x14ac:dyDescent="0.25">
      <c r="A1484" s="1"/>
      <c r="AK1484" s="2"/>
      <c r="AL1484" s="1"/>
    </row>
    <row r="1485" spans="1:38" x14ac:dyDescent="0.25">
      <c r="A1485" s="1"/>
      <c r="AK1485" s="2"/>
      <c r="AL1485" s="1"/>
    </row>
    <row r="1486" spans="1:38" x14ac:dyDescent="0.25">
      <c r="A1486" s="1"/>
      <c r="AK1486" s="2"/>
      <c r="AL1486" s="1"/>
    </row>
    <row r="1487" spans="1:38" x14ac:dyDescent="0.25">
      <c r="A1487" s="1"/>
      <c r="AK1487" s="2"/>
      <c r="AL1487" s="1"/>
    </row>
    <row r="1488" spans="1:38" x14ac:dyDescent="0.25">
      <c r="A1488" s="1"/>
      <c r="AK1488" s="2"/>
      <c r="AL1488" s="1"/>
    </row>
    <row r="1489" spans="1:38" x14ac:dyDescent="0.25">
      <c r="A1489" s="1"/>
      <c r="AK1489" s="2"/>
      <c r="AL1489" s="1"/>
    </row>
    <row r="1490" spans="1:38" x14ac:dyDescent="0.25">
      <c r="A1490" s="1"/>
      <c r="AK1490" s="2"/>
      <c r="AL1490" s="1"/>
    </row>
    <row r="1491" spans="1:38" x14ac:dyDescent="0.25">
      <c r="A1491" s="1"/>
      <c r="AK1491" s="2"/>
      <c r="AL1491" s="1"/>
    </row>
    <row r="1492" spans="1:38" x14ac:dyDescent="0.25">
      <c r="A1492" s="1"/>
      <c r="AK1492" s="2"/>
      <c r="AL1492" s="1"/>
    </row>
    <row r="1493" spans="1:38" x14ac:dyDescent="0.25">
      <c r="A1493" s="1"/>
      <c r="AK1493" s="2"/>
      <c r="AL1493" s="1"/>
    </row>
    <row r="1494" spans="1:38" x14ac:dyDescent="0.25">
      <c r="A1494" s="1"/>
      <c r="AK1494" s="2"/>
      <c r="AL1494" s="1"/>
    </row>
    <row r="1495" spans="1:38" x14ac:dyDescent="0.25">
      <c r="A1495" s="1"/>
      <c r="AK1495" s="2"/>
      <c r="AL1495" s="1"/>
    </row>
    <row r="1496" spans="1:38" x14ac:dyDescent="0.25">
      <c r="A1496" s="1"/>
      <c r="AK1496" s="2"/>
      <c r="AL1496" s="1"/>
    </row>
    <row r="1497" spans="1:38" x14ac:dyDescent="0.25">
      <c r="A1497" s="1"/>
      <c r="AK1497" s="2"/>
      <c r="AL1497" s="1"/>
    </row>
    <row r="1498" spans="1:38" x14ac:dyDescent="0.25">
      <c r="A1498" s="1"/>
      <c r="AK1498" s="2"/>
      <c r="AL1498" s="1"/>
    </row>
    <row r="1499" spans="1:38" x14ac:dyDescent="0.25">
      <c r="A1499" s="1"/>
      <c r="AK1499" s="2"/>
      <c r="AL1499" s="1"/>
    </row>
    <row r="1500" spans="1:38" x14ac:dyDescent="0.25">
      <c r="A1500" s="1"/>
      <c r="AK1500" s="2"/>
      <c r="AL1500" s="1"/>
    </row>
    <row r="1501" spans="1:38" x14ac:dyDescent="0.25">
      <c r="A1501" s="1"/>
      <c r="AK1501" s="2"/>
      <c r="AL1501" s="1"/>
    </row>
    <row r="1502" spans="1:38" x14ac:dyDescent="0.25">
      <c r="A1502" s="1"/>
      <c r="AK1502" s="2"/>
      <c r="AL1502" s="1"/>
    </row>
    <row r="1503" spans="1:38" x14ac:dyDescent="0.25">
      <c r="A1503" s="1"/>
      <c r="AK1503" s="2"/>
      <c r="AL1503" s="1"/>
    </row>
    <row r="1504" spans="1:38" x14ac:dyDescent="0.25">
      <c r="A1504" s="1"/>
      <c r="AK1504" s="2"/>
      <c r="AL1504" s="1"/>
    </row>
    <row r="1505" spans="1:38" x14ac:dyDescent="0.25">
      <c r="A1505" s="1"/>
      <c r="AK1505" s="2"/>
      <c r="AL1505" s="1"/>
    </row>
    <row r="1506" spans="1:38" x14ac:dyDescent="0.25">
      <c r="A1506" s="1"/>
      <c r="AK1506" s="2"/>
      <c r="AL1506" s="1"/>
    </row>
    <row r="1507" spans="1:38" x14ac:dyDescent="0.25">
      <c r="A1507" s="1"/>
      <c r="AK1507" s="2"/>
      <c r="AL1507" s="1"/>
    </row>
    <row r="1508" spans="1:38" x14ac:dyDescent="0.25">
      <c r="A1508" s="1"/>
      <c r="AK1508" s="2"/>
      <c r="AL1508" s="1"/>
    </row>
    <row r="1509" spans="1:38" x14ac:dyDescent="0.25">
      <c r="A1509" s="1"/>
      <c r="AK1509" s="2"/>
      <c r="AL1509" s="1"/>
    </row>
    <row r="1510" spans="1:38" x14ac:dyDescent="0.25">
      <c r="A1510" s="1"/>
      <c r="AK1510" s="2"/>
      <c r="AL1510" s="1"/>
    </row>
    <row r="1511" spans="1:38" x14ac:dyDescent="0.25">
      <c r="A1511" s="1"/>
      <c r="AK1511" s="2"/>
      <c r="AL1511" s="1"/>
    </row>
    <row r="1512" spans="1:38" x14ac:dyDescent="0.25">
      <c r="A1512" s="1"/>
      <c r="AK1512" s="2"/>
      <c r="AL1512" s="1"/>
    </row>
    <row r="1513" spans="1:38" x14ac:dyDescent="0.25">
      <c r="A1513" s="1"/>
      <c r="AK1513" s="2"/>
      <c r="AL1513" s="1"/>
    </row>
    <row r="1514" spans="1:38" x14ac:dyDescent="0.25">
      <c r="A1514" s="1"/>
      <c r="AK1514" s="2"/>
      <c r="AL1514" s="1"/>
    </row>
    <row r="1515" spans="1:38" x14ac:dyDescent="0.25">
      <c r="A1515" s="1"/>
      <c r="AK1515" s="2"/>
      <c r="AL1515" s="1"/>
    </row>
    <row r="1516" spans="1:38" x14ac:dyDescent="0.25">
      <c r="A1516" s="1"/>
      <c r="AK1516" s="2"/>
      <c r="AL1516" s="1"/>
    </row>
    <row r="1517" spans="1:38" x14ac:dyDescent="0.25">
      <c r="A1517" s="1"/>
      <c r="AK1517" s="2"/>
      <c r="AL1517" s="1"/>
    </row>
    <row r="1518" spans="1:38" x14ac:dyDescent="0.25">
      <c r="A1518" s="1"/>
      <c r="AK1518" s="2"/>
      <c r="AL1518" s="1"/>
    </row>
    <row r="1519" spans="1:38" x14ac:dyDescent="0.25">
      <c r="A1519" s="1"/>
      <c r="AK1519" s="2"/>
      <c r="AL1519" s="1"/>
    </row>
    <row r="1520" spans="1:38" x14ac:dyDescent="0.25">
      <c r="A1520" s="1"/>
      <c r="AK1520" s="2"/>
      <c r="AL1520" s="1"/>
    </row>
    <row r="1521" spans="1:38" x14ac:dyDescent="0.25">
      <c r="A1521" s="1"/>
      <c r="AK1521" s="2"/>
      <c r="AL1521" s="1"/>
    </row>
    <row r="1522" spans="1:38" x14ac:dyDescent="0.25">
      <c r="A1522" s="1"/>
      <c r="AK1522" s="2"/>
      <c r="AL1522" s="1"/>
    </row>
    <row r="1523" spans="1:38" x14ac:dyDescent="0.25">
      <c r="A1523" s="1"/>
      <c r="AK1523" s="2"/>
      <c r="AL1523" s="1"/>
    </row>
    <row r="1524" spans="1:38" x14ac:dyDescent="0.25">
      <c r="A1524" s="1"/>
      <c r="AK1524" s="2"/>
      <c r="AL1524" s="1"/>
    </row>
    <row r="1525" spans="1:38" x14ac:dyDescent="0.25">
      <c r="A1525" s="1"/>
      <c r="AK1525" s="2"/>
      <c r="AL1525" s="1"/>
    </row>
    <row r="1526" spans="1:38" x14ac:dyDescent="0.25">
      <c r="A1526" s="1"/>
      <c r="AK1526" s="2"/>
      <c r="AL1526" s="1"/>
    </row>
    <row r="1527" spans="1:38" x14ac:dyDescent="0.25">
      <c r="A1527" s="1"/>
      <c r="AK1527" s="2"/>
      <c r="AL1527" s="1"/>
    </row>
    <row r="1528" spans="1:38" x14ac:dyDescent="0.25">
      <c r="A1528" s="1"/>
      <c r="AK1528" s="2"/>
      <c r="AL1528" s="1"/>
    </row>
    <row r="1529" spans="1:38" x14ac:dyDescent="0.25">
      <c r="A1529" s="1"/>
      <c r="AK1529" s="2"/>
      <c r="AL1529" s="1"/>
    </row>
    <row r="1530" spans="1:38" x14ac:dyDescent="0.25">
      <c r="A1530" s="1"/>
      <c r="AK1530" s="2"/>
      <c r="AL1530" s="1"/>
    </row>
    <row r="1531" spans="1:38" x14ac:dyDescent="0.25">
      <c r="A1531" s="1"/>
      <c r="AK1531" s="2"/>
      <c r="AL1531" s="1"/>
    </row>
    <row r="1532" spans="1:38" x14ac:dyDescent="0.25">
      <c r="A1532" s="1"/>
      <c r="AK1532" s="2"/>
      <c r="AL1532" s="1"/>
    </row>
    <row r="1533" spans="1:38" x14ac:dyDescent="0.25">
      <c r="A1533" s="1"/>
      <c r="AK1533" s="2"/>
      <c r="AL1533" s="1"/>
    </row>
    <row r="1534" spans="1:38" x14ac:dyDescent="0.25">
      <c r="A1534" s="1"/>
      <c r="AK1534" s="2"/>
      <c r="AL1534" s="1"/>
    </row>
    <row r="1535" spans="1:38" x14ac:dyDescent="0.25">
      <c r="A1535" s="1"/>
      <c r="AK1535" s="2"/>
      <c r="AL1535" s="1"/>
    </row>
    <row r="1536" spans="1:38" x14ac:dyDescent="0.25">
      <c r="A1536" s="1"/>
      <c r="AK1536" s="2"/>
      <c r="AL1536" s="1"/>
    </row>
    <row r="1537" spans="1:38" x14ac:dyDescent="0.25">
      <c r="A1537" s="1"/>
      <c r="AK1537" s="2"/>
      <c r="AL1537" s="1"/>
    </row>
    <row r="1538" spans="1:38" x14ac:dyDescent="0.25">
      <c r="A1538" s="1"/>
      <c r="AK1538" s="2"/>
      <c r="AL1538" s="1"/>
    </row>
    <row r="1539" spans="1:38" x14ac:dyDescent="0.25">
      <c r="A1539" s="1"/>
      <c r="AK1539" s="2"/>
      <c r="AL1539" s="1"/>
    </row>
    <row r="1540" spans="1:38" x14ac:dyDescent="0.25">
      <c r="A1540" s="1"/>
      <c r="AK1540" s="2"/>
      <c r="AL1540" s="1"/>
    </row>
    <row r="1541" spans="1:38" x14ac:dyDescent="0.25">
      <c r="A1541" s="1"/>
      <c r="AK1541" s="2"/>
      <c r="AL1541" s="1"/>
    </row>
    <row r="1542" spans="1:38" x14ac:dyDescent="0.25">
      <c r="A1542" s="1"/>
      <c r="AK1542" s="2"/>
      <c r="AL1542" s="1"/>
    </row>
    <row r="1543" spans="1:38" x14ac:dyDescent="0.25">
      <c r="A1543" s="1"/>
      <c r="AK1543" s="2"/>
      <c r="AL1543" s="1"/>
    </row>
    <row r="1544" spans="1:38" x14ac:dyDescent="0.25">
      <c r="A1544" s="1"/>
      <c r="AK1544" s="2"/>
      <c r="AL1544" s="1"/>
    </row>
    <row r="1545" spans="1:38" x14ac:dyDescent="0.25">
      <c r="A1545" s="1"/>
      <c r="AK1545" s="2"/>
      <c r="AL1545" s="1"/>
    </row>
    <row r="1546" spans="1:38" x14ac:dyDescent="0.25">
      <c r="A1546" s="1"/>
      <c r="AK1546" s="2"/>
      <c r="AL1546" s="1"/>
    </row>
    <row r="1547" spans="1:38" x14ac:dyDescent="0.25">
      <c r="A1547" s="1"/>
      <c r="AK1547" s="2"/>
      <c r="AL1547" s="1"/>
    </row>
    <row r="1548" spans="1:38" x14ac:dyDescent="0.25">
      <c r="A1548" s="1"/>
      <c r="AK1548" s="2"/>
      <c r="AL1548" s="1"/>
    </row>
    <row r="1549" spans="1:38" x14ac:dyDescent="0.25">
      <c r="A1549" s="1"/>
      <c r="AK1549" s="2"/>
      <c r="AL1549" s="1"/>
    </row>
    <row r="1550" spans="1:38" x14ac:dyDescent="0.25">
      <c r="A1550" s="1"/>
      <c r="AK1550" s="2"/>
      <c r="AL1550" s="1"/>
    </row>
    <row r="1551" spans="1:38" x14ac:dyDescent="0.25">
      <c r="A1551" s="1"/>
      <c r="AK1551" s="2"/>
      <c r="AL1551" s="1"/>
    </row>
    <row r="1552" spans="1:38" x14ac:dyDescent="0.25">
      <c r="A1552" s="1"/>
      <c r="AK1552" s="2"/>
      <c r="AL1552" s="1"/>
    </row>
    <row r="1553" spans="1:38" x14ac:dyDescent="0.25">
      <c r="A1553" s="1"/>
      <c r="AK1553" s="2"/>
      <c r="AL1553" s="1"/>
    </row>
    <row r="1554" spans="1:38" x14ac:dyDescent="0.25">
      <c r="A1554" s="1"/>
      <c r="AK1554" s="2"/>
      <c r="AL1554" s="1"/>
    </row>
    <row r="1555" spans="1:38" x14ac:dyDescent="0.25">
      <c r="A1555" s="1"/>
      <c r="AK1555" s="2"/>
      <c r="AL1555" s="1"/>
    </row>
    <row r="1556" spans="1:38" x14ac:dyDescent="0.25">
      <c r="A1556" s="1"/>
      <c r="AK1556" s="2"/>
      <c r="AL1556" s="1"/>
    </row>
    <row r="1557" spans="1:38" x14ac:dyDescent="0.25">
      <c r="A1557" s="1"/>
      <c r="AK1557" s="2"/>
      <c r="AL1557" s="1"/>
    </row>
    <row r="1558" spans="1:38" x14ac:dyDescent="0.25">
      <c r="A1558" s="1"/>
      <c r="AK1558" s="2"/>
      <c r="AL1558" s="1"/>
    </row>
    <row r="1559" spans="1:38" x14ac:dyDescent="0.25">
      <c r="A1559" s="1"/>
      <c r="AK1559" s="2"/>
      <c r="AL1559" s="1"/>
    </row>
    <row r="1560" spans="1:38" x14ac:dyDescent="0.25">
      <c r="A1560" s="1"/>
      <c r="AK1560" s="2"/>
      <c r="AL1560" s="1"/>
    </row>
    <row r="1561" spans="1:38" x14ac:dyDescent="0.25">
      <c r="A1561" s="1"/>
      <c r="AK1561" s="2"/>
      <c r="AL1561" s="1"/>
    </row>
    <row r="1562" spans="1:38" x14ac:dyDescent="0.25">
      <c r="A1562" s="1"/>
      <c r="AK1562" s="2"/>
      <c r="AL1562" s="1"/>
    </row>
    <row r="1563" spans="1:38" x14ac:dyDescent="0.25">
      <c r="A1563" s="1"/>
      <c r="AK1563" s="2"/>
      <c r="AL1563" s="1"/>
    </row>
    <row r="1564" spans="1:38" x14ac:dyDescent="0.25">
      <c r="A1564" s="1"/>
      <c r="AK1564" s="2"/>
      <c r="AL1564" s="1"/>
    </row>
    <row r="1565" spans="1:38" x14ac:dyDescent="0.25">
      <c r="A1565" s="1"/>
      <c r="AK1565" s="2"/>
      <c r="AL1565" s="1"/>
    </row>
    <row r="1566" spans="1:38" x14ac:dyDescent="0.25">
      <c r="A1566" s="1"/>
      <c r="AK1566" s="2"/>
      <c r="AL1566" s="1"/>
    </row>
    <row r="1567" spans="1:38" x14ac:dyDescent="0.25">
      <c r="A1567" s="1"/>
      <c r="AK1567" s="2"/>
      <c r="AL1567" s="1"/>
    </row>
    <row r="1568" spans="1:38" x14ac:dyDescent="0.25">
      <c r="A1568" s="1"/>
      <c r="AK1568" s="2"/>
      <c r="AL1568" s="1"/>
    </row>
    <row r="1569" spans="1:38" x14ac:dyDescent="0.25">
      <c r="A1569" s="1"/>
      <c r="AK1569" s="2"/>
      <c r="AL1569" s="1"/>
    </row>
    <row r="1570" spans="1:38" x14ac:dyDescent="0.25">
      <c r="A1570" s="1"/>
      <c r="AK1570" s="2"/>
      <c r="AL1570" s="1"/>
    </row>
    <row r="1571" spans="1:38" x14ac:dyDescent="0.25">
      <c r="A1571" s="1"/>
      <c r="AK1571" s="2"/>
      <c r="AL1571" s="1"/>
    </row>
    <row r="1572" spans="1:38" x14ac:dyDescent="0.25">
      <c r="A1572" s="1"/>
      <c r="AK1572" s="2"/>
      <c r="AL1572" s="1"/>
    </row>
    <row r="1573" spans="1:38" x14ac:dyDescent="0.25">
      <c r="A1573" s="1"/>
      <c r="AK1573" s="2"/>
      <c r="AL1573" s="1"/>
    </row>
    <row r="1574" spans="1:38" x14ac:dyDescent="0.25">
      <c r="A1574" s="1"/>
      <c r="AK1574" s="2"/>
      <c r="AL1574" s="1"/>
    </row>
    <row r="1575" spans="1:38" x14ac:dyDescent="0.25">
      <c r="A1575" s="1"/>
      <c r="AK1575" s="2"/>
      <c r="AL1575" s="1"/>
    </row>
    <row r="1576" spans="1:38" x14ac:dyDescent="0.25">
      <c r="A1576" s="1"/>
      <c r="AK1576" s="2"/>
      <c r="AL1576" s="1"/>
    </row>
    <row r="1577" spans="1:38" x14ac:dyDescent="0.25">
      <c r="A1577" s="1"/>
      <c r="AK1577" s="2"/>
      <c r="AL1577" s="1"/>
    </row>
    <row r="1578" spans="1:38" x14ac:dyDescent="0.25">
      <c r="A1578" s="1"/>
      <c r="AK1578" s="2"/>
      <c r="AL1578" s="1"/>
    </row>
    <row r="1579" spans="1:38" x14ac:dyDescent="0.25">
      <c r="A1579" s="1"/>
      <c r="AK1579" s="2"/>
      <c r="AL1579" s="1"/>
    </row>
    <row r="1580" spans="1:38" x14ac:dyDescent="0.25">
      <c r="A1580" s="1"/>
      <c r="AK1580" s="2"/>
      <c r="AL1580" s="1"/>
    </row>
    <row r="1581" spans="1:38" x14ac:dyDescent="0.25">
      <c r="A1581" s="1"/>
      <c r="AK1581" s="2"/>
      <c r="AL1581" s="1"/>
    </row>
    <row r="1582" spans="1:38" x14ac:dyDescent="0.25">
      <c r="A1582" s="1"/>
      <c r="AK1582" s="2"/>
      <c r="AL1582" s="1"/>
    </row>
    <row r="1583" spans="1:38" x14ac:dyDescent="0.25">
      <c r="A1583" s="1"/>
      <c r="AK1583" s="2"/>
      <c r="AL1583" s="1"/>
    </row>
    <row r="1584" spans="1:38" x14ac:dyDescent="0.25">
      <c r="A1584" s="1"/>
      <c r="AK1584" s="2"/>
      <c r="AL1584" s="1"/>
    </row>
    <row r="1585" spans="1:38" x14ac:dyDescent="0.25">
      <c r="A1585" s="1"/>
      <c r="AK1585" s="2"/>
      <c r="AL1585" s="1"/>
    </row>
    <row r="1586" spans="1:38" x14ac:dyDescent="0.25">
      <c r="A1586" s="1"/>
      <c r="AK1586" s="2"/>
      <c r="AL1586" s="1"/>
    </row>
    <row r="1587" spans="1:38" x14ac:dyDescent="0.25">
      <c r="A1587" s="1"/>
      <c r="AK1587" s="2"/>
      <c r="AL1587" s="1"/>
    </row>
    <row r="1588" spans="1:38" x14ac:dyDescent="0.25">
      <c r="A1588" s="1"/>
      <c r="AK1588" s="2"/>
      <c r="AL1588" s="1"/>
    </row>
    <row r="1589" spans="1:38" x14ac:dyDescent="0.25">
      <c r="A1589" s="1"/>
      <c r="AK1589" s="2"/>
      <c r="AL1589" s="1"/>
    </row>
    <row r="1590" spans="1:38" x14ac:dyDescent="0.25">
      <c r="A1590" s="1"/>
      <c r="AK1590" s="2"/>
      <c r="AL1590" s="1"/>
    </row>
    <row r="1591" spans="1:38" x14ac:dyDescent="0.25">
      <c r="A1591" s="1"/>
      <c r="AK1591" s="2"/>
      <c r="AL1591" s="1"/>
    </row>
    <row r="1592" spans="1:38" x14ac:dyDescent="0.25">
      <c r="A1592" s="1"/>
      <c r="AK1592" s="2"/>
      <c r="AL1592" s="1"/>
    </row>
    <row r="1593" spans="1:38" x14ac:dyDescent="0.25">
      <c r="A1593" s="1"/>
      <c r="AK1593" s="2"/>
      <c r="AL1593" s="1"/>
    </row>
    <row r="1594" spans="1:38" x14ac:dyDescent="0.25">
      <c r="A1594" s="1"/>
      <c r="AK1594" s="2"/>
      <c r="AL1594" s="1"/>
    </row>
    <row r="1595" spans="1:38" x14ac:dyDescent="0.25">
      <c r="A1595" s="1"/>
      <c r="AK1595" s="2"/>
      <c r="AL1595" s="1"/>
    </row>
    <row r="1596" spans="1:38" x14ac:dyDescent="0.25">
      <c r="A1596" s="1"/>
      <c r="AK1596" s="2"/>
      <c r="AL1596" s="1"/>
    </row>
    <row r="1597" spans="1:38" x14ac:dyDescent="0.25">
      <c r="A1597" s="1"/>
      <c r="AK1597" s="2"/>
      <c r="AL1597" s="1"/>
    </row>
    <row r="1598" spans="1:38" x14ac:dyDescent="0.25">
      <c r="A1598" s="1"/>
      <c r="AK1598" s="2"/>
      <c r="AL1598" s="1"/>
    </row>
    <row r="1599" spans="1:38" x14ac:dyDescent="0.25">
      <c r="A1599" s="1"/>
      <c r="AK1599" s="2"/>
      <c r="AL1599" s="1"/>
    </row>
    <row r="1600" spans="1:38" x14ac:dyDescent="0.25">
      <c r="A1600" s="1"/>
      <c r="AK1600" s="2"/>
      <c r="AL1600" s="1"/>
    </row>
    <row r="1601" spans="1:38" x14ac:dyDescent="0.25">
      <c r="A1601" s="1"/>
      <c r="AK1601" s="2"/>
      <c r="AL1601" s="1"/>
    </row>
    <row r="1602" spans="1:38" x14ac:dyDescent="0.25">
      <c r="A1602" s="1"/>
      <c r="AK1602" s="2"/>
      <c r="AL1602" s="1"/>
    </row>
    <row r="1603" spans="1:38" x14ac:dyDescent="0.25">
      <c r="A1603" s="1"/>
      <c r="AK1603" s="2"/>
      <c r="AL1603" s="1"/>
    </row>
    <row r="1604" spans="1:38" x14ac:dyDescent="0.25">
      <c r="A1604" s="1"/>
      <c r="AK1604" s="2"/>
      <c r="AL1604" s="1"/>
    </row>
    <row r="1605" spans="1:38" x14ac:dyDescent="0.25">
      <c r="A1605" s="1"/>
      <c r="AK1605" s="2"/>
      <c r="AL1605" s="1"/>
    </row>
    <row r="1606" spans="1:38" x14ac:dyDescent="0.25">
      <c r="A1606" s="1"/>
      <c r="AK1606" s="2"/>
      <c r="AL1606" s="1"/>
    </row>
    <row r="1607" spans="1:38" x14ac:dyDescent="0.25">
      <c r="A1607" s="1"/>
      <c r="AK1607" s="2"/>
      <c r="AL1607" s="1"/>
    </row>
    <row r="1608" spans="1:38" x14ac:dyDescent="0.25">
      <c r="A1608" s="1"/>
      <c r="AK1608" s="2"/>
      <c r="AL1608" s="1"/>
    </row>
    <row r="1609" spans="1:38" x14ac:dyDescent="0.25">
      <c r="A1609" s="1"/>
      <c r="AK1609" s="2"/>
      <c r="AL1609" s="1"/>
    </row>
    <row r="1610" spans="1:38" x14ac:dyDescent="0.25">
      <c r="A1610" s="1"/>
      <c r="AK1610" s="2"/>
      <c r="AL1610" s="1"/>
    </row>
    <row r="1611" spans="1:38" x14ac:dyDescent="0.25">
      <c r="A1611" s="1"/>
      <c r="AK1611" s="2"/>
      <c r="AL1611" s="1"/>
    </row>
    <row r="1612" spans="1:38" x14ac:dyDescent="0.25">
      <c r="A1612" s="1"/>
      <c r="AK1612" s="2"/>
      <c r="AL1612" s="1"/>
    </row>
    <row r="1613" spans="1:38" x14ac:dyDescent="0.25">
      <c r="A1613" s="1"/>
      <c r="AK1613" s="2"/>
      <c r="AL1613" s="1"/>
    </row>
    <row r="1614" spans="1:38" x14ac:dyDescent="0.25">
      <c r="A1614" s="1"/>
      <c r="AK1614" s="2"/>
      <c r="AL1614" s="1"/>
    </row>
    <row r="1615" spans="1:38" x14ac:dyDescent="0.25">
      <c r="A1615" s="1"/>
      <c r="AK1615" s="2"/>
      <c r="AL1615" s="1"/>
    </row>
    <row r="1616" spans="1:38" x14ac:dyDescent="0.25">
      <c r="A1616" s="1"/>
      <c r="AK1616" s="2"/>
      <c r="AL1616" s="1"/>
    </row>
    <row r="1617" spans="1:38" x14ac:dyDescent="0.25">
      <c r="A1617" s="1"/>
      <c r="AK1617" s="2"/>
      <c r="AL1617" s="1"/>
    </row>
    <row r="1618" spans="1:38" x14ac:dyDescent="0.25">
      <c r="A1618" s="1"/>
      <c r="AK1618" s="2"/>
      <c r="AL1618" s="1"/>
    </row>
    <row r="1619" spans="1:38" x14ac:dyDescent="0.25">
      <c r="A1619" s="1"/>
      <c r="AK1619" s="2"/>
      <c r="AL1619" s="1"/>
    </row>
    <row r="1620" spans="1:38" x14ac:dyDescent="0.25">
      <c r="A1620" s="1"/>
      <c r="AK1620" s="2"/>
      <c r="AL1620" s="1"/>
    </row>
    <row r="1621" spans="1:38" x14ac:dyDescent="0.25">
      <c r="A1621" s="1"/>
      <c r="AK1621" s="2"/>
      <c r="AL1621" s="1"/>
    </row>
    <row r="1622" spans="1:38" x14ac:dyDescent="0.25">
      <c r="A1622" s="1"/>
      <c r="AK1622" s="2"/>
      <c r="AL1622" s="1"/>
    </row>
    <row r="1623" spans="1:38" x14ac:dyDescent="0.25">
      <c r="A1623" s="1"/>
      <c r="AK1623" s="2"/>
      <c r="AL1623" s="1"/>
    </row>
    <row r="1624" spans="1:38" x14ac:dyDescent="0.25">
      <c r="A1624" s="1"/>
      <c r="AK1624" s="2"/>
      <c r="AL1624" s="1"/>
    </row>
    <row r="1625" spans="1:38" x14ac:dyDescent="0.25">
      <c r="A1625" s="1"/>
      <c r="AK1625" s="2"/>
      <c r="AL1625" s="1"/>
    </row>
    <row r="1626" spans="1:38" x14ac:dyDescent="0.25">
      <c r="A1626" s="1"/>
      <c r="AK1626" s="2"/>
      <c r="AL1626" s="1"/>
    </row>
    <row r="1627" spans="1:38" x14ac:dyDescent="0.25">
      <c r="A1627" s="1"/>
      <c r="AK1627" s="2"/>
      <c r="AL1627" s="1"/>
    </row>
    <row r="1628" spans="1:38" x14ac:dyDescent="0.25">
      <c r="A1628" s="1"/>
      <c r="AK1628" s="2"/>
      <c r="AL1628" s="1"/>
    </row>
    <row r="1629" spans="1:38" x14ac:dyDescent="0.25">
      <c r="A1629" s="1"/>
      <c r="AK1629" s="2"/>
      <c r="AL1629" s="1"/>
    </row>
    <row r="1630" spans="1:38" x14ac:dyDescent="0.25">
      <c r="A1630" s="1"/>
      <c r="AK1630" s="2"/>
      <c r="AL1630" s="1"/>
    </row>
    <row r="1631" spans="1:38" x14ac:dyDescent="0.25">
      <c r="A1631" s="1"/>
      <c r="AK1631" s="2"/>
      <c r="AL1631" s="1"/>
    </row>
    <row r="1632" spans="1:38" x14ac:dyDescent="0.25">
      <c r="A1632" s="1"/>
      <c r="AK1632" s="2"/>
      <c r="AL1632" s="1"/>
    </row>
    <row r="1633" spans="1:38" x14ac:dyDescent="0.25">
      <c r="A1633" s="1"/>
      <c r="AK1633" s="2"/>
      <c r="AL1633" s="1"/>
    </row>
    <row r="1634" spans="1:38" x14ac:dyDescent="0.25">
      <c r="A1634" s="1"/>
      <c r="AK1634" s="2"/>
      <c r="AL1634" s="1"/>
    </row>
    <row r="1635" spans="1:38" x14ac:dyDescent="0.25">
      <c r="A1635" s="1"/>
      <c r="AK1635" s="2"/>
      <c r="AL1635" s="1"/>
    </row>
    <row r="1636" spans="1:38" x14ac:dyDescent="0.25">
      <c r="A1636" s="1"/>
      <c r="AK1636" s="2"/>
      <c r="AL1636" s="1"/>
    </row>
    <row r="1637" spans="1:38" x14ac:dyDescent="0.25">
      <c r="A1637" s="1"/>
      <c r="AK1637" s="2"/>
      <c r="AL1637" s="1"/>
    </row>
    <row r="1638" spans="1:38" x14ac:dyDescent="0.25">
      <c r="A1638" s="1"/>
      <c r="AK1638" s="2"/>
      <c r="AL1638" s="1"/>
    </row>
    <row r="1639" spans="1:38" x14ac:dyDescent="0.25">
      <c r="A1639" s="1"/>
      <c r="AK1639" s="2"/>
      <c r="AL1639" s="1"/>
    </row>
    <row r="1640" spans="1:38" x14ac:dyDescent="0.25">
      <c r="A1640" s="1"/>
      <c r="AK1640" s="2"/>
      <c r="AL1640" s="1"/>
    </row>
    <row r="1641" spans="1:38" x14ac:dyDescent="0.25">
      <c r="A1641" s="1"/>
      <c r="AK1641" s="2"/>
      <c r="AL1641" s="1"/>
    </row>
    <row r="1642" spans="1:38" x14ac:dyDescent="0.25">
      <c r="A1642" s="1"/>
      <c r="AK1642" s="2"/>
      <c r="AL1642" s="1"/>
    </row>
    <row r="1643" spans="1:38" x14ac:dyDescent="0.25">
      <c r="A1643" s="1"/>
      <c r="AK1643" s="2"/>
      <c r="AL1643" s="1"/>
    </row>
    <row r="1644" spans="1:38" x14ac:dyDescent="0.25">
      <c r="A1644" s="1"/>
      <c r="AK1644" s="2"/>
      <c r="AL1644" s="1"/>
    </row>
    <row r="1645" spans="1:38" x14ac:dyDescent="0.25">
      <c r="A1645" s="1"/>
      <c r="AK1645" s="2"/>
      <c r="AL1645" s="1"/>
    </row>
    <row r="1646" spans="1:38" x14ac:dyDescent="0.25">
      <c r="A1646" s="1"/>
      <c r="AK1646" s="2"/>
      <c r="AL1646" s="1"/>
    </row>
    <row r="1647" spans="1:38" x14ac:dyDescent="0.25">
      <c r="A1647" s="1"/>
      <c r="AK1647" s="2"/>
      <c r="AL1647" s="1"/>
    </row>
    <row r="1648" spans="1:38" x14ac:dyDescent="0.25">
      <c r="A1648" s="1"/>
      <c r="AK1648" s="2"/>
      <c r="AL1648" s="1"/>
    </row>
    <row r="1649" spans="1:38" x14ac:dyDescent="0.25">
      <c r="A1649" s="1"/>
      <c r="AK1649" s="2"/>
      <c r="AL1649" s="1"/>
    </row>
    <row r="1650" spans="1:38" x14ac:dyDescent="0.25">
      <c r="A1650" s="1"/>
      <c r="AK1650" s="2"/>
      <c r="AL1650" s="1"/>
    </row>
    <row r="1651" spans="1:38" x14ac:dyDescent="0.25">
      <c r="A1651" s="1"/>
      <c r="AK1651" s="2"/>
      <c r="AL1651" s="1"/>
    </row>
    <row r="1652" spans="1:38" x14ac:dyDescent="0.25">
      <c r="A1652" s="1"/>
      <c r="AK1652" s="2"/>
      <c r="AL1652" s="1"/>
    </row>
    <row r="1653" spans="1:38" x14ac:dyDescent="0.25">
      <c r="A1653" s="1"/>
      <c r="AK1653" s="2"/>
      <c r="AL1653" s="1"/>
    </row>
    <row r="1654" spans="1:38" x14ac:dyDescent="0.25">
      <c r="A1654" s="1"/>
      <c r="AK1654" s="2"/>
      <c r="AL1654" s="1"/>
    </row>
    <row r="1655" spans="1:38" x14ac:dyDescent="0.25">
      <c r="A1655" s="1"/>
      <c r="AK1655" s="2"/>
      <c r="AL1655" s="1"/>
    </row>
    <row r="1656" spans="1:38" x14ac:dyDescent="0.25">
      <c r="A1656" s="1"/>
      <c r="AK1656" s="2"/>
      <c r="AL1656" s="1"/>
    </row>
    <row r="1657" spans="1:38" x14ac:dyDescent="0.25">
      <c r="A1657" s="1"/>
      <c r="AK1657" s="2"/>
      <c r="AL1657" s="1"/>
    </row>
    <row r="1658" spans="1:38" x14ac:dyDescent="0.25">
      <c r="A1658" s="1"/>
      <c r="AK1658" s="2"/>
      <c r="AL1658" s="1"/>
    </row>
    <row r="1659" spans="1:38" x14ac:dyDescent="0.25">
      <c r="A1659" s="1"/>
      <c r="AK1659" s="2"/>
      <c r="AL1659" s="1"/>
    </row>
    <row r="1660" spans="1:38" x14ac:dyDescent="0.25">
      <c r="A1660" s="1"/>
      <c r="AK1660" s="2"/>
      <c r="AL1660" s="1"/>
    </row>
    <row r="1661" spans="1:38" x14ac:dyDescent="0.25">
      <c r="A1661" s="1"/>
      <c r="AK1661" s="2"/>
      <c r="AL1661" s="1"/>
    </row>
    <row r="1662" spans="1:38" x14ac:dyDescent="0.25">
      <c r="A1662" s="1"/>
      <c r="AK1662" s="2"/>
      <c r="AL1662" s="1"/>
    </row>
    <row r="1663" spans="1:38" x14ac:dyDescent="0.25">
      <c r="A1663" s="1"/>
      <c r="AK1663" s="2"/>
      <c r="AL1663" s="1"/>
    </row>
    <row r="1664" spans="1:38" x14ac:dyDescent="0.25">
      <c r="A1664" s="1"/>
      <c r="AK1664" s="2"/>
      <c r="AL1664" s="1"/>
    </row>
    <row r="1665" spans="1:38" x14ac:dyDescent="0.25">
      <c r="A1665" s="1"/>
      <c r="AK1665" s="2"/>
      <c r="AL1665" s="1"/>
    </row>
    <row r="1666" spans="1:38" x14ac:dyDescent="0.25">
      <c r="A1666" s="1"/>
      <c r="AK1666" s="2"/>
      <c r="AL1666" s="1"/>
    </row>
    <row r="1667" spans="1:38" x14ac:dyDescent="0.25">
      <c r="A1667" s="1"/>
      <c r="AK1667" s="2"/>
      <c r="AL1667" s="1"/>
    </row>
    <row r="1668" spans="1:38" x14ac:dyDescent="0.25">
      <c r="A1668" s="1"/>
      <c r="AK1668" s="2"/>
      <c r="AL1668" s="1"/>
    </row>
    <row r="1669" spans="1:38" x14ac:dyDescent="0.25">
      <c r="A1669" s="1"/>
      <c r="AK1669" s="2"/>
      <c r="AL1669" s="1"/>
    </row>
    <row r="1670" spans="1:38" x14ac:dyDescent="0.25">
      <c r="A1670" s="1"/>
      <c r="AK1670" s="2"/>
      <c r="AL1670" s="1"/>
    </row>
    <row r="1671" spans="1:38" x14ac:dyDescent="0.25">
      <c r="A1671" s="1"/>
      <c r="AK1671" s="2"/>
      <c r="AL1671" s="1"/>
    </row>
    <row r="1672" spans="1:38" x14ac:dyDescent="0.25">
      <c r="A1672" s="1"/>
      <c r="AK1672" s="2"/>
      <c r="AL1672" s="1"/>
    </row>
    <row r="1673" spans="1:38" x14ac:dyDescent="0.25">
      <c r="A1673" s="1"/>
      <c r="AK1673" s="2"/>
      <c r="AL1673" s="1"/>
    </row>
    <row r="1674" spans="1:38" x14ac:dyDescent="0.25">
      <c r="A1674" s="1"/>
      <c r="AK1674" s="2"/>
      <c r="AL1674" s="1"/>
    </row>
    <row r="1675" spans="1:38" x14ac:dyDescent="0.25">
      <c r="A1675" s="1"/>
      <c r="AK1675" s="2"/>
      <c r="AL1675" s="1"/>
    </row>
    <row r="1676" spans="1:38" x14ac:dyDescent="0.25">
      <c r="A1676" s="1"/>
      <c r="AK1676" s="2"/>
      <c r="AL1676" s="1"/>
    </row>
    <row r="1677" spans="1:38" x14ac:dyDescent="0.25">
      <c r="A1677" s="1"/>
      <c r="AK1677" s="2"/>
      <c r="AL1677" s="1"/>
    </row>
    <row r="1678" spans="1:38" x14ac:dyDescent="0.25">
      <c r="A1678" s="1"/>
      <c r="AK1678" s="2"/>
      <c r="AL1678" s="1"/>
    </row>
    <row r="1679" spans="1:38" x14ac:dyDescent="0.25">
      <c r="A1679" s="1"/>
      <c r="AK1679" s="2"/>
      <c r="AL1679" s="1"/>
    </row>
    <row r="1680" spans="1:38" x14ac:dyDescent="0.25">
      <c r="A1680" s="1"/>
      <c r="AK1680" s="2"/>
      <c r="AL1680" s="1"/>
    </row>
    <row r="1681" spans="1:38" x14ac:dyDescent="0.25">
      <c r="A1681" s="1"/>
      <c r="AK1681" s="2"/>
      <c r="AL1681" s="1"/>
    </row>
    <row r="1682" spans="1:38" x14ac:dyDescent="0.25">
      <c r="A1682" s="1"/>
      <c r="AK1682" s="2"/>
      <c r="AL1682" s="1"/>
    </row>
    <row r="1683" spans="1:38" x14ac:dyDescent="0.25">
      <c r="A1683" s="1"/>
      <c r="AK1683" s="2"/>
      <c r="AL1683" s="1"/>
    </row>
    <row r="1684" spans="1:38" x14ac:dyDescent="0.25">
      <c r="A1684" s="1"/>
      <c r="AK1684" s="2"/>
      <c r="AL1684" s="1"/>
    </row>
    <row r="1685" spans="1:38" x14ac:dyDescent="0.25">
      <c r="A1685" s="1"/>
      <c r="AK1685" s="2"/>
      <c r="AL1685" s="1"/>
    </row>
    <row r="1686" spans="1:38" x14ac:dyDescent="0.25">
      <c r="A1686" s="1"/>
      <c r="AK1686" s="2"/>
      <c r="AL1686" s="1"/>
    </row>
    <row r="1687" spans="1:38" x14ac:dyDescent="0.25">
      <c r="A1687" s="1"/>
      <c r="AK1687" s="2"/>
      <c r="AL1687" s="1"/>
    </row>
    <row r="1688" spans="1:38" x14ac:dyDescent="0.25">
      <c r="A1688" s="1"/>
      <c r="AK1688" s="2"/>
      <c r="AL1688" s="1"/>
    </row>
    <row r="1689" spans="1:38" x14ac:dyDescent="0.25">
      <c r="A1689" s="1"/>
      <c r="AK1689" s="2"/>
      <c r="AL1689" s="1"/>
    </row>
    <row r="1690" spans="1:38" x14ac:dyDescent="0.25">
      <c r="A1690" s="1"/>
      <c r="AK1690" s="2"/>
      <c r="AL1690" s="1"/>
    </row>
    <row r="1691" spans="1:38" x14ac:dyDescent="0.25">
      <c r="A1691" s="1"/>
      <c r="AK1691" s="2"/>
      <c r="AL1691" s="1"/>
    </row>
    <row r="1692" spans="1:38" x14ac:dyDescent="0.25">
      <c r="A1692" s="1"/>
      <c r="AK1692" s="2"/>
      <c r="AL1692" s="1"/>
    </row>
    <row r="1693" spans="1:38" x14ac:dyDescent="0.25">
      <c r="A1693" s="1"/>
      <c r="AK1693" s="2"/>
      <c r="AL1693" s="1"/>
    </row>
    <row r="1694" spans="1:38" x14ac:dyDescent="0.25">
      <c r="A1694" s="1"/>
      <c r="AK1694" s="2"/>
      <c r="AL1694" s="1"/>
    </row>
    <row r="1695" spans="1:38" x14ac:dyDescent="0.25">
      <c r="A1695" s="1"/>
      <c r="AK1695" s="2"/>
      <c r="AL1695" s="1"/>
    </row>
    <row r="1696" spans="1:38" x14ac:dyDescent="0.25">
      <c r="A1696" s="1"/>
      <c r="AK1696" s="2"/>
      <c r="AL1696" s="1"/>
    </row>
    <row r="1697" spans="1:38" x14ac:dyDescent="0.25">
      <c r="A1697" s="1"/>
      <c r="AK1697" s="2"/>
      <c r="AL1697" s="1"/>
    </row>
    <row r="1698" spans="1:38" x14ac:dyDescent="0.25">
      <c r="A1698" s="1"/>
      <c r="AK1698" s="2"/>
      <c r="AL1698" s="1"/>
    </row>
    <row r="1699" spans="1:38" x14ac:dyDescent="0.25">
      <c r="A1699" s="1"/>
      <c r="AK1699" s="2"/>
      <c r="AL1699" s="1"/>
    </row>
    <row r="1700" spans="1:38" x14ac:dyDescent="0.25">
      <c r="A1700" s="1"/>
      <c r="AK1700" s="2"/>
      <c r="AL1700" s="1"/>
    </row>
    <row r="1701" spans="1:38" x14ac:dyDescent="0.25">
      <c r="A1701" s="1"/>
      <c r="AK1701" s="2"/>
      <c r="AL1701" s="1"/>
    </row>
    <row r="1702" spans="1:38" x14ac:dyDescent="0.25">
      <c r="A1702" s="1"/>
      <c r="AK1702" s="2"/>
      <c r="AL1702" s="1"/>
    </row>
    <row r="1703" spans="1:38" x14ac:dyDescent="0.25">
      <c r="A1703" s="1"/>
      <c r="AK1703" s="2"/>
      <c r="AL1703" s="1"/>
    </row>
    <row r="1704" spans="1:38" x14ac:dyDescent="0.25">
      <c r="A1704" s="1"/>
      <c r="AK1704" s="2"/>
      <c r="AL1704" s="1"/>
    </row>
    <row r="1705" spans="1:38" x14ac:dyDescent="0.25">
      <c r="A1705" s="1"/>
      <c r="AK1705" s="2"/>
      <c r="AL1705" s="1"/>
    </row>
    <row r="1706" spans="1:38" x14ac:dyDescent="0.25">
      <c r="A1706" s="1"/>
      <c r="AK1706" s="2"/>
      <c r="AL1706" s="1"/>
    </row>
    <row r="1707" spans="1:38" x14ac:dyDescent="0.25">
      <c r="A1707" s="1"/>
      <c r="AK1707" s="2"/>
      <c r="AL1707" s="1"/>
    </row>
    <row r="1708" spans="1:38" x14ac:dyDescent="0.25">
      <c r="A1708" s="1"/>
      <c r="AK1708" s="2"/>
      <c r="AL1708" s="1"/>
    </row>
    <row r="1709" spans="1:38" x14ac:dyDescent="0.25">
      <c r="A1709" s="1"/>
      <c r="AK1709" s="2"/>
      <c r="AL1709" s="1"/>
    </row>
    <row r="1710" spans="1:38" x14ac:dyDescent="0.25">
      <c r="A1710" s="1"/>
      <c r="AK1710" s="2"/>
      <c r="AL1710" s="1"/>
    </row>
    <row r="1711" spans="1:38" x14ac:dyDescent="0.25">
      <c r="A1711" s="1"/>
      <c r="AK1711" s="2"/>
      <c r="AL1711" s="1"/>
    </row>
    <row r="1712" spans="1:38" x14ac:dyDescent="0.25">
      <c r="A1712" s="1"/>
      <c r="AK1712" s="2"/>
      <c r="AL1712" s="1"/>
    </row>
    <row r="1713" spans="1:38" x14ac:dyDescent="0.25">
      <c r="A1713" s="1"/>
      <c r="AK1713" s="2"/>
      <c r="AL1713" s="1"/>
    </row>
    <row r="1714" spans="1:38" x14ac:dyDescent="0.25">
      <c r="A1714" s="1"/>
      <c r="AK1714" s="2"/>
      <c r="AL1714" s="1"/>
    </row>
    <row r="1715" spans="1:38" x14ac:dyDescent="0.25">
      <c r="A1715" s="1"/>
      <c r="AK1715" s="2"/>
      <c r="AL1715" s="1"/>
    </row>
    <row r="1716" spans="1:38" x14ac:dyDescent="0.25">
      <c r="A1716" s="1"/>
      <c r="AK1716" s="2"/>
      <c r="AL1716" s="1"/>
    </row>
    <row r="1717" spans="1:38" x14ac:dyDescent="0.25">
      <c r="A1717" s="1"/>
      <c r="AK1717" s="2"/>
      <c r="AL1717" s="1"/>
    </row>
    <row r="1718" spans="1:38" x14ac:dyDescent="0.25">
      <c r="A1718" s="1"/>
      <c r="AK1718" s="2"/>
      <c r="AL1718" s="1"/>
    </row>
    <row r="1719" spans="1:38" x14ac:dyDescent="0.25">
      <c r="A1719" s="1"/>
      <c r="AK1719" s="2"/>
      <c r="AL1719" s="1"/>
    </row>
    <row r="1720" spans="1:38" x14ac:dyDescent="0.25">
      <c r="A1720" s="1"/>
      <c r="AK1720" s="2"/>
      <c r="AL1720" s="1"/>
    </row>
    <row r="1721" spans="1:38" x14ac:dyDescent="0.25">
      <c r="A1721" s="1"/>
      <c r="AK1721" s="2"/>
      <c r="AL1721" s="1"/>
    </row>
    <row r="1722" spans="1:38" x14ac:dyDescent="0.25">
      <c r="A1722" s="1"/>
      <c r="AK1722" s="2"/>
      <c r="AL1722" s="1"/>
    </row>
    <row r="1723" spans="1:38" x14ac:dyDescent="0.25">
      <c r="A1723" s="1"/>
      <c r="AK1723" s="2"/>
      <c r="AL1723" s="1"/>
    </row>
    <row r="1724" spans="1:38" x14ac:dyDescent="0.25">
      <c r="A1724" s="1"/>
      <c r="AK1724" s="2"/>
      <c r="AL1724" s="1"/>
    </row>
    <row r="1725" spans="1:38" x14ac:dyDescent="0.25">
      <c r="A1725" s="1"/>
      <c r="AK1725" s="2"/>
      <c r="AL1725" s="1"/>
    </row>
    <row r="1726" spans="1:38" x14ac:dyDescent="0.25">
      <c r="A1726" s="1"/>
      <c r="AK1726" s="2"/>
      <c r="AL1726" s="1"/>
    </row>
    <row r="1727" spans="1:38" x14ac:dyDescent="0.25">
      <c r="A1727" s="1"/>
      <c r="AK1727" s="2"/>
      <c r="AL1727" s="1"/>
    </row>
    <row r="1728" spans="1:38" x14ac:dyDescent="0.25">
      <c r="A1728" s="1"/>
      <c r="AK1728" s="2"/>
      <c r="AL1728" s="1"/>
    </row>
    <row r="1729" spans="1:38" x14ac:dyDescent="0.25">
      <c r="A1729" s="1"/>
      <c r="AK1729" s="2"/>
      <c r="AL1729" s="1"/>
    </row>
    <row r="1730" spans="1:38" x14ac:dyDescent="0.25">
      <c r="A1730" s="1"/>
      <c r="AK1730" s="2"/>
      <c r="AL1730" s="1"/>
    </row>
    <row r="1731" spans="1:38" x14ac:dyDescent="0.25">
      <c r="A1731" s="1"/>
      <c r="AK1731" s="2"/>
      <c r="AL1731" s="1"/>
    </row>
    <row r="1732" spans="1:38" x14ac:dyDescent="0.25">
      <c r="A1732" s="1"/>
      <c r="AK1732" s="2"/>
      <c r="AL1732" s="1"/>
    </row>
    <row r="1733" spans="1:38" x14ac:dyDescent="0.25">
      <c r="A1733" s="1"/>
      <c r="AK1733" s="2"/>
      <c r="AL1733" s="1"/>
    </row>
    <row r="1734" spans="1:38" x14ac:dyDescent="0.25">
      <c r="A1734" s="1"/>
      <c r="AK1734" s="2"/>
      <c r="AL1734" s="1"/>
    </row>
    <row r="1735" spans="1:38" x14ac:dyDescent="0.25">
      <c r="A1735" s="1"/>
      <c r="AK1735" s="2"/>
      <c r="AL1735" s="1"/>
    </row>
    <row r="1736" spans="1:38" x14ac:dyDescent="0.25">
      <c r="A1736" s="1"/>
      <c r="AK1736" s="2"/>
      <c r="AL1736" s="1"/>
    </row>
    <row r="1737" spans="1:38" x14ac:dyDescent="0.25">
      <c r="A1737" s="1"/>
      <c r="AK1737" s="2"/>
      <c r="AL1737" s="1"/>
    </row>
    <row r="1738" spans="1:38" x14ac:dyDescent="0.25">
      <c r="A1738" s="1"/>
      <c r="AK1738" s="2"/>
      <c r="AL1738" s="1"/>
    </row>
    <row r="1739" spans="1:38" x14ac:dyDescent="0.25">
      <c r="A1739" s="1"/>
      <c r="AK1739" s="2"/>
      <c r="AL1739" s="1"/>
    </row>
    <row r="1740" spans="1:38" x14ac:dyDescent="0.25">
      <c r="A1740" s="1"/>
      <c r="AK1740" s="2"/>
      <c r="AL1740" s="1"/>
    </row>
    <row r="1741" spans="1:38" x14ac:dyDescent="0.25">
      <c r="A1741" s="1"/>
      <c r="AK1741" s="2"/>
      <c r="AL1741" s="1"/>
    </row>
    <row r="1742" spans="1:38" x14ac:dyDescent="0.25">
      <c r="A1742" s="1"/>
      <c r="AK1742" s="2"/>
      <c r="AL1742" s="1"/>
    </row>
    <row r="1743" spans="1:38" x14ac:dyDescent="0.25">
      <c r="A1743" s="1"/>
      <c r="AK1743" s="2"/>
      <c r="AL1743" s="1"/>
    </row>
    <row r="1744" spans="1:38" x14ac:dyDescent="0.25">
      <c r="A1744" s="1"/>
      <c r="AK1744" s="2"/>
      <c r="AL1744" s="1"/>
    </row>
    <row r="1745" spans="1:38" x14ac:dyDescent="0.25">
      <c r="A1745" s="1"/>
      <c r="AK1745" s="2"/>
      <c r="AL1745" s="1"/>
    </row>
    <row r="1746" spans="1:38" x14ac:dyDescent="0.25">
      <c r="A1746" s="1"/>
      <c r="AK1746" s="2"/>
      <c r="AL1746" s="1"/>
    </row>
    <row r="1747" spans="1:38" x14ac:dyDescent="0.25">
      <c r="A1747" s="1"/>
      <c r="AK1747" s="2"/>
      <c r="AL1747" s="1"/>
    </row>
    <row r="1748" spans="1:38" x14ac:dyDescent="0.25">
      <c r="A1748" s="1"/>
      <c r="AK1748" s="2"/>
      <c r="AL1748" s="1"/>
    </row>
    <row r="1749" spans="1:38" x14ac:dyDescent="0.25">
      <c r="A1749" s="1"/>
      <c r="AK1749" s="2"/>
      <c r="AL1749" s="1"/>
    </row>
    <row r="1750" spans="1:38" x14ac:dyDescent="0.25">
      <c r="A1750" s="1"/>
      <c r="AK1750" s="2"/>
      <c r="AL1750" s="1"/>
    </row>
    <row r="1751" spans="1:38" x14ac:dyDescent="0.25">
      <c r="A1751" s="1"/>
      <c r="AK1751" s="2"/>
      <c r="AL1751" s="1"/>
    </row>
    <row r="1752" spans="1:38" x14ac:dyDescent="0.25">
      <c r="A1752" s="1"/>
      <c r="AK1752" s="2"/>
      <c r="AL1752" s="1"/>
    </row>
    <row r="1753" spans="1:38" x14ac:dyDescent="0.25">
      <c r="A1753" s="1"/>
      <c r="AK1753" s="2"/>
      <c r="AL1753" s="1"/>
    </row>
    <row r="1754" spans="1:38" x14ac:dyDescent="0.25">
      <c r="A1754" s="1"/>
      <c r="AK1754" s="2"/>
      <c r="AL1754" s="1"/>
    </row>
    <row r="1755" spans="1:38" x14ac:dyDescent="0.25">
      <c r="A1755" s="1"/>
      <c r="AK1755" s="2"/>
      <c r="AL1755" s="1"/>
    </row>
    <row r="1756" spans="1:38" x14ac:dyDescent="0.25">
      <c r="A1756" s="1"/>
      <c r="AK1756" s="2"/>
      <c r="AL1756" s="1"/>
    </row>
    <row r="1757" spans="1:38" x14ac:dyDescent="0.25">
      <c r="A1757" s="1"/>
      <c r="AK1757" s="2"/>
      <c r="AL1757" s="1"/>
    </row>
    <row r="1758" spans="1:38" x14ac:dyDescent="0.25">
      <c r="A1758" s="1"/>
      <c r="AK1758" s="2"/>
      <c r="AL1758" s="1"/>
    </row>
    <row r="1759" spans="1:38" x14ac:dyDescent="0.25">
      <c r="A1759" s="1"/>
      <c r="AK1759" s="2"/>
      <c r="AL1759" s="1"/>
    </row>
    <row r="1760" spans="1:38" x14ac:dyDescent="0.25">
      <c r="A1760" s="1"/>
      <c r="AK1760" s="2"/>
      <c r="AL1760" s="1"/>
    </row>
    <row r="1761" spans="1:38" x14ac:dyDescent="0.25">
      <c r="A1761" s="1"/>
      <c r="AK1761" s="2"/>
      <c r="AL1761" s="1"/>
    </row>
    <row r="1762" spans="1:38" x14ac:dyDescent="0.25">
      <c r="A1762" s="1"/>
      <c r="AK1762" s="2"/>
      <c r="AL1762" s="1"/>
    </row>
    <row r="1763" spans="1:38" x14ac:dyDescent="0.25">
      <c r="A1763" s="1"/>
      <c r="AK1763" s="2"/>
      <c r="AL1763" s="1"/>
    </row>
    <row r="1764" spans="1:38" x14ac:dyDescent="0.25">
      <c r="A1764" s="1"/>
      <c r="AK1764" s="2"/>
      <c r="AL1764" s="1"/>
    </row>
    <row r="1765" spans="1:38" x14ac:dyDescent="0.25">
      <c r="A1765" s="1"/>
      <c r="AK1765" s="2"/>
      <c r="AL1765" s="1"/>
    </row>
    <row r="1766" spans="1:38" x14ac:dyDescent="0.25">
      <c r="A1766" s="1"/>
      <c r="AK1766" s="2"/>
      <c r="AL1766" s="1"/>
    </row>
    <row r="1767" spans="1:38" x14ac:dyDescent="0.25">
      <c r="A1767" s="1"/>
      <c r="AK1767" s="2"/>
      <c r="AL1767" s="1"/>
    </row>
    <row r="1768" spans="1:38" x14ac:dyDescent="0.25">
      <c r="A1768" s="1"/>
      <c r="AK1768" s="2"/>
      <c r="AL1768" s="1"/>
    </row>
    <row r="1769" spans="1:38" x14ac:dyDescent="0.25">
      <c r="A1769" s="1"/>
      <c r="AK1769" s="2"/>
      <c r="AL1769" s="1"/>
    </row>
    <row r="1770" spans="1:38" x14ac:dyDescent="0.25">
      <c r="A1770" s="1"/>
      <c r="AK1770" s="2"/>
      <c r="AL1770" s="1"/>
    </row>
    <row r="1771" spans="1:38" x14ac:dyDescent="0.25">
      <c r="A1771" s="1"/>
      <c r="AK1771" s="2"/>
      <c r="AL1771" s="1"/>
    </row>
    <row r="1772" spans="1:38" x14ac:dyDescent="0.25">
      <c r="A1772" s="1"/>
      <c r="AK1772" s="2"/>
      <c r="AL1772" s="1"/>
    </row>
    <row r="1773" spans="1:38" x14ac:dyDescent="0.25">
      <c r="A1773" s="1"/>
      <c r="AK1773" s="2"/>
      <c r="AL1773" s="1"/>
    </row>
    <row r="1774" spans="1:38" x14ac:dyDescent="0.25">
      <c r="A1774" s="1"/>
      <c r="AK1774" s="2"/>
      <c r="AL1774" s="1"/>
    </row>
    <row r="1775" spans="1:38" x14ac:dyDescent="0.25">
      <c r="A1775" s="1"/>
      <c r="AK1775" s="2"/>
      <c r="AL1775" s="1"/>
    </row>
    <row r="1776" spans="1:38" x14ac:dyDescent="0.25">
      <c r="A1776" s="1"/>
      <c r="AK1776" s="2"/>
      <c r="AL1776" s="1"/>
    </row>
    <row r="1777" spans="1:38" x14ac:dyDescent="0.25">
      <c r="A1777" s="1"/>
      <c r="AK1777" s="2"/>
      <c r="AL1777" s="1"/>
    </row>
    <row r="1778" spans="1:38" x14ac:dyDescent="0.25">
      <c r="A1778" s="1"/>
      <c r="AK1778" s="2"/>
      <c r="AL1778" s="1"/>
    </row>
    <row r="1779" spans="1:38" x14ac:dyDescent="0.25">
      <c r="A1779" s="1"/>
      <c r="AK1779" s="2"/>
      <c r="AL1779" s="1"/>
    </row>
    <row r="1780" spans="1:38" x14ac:dyDescent="0.25">
      <c r="A1780" s="1"/>
      <c r="AK1780" s="2"/>
      <c r="AL1780" s="1"/>
    </row>
    <row r="1781" spans="1:38" x14ac:dyDescent="0.25">
      <c r="A1781" s="1"/>
      <c r="AK1781" s="2"/>
      <c r="AL1781" s="1"/>
    </row>
    <row r="1782" spans="1:38" x14ac:dyDescent="0.25">
      <c r="A1782" s="1"/>
      <c r="AK1782" s="2"/>
      <c r="AL1782" s="1"/>
    </row>
    <row r="1783" spans="1:38" x14ac:dyDescent="0.25">
      <c r="A1783" s="1"/>
      <c r="AK1783" s="2"/>
      <c r="AL1783" s="1"/>
    </row>
    <row r="1784" spans="1:38" x14ac:dyDescent="0.25">
      <c r="A1784" s="1"/>
      <c r="AK1784" s="2"/>
      <c r="AL1784" s="1"/>
    </row>
    <row r="1785" spans="1:38" x14ac:dyDescent="0.25">
      <c r="A1785" s="1"/>
      <c r="AK1785" s="2"/>
      <c r="AL1785" s="1"/>
    </row>
    <row r="1786" spans="1:38" x14ac:dyDescent="0.25">
      <c r="A1786" s="1"/>
      <c r="AK1786" s="2"/>
      <c r="AL1786" s="1"/>
    </row>
    <row r="1787" spans="1:38" x14ac:dyDescent="0.25">
      <c r="A1787" s="1"/>
      <c r="AK1787" s="2"/>
      <c r="AL1787" s="1"/>
    </row>
    <row r="1788" spans="1:38" x14ac:dyDescent="0.25">
      <c r="A1788" s="1"/>
      <c r="AK1788" s="2"/>
      <c r="AL1788" s="1"/>
    </row>
    <row r="1789" spans="1:38" x14ac:dyDescent="0.25">
      <c r="A1789" s="1"/>
      <c r="AK1789" s="2"/>
      <c r="AL1789" s="1"/>
    </row>
    <row r="1790" spans="1:38" x14ac:dyDescent="0.25">
      <c r="A1790" s="1"/>
      <c r="AK1790" s="2"/>
      <c r="AL1790" s="1"/>
    </row>
    <row r="1791" spans="1:38" x14ac:dyDescent="0.25">
      <c r="A1791" s="1"/>
      <c r="AK1791" s="2"/>
      <c r="AL1791" s="1"/>
    </row>
    <row r="1792" spans="1:38" x14ac:dyDescent="0.25">
      <c r="A1792" s="1"/>
      <c r="AK1792" s="2"/>
      <c r="AL1792" s="1"/>
    </row>
    <row r="1793" spans="1:38" x14ac:dyDescent="0.25">
      <c r="A1793" s="1"/>
      <c r="AK1793" s="2"/>
      <c r="AL1793" s="1"/>
    </row>
    <row r="1794" spans="1:38" x14ac:dyDescent="0.25">
      <c r="A1794" s="1"/>
      <c r="AK1794" s="2"/>
      <c r="AL1794" s="1"/>
    </row>
    <row r="1795" spans="1:38" x14ac:dyDescent="0.25">
      <c r="A1795" s="1"/>
      <c r="AK1795" s="2"/>
      <c r="AL1795" s="1"/>
    </row>
    <row r="1796" spans="1:38" x14ac:dyDescent="0.25">
      <c r="A1796" s="1"/>
      <c r="AK1796" s="2"/>
      <c r="AL1796" s="1"/>
    </row>
    <row r="1797" spans="1:38" x14ac:dyDescent="0.25">
      <c r="A1797" s="1"/>
      <c r="AK1797" s="2"/>
      <c r="AL1797" s="1"/>
    </row>
    <row r="1798" spans="1:38" x14ac:dyDescent="0.25">
      <c r="A1798" s="1"/>
      <c r="AK1798" s="2"/>
      <c r="AL1798" s="1"/>
    </row>
    <row r="1799" spans="1:38" x14ac:dyDescent="0.25">
      <c r="A1799" s="1"/>
      <c r="AK1799" s="2"/>
      <c r="AL1799" s="1"/>
    </row>
    <row r="1800" spans="1:38" x14ac:dyDescent="0.25">
      <c r="A1800" s="1"/>
      <c r="AK1800" s="2"/>
      <c r="AL1800" s="1"/>
    </row>
    <row r="1801" spans="1:38" x14ac:dyDescent="0.25">
      <c r="A1801" s="1"/>
      <c r="AK1801" s="2"/>
      <c r="AL1801" s="1"/>
    </row>
    <row r="1802" spans="1:38" x14ac:dyDescent="0.25">
      <c r="A1802" s="1"/>
      <c r="AK1802" s="2"/>
      <c r="AL1802" s="1"/>
    </row>
    <row r="1803" spans="1:38" x14ac:dyDescent="0.25">
      <c r="A1803" s="1"/>
      <c r="AK1803" s="2"/>
      <c r="AL1803" s="1"/>
    </row>
    <row r="1804" spans="1:38" x14ac:dyDescent="0.25">
      <c r="A1804" s="1"/>
    </row>
    <row r="1805" spans="1:38" x14ac:dyDescent="0.25">
      <c r="A1805" s="1"/>
    </row>
    <row r="1806" spans="1:38" x14ac:dyDescent="0.25">
      <c r="A1806" s="1"/>
    </row>
    <row r="1807" spans="1:38" x14ac:dyDescent="0.25">
      <c r="A1807" s="1"/>
    </row>
    <row r="1808" spans="1:38"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sheetData>
  <mergeCells count="1">
    <mergeCell ref="F1:M3"/>
  </mergeCells>
  <conditionalFormatting pivot="1" sqref="C23">
    <cfRule type="top10" dxfId="13" priority="1" rank="1"/>
  </conditionalFormatting>
  <pageMargins left="0.7" right="0.7" top="0.75" bottom="0.75" header="0.3" footer="0.3"/>
  <pageSetup orientation="portrait" horizontalDpi="4294967293" verticalDpi="0" r:id="rId2"/>
  <drawing r:id="rId3"/>
  <tableParts count="1">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ACF458-90F6-445D-9701-0BA6348E48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Posts </vt:lpstr>
      <vt:lpstr>Engagement Summary Dataset </vt:lpstr>
      <vt:lpstr>Campaign Metadata Dataset </vt:lpstr>
      <vt:lpstr>TASK 5( Q 1(a,b) )</vt:lpstr>
      <vt:lpstr>TASK 5(Q2 (a))</vt:lpstr>
      <vt:lpstr>TASK5(Q2(b))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Srivallika Dagdhar</dc:creator>
  <cp:lastModifiedBy>Srivallika Dagdhar</cp:lastModifiedBy>
  <dcterms:created xsi:type="dcterms:W3CDTF">2025-10-07T10:12:52Z</dcterms:created>
  <dcterms:modified xsi:type="dcterms:W3CDTF">2025-10-10T11:53:23Z</dcterms:modified>
</cp:coreProperties>
</file>